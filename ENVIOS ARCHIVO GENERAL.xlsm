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SHEDGAR\"/>
    </mc:Choice>
  </mc:AlternateContent>
  <xr:revisionPtr revIDLastSave="0" documentId="13_ncr:1_{BD8EB50C-8E57-4605-9B7E-3F2EDAEF674A}" xr6:coauthVersionLast="47" xr6:coauthVersionMax="47" xr10:uidLastSave="{00000000-0000-0000-0000-000000000000}"/>
  <bookViews>
    <workbookView xWindow="-120" yWindow="-120" windowWidth="29040" windowHeight="15720" firstSheet="3" activeTab="4" xr2:uid="{83C026C8-D6F3-4291-BF14-D1A0F1909E98}"/>
  </bookViews>
  <sheets>
    <sheet name="DICIEMBRE2025" sheetId="1" r:id="rId1"/>
    <sheet name="Base2026" sheetId="3" r:id="rId2"/>
    <sheet name="Hoja8" sheetId="14" r:id="rId3"/>
    <sheet name="REPORTE" sheetId="20" r:id="rId4"/>
    <sheet name="Enero2026" sheetId="2" r:id="rId5"/>
    <sheet name="Buscador" sheetId="4" r:id="rId6"/>
    <sheet name="DATOS POR MES" sheetId="5" r:id="rId7"/>
  </sheets>
  <definedNames>
    <definedName name="_xlnm._FilterDatabase" localSheetId="1" hidden="1">Base2026!$A$1:$C$1</definedName>
    <definedName name="_xlnm._FilterDatabase" localSheetId="0" hidden="1">DICIEMBRE2025!$A$3:$A$29</definedName>
    <definedName name="_xlnm._FilterDatabase" localSheetId="4" hidden="1">Enero2026!$A$1:$G$2654</definedName>
    <definedName name="_xlnm._FilterDatabase" localSheetId="2" hidden="1">Hoja8!$A$49:$C$49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3" i="4" l="1"/>
  <c r="D352" i="4"/>
  <c r="C350" i="4"/>
  <c r="D350" i="4" s="1"/>
  <c r="C349" i="4"/>
  <c r="D349" i="4" s="1"/>
  <c r="C307" i="4"/>
  <c r="D307" i="4" s="1"/>
  <c r="C306" i="4"/>
  <c r="D306" i="4" s="1"/>
  <c r="C305" i="4"/>
  <c r="D305" i="4" s="1"/>
  <c r="C304" i="4"/>
  <c r="D304" i="4" s="1"/>
  <c r="C297" i="4"/>
  <c r="D297" i="4" s="1"/>
  <c r="C296" i="4"/>
  <c r="D296" i="4" s="1"/>
  <c r="C295" i="4"/>
  <c r="D295" i="4" s="1"/>
  <c r="C294" i="4"/>
  <c r="D294" i="4" s="1"/>
  <c r="C293" i="4"/>
  <c r="D293" i="4" s="1"/>
  <c r="D284" i="4"/>
  <c r="D283" i="4"/>
  <c r="C282" i="4"/>
  <c r="C281" i="4"/>
  <c r="C266" i="4"/>
  <c r="D266" i="4" s="1"/>
  <c r="C265" i="4"/>
  <c r="D265" i="4" s="1"/>
  <c r="C264" i="4"/>
  <c r="D264" i="4" s="1"/>
  <c r="C263" i="4"/>
  <c r="C258" i="4"/>
  <c r="D258" i="4" s="1"/>
  <c r="C257" i="4"/>
  <c r="C250" i="4"/>
  <c r="D250" i="4" s="1"/>
  <c r="C245" i="4"/>
  <c r="D245" i="4" s="1"/>
  <c r="C244" i="4"/>
  <c r="D244" i="4" s="1"/>
  <c r="C243" i="4"/>
  <c r="D243" i="4" s="1"/>
  <c r="C238" i="4"/>
  <c r="D238" i="4" s="1"/>
  <c r="C237" i="4"/>
  <c r="D237" i="4" s="1"/>
  <c r="D232" i="4"/>
  <c r="D229" i="4"/>
  <c r="C212" i="4"/>
  <c r="D212" i="4" s="1"/>
  <c r="D210" i="4"/>
  <c r="C200" i="4"/>
  <c r="D200" i="4" s="1"/>
  <c r="C197" i="4"/>
  <c r="D197" i="4" s="1"/>
  <c r="D193" i="4"/>
  <c r="C191" i="4"/>
  <c r="D191" i="4" s="1"/>
  <c r="C190" i="4"/>
  <c r="D190" i="4" s="1"/>
  <c r="D187" i="4"/>
  <c r="C183" i="4"/>
  <c r="D181" i="4"/>
  <c r="D175" i="4"/>
  <c r="C173" i="4"/>
  <c r="D173" i="4" s="1"/>
  <c r="C169" i="4"/>
  <c r="D169" i="4" s="1"/>
  <c r="C161" i="4"/>
  <c r="C160" i="4"/>
  <c r="C157" i="4"/>
  <c r="D157" i="4" s="1"/>
  <c r="C155" i="4"/>
  <c r="D155" i="4" s="1"/>
  <c r="D150" i="4"/>
  <c r="D144" i="4"/>
  <c r="D143" i="4"/>
  <c r="D140" i="4"/>
  <c r="D139" i="4"/>
  <c r="D135" i="4"/>
  <c r="C134" i="4"/>
  <c r="D134" i="4" s="1"/>
  <c r="C133" i="4"/>
  <c r="D133" i="4" s="1"/>
  <c r="C132" i="4"/>
  <c r="D132" i="4" s="1"/>
  <c r="D125" i="4"/>
  <c r="D124" i="4"/>
  <c r="D122" i="4"/>
  <c r="C119" i="4"/>
  <c r="D119" i="4" s="1"/>
  <c r="D118" i="4"/>
  <c r="C118" i="4"/>
  <c r="D116" i="4" s="1"/>
  <c r="C116" i="4"/>
  <c r="C109" i="4"/>
  <c r="D109" i="4" s="1"/>
  <c r="C106" i="4"/>
  <c r="D101" i="4"/>
  <c r="C100" i="4"/>
  <c r="D99" i="4"/>
  <c r="C98" i="4"/>
  <c r="D98" i="4" s="1"/>
  <c r="D97" i="4"/>
  <c r="D96" i="4"/>
  <c r="D95" i="4"/>
  <c r="D94" i="4"/>
  <c r="D93" i="4"/>
  <c r="D92" i="4"/>
  <c r="D91" i="4"/>
  <c r="D90" i="4"/>
  <c r="D89" i="4"/>
  <c r="C88" i="4"/>
  <c r="D80" i="4"/>
  <c r="C70" i="4"/>
  <c r="D70" i="4" s="1"/>
  <c r="C68" i="4"/>
  <c r="H218" i="5"/>
  <c r="J9" i="5"/>
  <c r="F6" i="5"/>
  <c r="D1460" i="2"/>
  <c r="D1456" i="2"/>
  <c r="D1505" i="2"/>
  <c r="D1558" i="2"/>
  <c r="C2050" i="2"/>
  <c r="D2034" i="2"/>
  <c r="C2005" i="2"/>
  <c r="D2005" i="2" s="1"/>
  <c r="C1948" i="2"/>
  <c r="D1948" i="2" s="1"/>
  <c r="C1897" i="2"/>
  <c r="C1837" i="2" l="1"/>
  <c r="C1839" i="2"/>
  <c r="D1865" i="2"/>
  <c r="C1852" i="2"/>
  <c r="C1853" i="2"/>
  <c r="C1828" i="2"/>
  <c r="C1829" i="2"/>
  <c r="C1795" i="2"/>
  <c r="C1791" i="2"/>
  <c r="C1788" i="2"/>
  <c r="C1789" i="2"/>
  <c r="C1831" i="2"/>
  <c r="C1773" i="2"/>
  <c r="C1733" i="2"/>
  <c r="C1718" i="2"/>
  <c r="C1719" i="2"/>
  <c r="C1710" i="2"/>
  <c r="C1705" i="2"/>
  <c r="C1701" i="2"/>
  <c r="C1675" i="2"/>
  <c r="C1676" i="2"/>
  <c r="C1677" i="2"/>
  <c r="C1652" i="2"/>
  <c r="C1653" i="2"/>
  <c r="C1654" i="2"/>
  <c r="C1616" i="2"/>
  <c r="C1617" i="2"/>
  <c r="D1617" i="2" s="1"/>
  <c r="C1618" i="2"/>
  <c r="D1618" i="2" s="1"/>
  <c r="C1597" i="2"/>
  <c r="C1613" i="2"/>
  <c r="C1606" i="2"/>
  <c r="C1574" i="2"/>
  <c r="C1465" i="2"/>
  <c r="C1413" i="2"/>
  <c r="C1389" i="2"/>
  <c r="C1367" i="2" l="1"/>
  <c r="C1368" i="2"/>
  <c r="C1369" i="2"/>
  <c r="C1344" i="2"/>
  <c r="C1343" i="2"/>
  <c r="C1334" i="2"/>
  <c r="C1313" i="2"/>
  <c r="C1305" i="2"/>
  <c r="C1303" i="2"/>
  <c r="C1281" i="2"/>
  <c r="D1281" i="2" s="1"/>
  <c r="C1268" i="2"/>
  <c r="C1199" i="2"/>
  <c r="C1200" i="2"/>
  <c r="C1201" i="2"/>
  <c r="C1206" i="2"/>
  <c r="D1207" i="2" s="1"/>
  <c r="C1207" i="2"/>
  <c r="C1164" i="2"/>
  <c r="C1137" i="2"/>
  <c r="D1137" i="2" s="1"/>
  <c r="C1111" i="2"/>
  <c r="C1112" i="2"/>
  <c r="C1075" i="2"/>
  <c r="C1031" i="2"/>
  <c r="C1053" i="2"/>
  <c r="C1044" i="2"/>
  <c r="C1040" i="2"/>
  <c r="C1001" i="2"/>
  <c r="C922" i="2"/>
  <c r="C923" i="2"/>
  <c r="C903" i="2"/>
  <c r="D903" i="2" s="1"/>
  <c r="C887" i="2"/>
  <c r="C888" i="2"/>
  <c r="C875" i="2"/>
  <c r="C876" i="2"/>
  <c r="C864" i="2"/>
  <c r="D864" i="2" s="1"/>
  <c r="D833" i="2"/>
  <c r="C804" i="2"/>
  <c r="C775" i="2"/>
  <c r="C776" i="2"/>
  <c r="C777" i="2"/>
  <c r="C1143" i="3"/>
  <c r="B1140" i="3"/>
  <c r="C1140" i="3" s="1"/>
  <c r="C1137" i="3"/>
  <c r="B1137" i="3"/>
  <c r="C1136" i="3"/>
  <c r="B1136" i="3"/>
  <c r="B1135" i="3"/>
  <c r="C1135" i="3" s="1"/>
  <c r="B1129" i="3"/>
  <c r="C1129" i="3" s="1"/>
  <c r="C1127" i="3"/>
  <c r="B1127" i="3"/>
  <c r="B1126" i="3"/>
  <c r="C1126" i="3" s="1"/>
  <c r="C1125" i="3"/>
  <c r="B1125" i="3"/>
  <c r="C1122" i="3"/>
  <c r="C1119" i="3"/>
  <c r="C1118" i="3"/>
  <c r="C1116" i="3"/>
  <c r="B1115" i="3"/>
  <c r="C1115" i="3" s="1"/>
  <c r="C1113" i="3"/>
  <c r="C1112" i="3"/>
  <c r="B1104" i="3"/>
  <c r="C1100" i="3"/>
  <c r="C1099" i="3"/>
  <c r="B1099" i="3"/>
  <c r="C1098" i="3"/>
  <c r="B1098" i="3"/>
  <c r="B1097" i="3"/>
  <c r="C1097" i="3" s="1"/>
  <c r="B1094" i="3"/>
  <c r="C1094" i="3" s="1"/>
  <c r="B1088" i="3"/>
  <c r="C1083" i="3"/>
  <c r="C1076" i="3"/>
  <c r="C1073" i="3"/>
  <c r="B1073" i="3"/>
  <c r="B1072" i="3"/>
  <c r="C1072" i="3" s="1"/>
  <c r="C1071" i="3"/>
  <c r="B1071" i="3"/>
  <c r="C1064" i="3"/>
  <c r="C1063" i="3"/>
  <c r="C1061" i="3"/>
  <c r="C1058" i="3"/>
  <c r="B1058" i="3"/>
  <c r="B1049" i="3"/>
  <c r="C1049" i="3" s="1"/>
  <c r="C1045" i="3"/>
  <c r="B1045" i="3"/>
  <c r="C1043" i="3"/>
  <c r="B1043" i="3"/>
  <c r="C1038" i="3"/>
  <c r="C1037" i="3"/>
  <c r="C1036" i="3"/>
  <c r="C1035" i="3"/>
  <c r="C1034" i="3"/>
  <c r="C1033" i="3"/>
  <c r="B1028" i="3"/>
  <c r="C1028" i="3" s="1"/>
  <c r="C1025" i="3"/>
  <c r="B1025" i="3"/>
  <c r="C1024" i="3"/>
  <c r="B1024" i="3"/>
  <c r="B1021" i="3"/>
  <c r="C1016" i="3"/>
  <c r="B1016" i="3"/>
  <c r="B1003" i="3"/>
  <c r="C990" i="3"/>
  <c r="B990" i="3"/>
  <c r="B989" i="3"/>
  <c r="C989" i="3" s="1"/>
  <c r="C983" i="3"/>
  <c r="B983" i="3"/>
  <c r="C982" i="3"/>
  <c r="B982" i="3"/>
  <c r="B977" i="3"/>
  <c r="C977" i="3" s="1"/>
  <c r="C976" i="3"/>
  <c r="B976" i="3"/>
  <c r="C975" i="3"/>
  <c r="C973" i="3"/>
  <c r="B972" i="3"/>
  <c r="C970" i="3"/>
  <c r="B970" i="3"/>
  <c r="B960" i="3"/>
  <c r="C960" i="3" s="1"/>
  <c r="B959" i="3"/>
  <c r="C959" i="3" s="1"/>
  <c r="C958" i="3"/>
  <c r="B958" i="3"/>
  <c r="B957" i="3"/>
  <c r="C952" i="3"/>
  <c r="C951" i="3"/>
  <c r="C950" i="3"/>
  <c r="C945" i="3"/>
  <c r="B945" i="3"/>
  <c r="B943" i="3"/>
  <c r="C942" i="3"/>
  <c r="B941" i="3"/>
  <c r="C941" i="3" s="1"/>
  <c r="C930" i="3"/>
  <c r="C929" i="3"/>
  <c r="C928" i="3"/>
  <c r="C927" i="3"/>
  <c r="C926" i="3"/>
  <c r="C925" i="3"/>
  <c r="C924" i="3"/>
  <c r="C923" i="3"/>
  <c r="C922" i="3"/>
  <c r="C921" i="3"/>
  <c r="B920" i="3"/>
  <c r="B908" i="3"/>
  <c r="C908" i="3" s="1"/>
  <c r="C889" i="3"/>
  <c r="B877" i="3"/>
  <c r="C877" i="3" s="1"/>
  <c r="C871" i="3"/>
  <c r="B871" i="3"/>
  <c r="B868" i="3"/>
  <c r="C866" i="3"/>
  <c r="C864" i="3"/>
  <c r="C852" i="3"/>
  <c r="B852" i="3"/>
  <c r="B850" i="3"/>
  <c r="C850" i="3" s="1"/>
  <c r="C846" i="3"/>
  <c r="B846" i="3"/>
  <c r="C844" i="3"/>
  <c r="B844" i="3"/>
  <c r="C836" i="3"/>
  <c r="B836" i="3"/>
  <c r="C835" i="3"/>
  <c r="B835" i="3"/>
  <c r="C834" i="3"/>
  <c r="B834" i="3"/>
  <c r="B833" i="3"/>
  <c r="C833" i="3" s="1"/>
  <c r="C832" i="3"/>
  <c r="B832" i="3"/>
  <c r="C828" i="3"/>
  <c r="B828" i="3"/>
  <c r="C826" i="3"/>
  <c r="B826" i="3"/>
  <c r="C823" i="3"/>
  <c r="B823" i="3"/>
  <c r="B813" i="3"/>
  <c r="B810" i="3"/>
  <c r="B809" i="3"/>
  <c r="B808" i="3"/>
  <c r="B807" i="3"/>
  <c r="B802" i="3"/>
  <c r="C802" i="3" s="1"/>
  <c r="B796" i="3"/>
  <c r="B795" i="3"/>
  <c r="B792" i="3"/>
  <c r="C792" i="3" s="1"/>
  <c r="B791" i="3"/>
  <c r="C791" i="3" s="1"/>
  <c r="C790" i="3"/>
  <c r="B790" i="3"/>
  <c r="B786" i="3"/>
  <c r="C781" i="3"/>
  <c r="B781" i="3"/>
  <c r="C775" i="3"/>
  <c r="B775" i="3"/>
  <c r="C770" i="3"/>
  <c r="B768" i="3"/>
  <c r="C768" i="3" s="1"/>
  <c r="B767" i="3"/>
  <c r="C767" i="3" s="1"/>
  <c r="C750" i="2"/>
  <c r="D750" i="2" s="1"/>
  <c r="C751" i="2"/>
  <c r="D751" i="2" s="1"/>
  <c r="C734" i="2"/>
  <c r="D734" i="2" s="1"/>
  <c r="C735" i="2"/>
  <c r="D735" i="2" s="1"/>
  <c r="C704" i="2"/>
  <c r="D704" i="2" s="1"/>
  <c r="C684" i="2"/>
  <c r="D684" i="2" s="1"/>
  <c r="C685" i="2"/>
  <c r="D685" i="2" s="1"/>
  <c r="D680" i="2"/>
  <c r="C638" i="2"/>
  <c r="C598" i="2"/>
  <c r="D598" i="2" s="1"/>
  <c r="C604" i="2"/>
  <c r="D604" i="2" s="1"/>
  <c r="C588" i="2"/>
  <c r="D588" i="2" s="1"/>
  <c r="C566" i="2"/>
  <c r="D566" i="2" s="1"/>
  <c r="C451" i="2"/>
  <c r="D451" i="2" s="1"/>
  <c r="C452" i="2"/>
  <c r="D452" i="2" s="1"/>
  <c r="C403" i="2"/>
  <c r="D403" i="2" s="1"/>
  <c r="C404" i="2"/>
  <c r="D404" i="2" s="1"/>
  <c r="C386" i="2"/>
  <c r="D386" i="2" s="1"/>
  <c r="C387" i="2"/>
  <c r="D387" i="2" s="1"/>
  <c r="D381" i="2"/>
  <c r="C379" i="2"/>
  <c r="D379" i="2" s="1"/>
  <c r="C399" i="2"/>
  <c r="D399" i="2" s="1"/>
  <c r="C396" i="2"/>
  <c r="C402" i="2"/>
  <c r="D402" i="2" s="1"/>
  <c r="C401" i="2"/>
  <c r="C411" i="2"/>
  <c r="C416" i="2"/>
  <c r="D416" i="2" s="1"/>
  <c r="C408" i="2"/>
  <c r="C441" i="2"/>
  <c r="D441" i="2" s="1"/>
  <c r="C445" i="2"/>
  <c r="D445" i="2" s="1"/>
  <c r="C443" i="2"/>
  <c r="D443" i="2" s="1"/>
  <c r="C449" i="2"/>
  <c r="D449" i="2" s="1"/>
  <c r="C450" i="2"/>
  <c r="D450" i="2" s="1"/>
  <c r="C428" i="2"/>
  <c r="D428" i="2" s="1"/>
  <c r="C456" i="2"/>
  <c r="D456" i="2" s="1"/>
  <c r="C460" i="2"/>
  <c r="D460" i="2" s="1"/>
  <c r="C462" i="2"/>
  <c r="D462" i="2" s="1"/>
  <c r="C463" i="2"/>
  <c r="D463" i="2" s="1"/>
  <c r="D466" i="2"/>
  <c r="D468" i="2"/>
  <c r="C481" i="2"/>
  <c r="C479" i="2"/>
  <c r="D479" i="2" s="1"/>
  <c r="C500" i="2"/>
  <c r="D500" i="2" s="1"/>
  <c r="D483" i="2"/>
  <c r="C536" i="2"/>
  <c r="D536" i="2" s="1"/>
  <c r="C507" i="2"/>
  <c r="C541" i="2"/>
  <c r="D541" i="2" s="1"/>
  <c r="D540" i="2"/>
  <c r="C542" i="2"/>
  <c r="C548" i="2"/>
  <c r="D548" i="2" s="1"/>
  <c r="C567" i="2"/>
  <c r="C565" i="2"/>
  <c r="D565" i="2" s="1"/>
  <c r="C564" i="2"/>
  <c r="D564" i="2" s="1"/>
  <c r="C585" i="2"/>
  <c r="D585" i="2" s="1"/>
  <c r="C580" i="2"/>
  <c r="D581" i="2"/>
  <c r="C587" i="2"/>
  <c r="D587" i="2" s="1"/>
  <c r="C603" i="2"/>
  <c r="D603" i="2" s="1"/>
  <c r="C597" i="2"/>
  <c r="D597" i="2" s="1"/>
  <c r="C593" i="2"/>
  <c r="C615" i="2"/>
  <c r="D615" i="2" s="1"/>
  <c r="C627" i="2"/>
  <c r="C628" i="2"/>
  <c r="D628" i="2" s="1"/>
  <c r="C632" i="2"/>
  <c r="D632" i="2" s="1"/>
  <c r="C644" i="2"/>
  <c r="D644" i="2" s="1"/>
  <c r="C642" i="2"/>
  <c r="C672" i="2"/>
  <c r="D672" i="2" s="1"/>
  <c r="C660" i="2"/>
  <c r="D660" i="2" s="1"/>
  <c r="D656" i="2"/>
  <c r="D679" i="2"/>
  <c r="C683" i="2"/>
  <c r="D683" i="2" s="1"/>
  <c r="D696" i="2"/>
  <c r="D694" i="2"/>
  <c r="C699" i="2"/>
  <c r="C719" i="2"/>
  <c r="D719" i="2" s="1"/>
  <c r="C703" i="2"/>
  <c r="D703" i="2" s="1"/>
  <c r="C700" i="2"/>
  <c r="D700" i="2" s="1"/>
  <c r="D705" i="2"/>
  <c r="C715" i="2"/>
  <c r="D722" i="2"/>
  <c r="D723" i="2"/>
  <c r="C742" i="2"/>
  <c r="D742" i="2" s="1"/>
  <c r="D738" i="2"/>
  <c r="D740" i="2"/>
  <c r="D724" i="2"/>
  <c r="D729" i="2"/>
  <c r="C733" i="2"/>
  <c r="D733" i="2" s="1"/>
  <c r="C737" i="2"/>
  <c r="D737" i="2" s="1"/>
  <c r="C749" i="2"/>
  <c r="D749" i="2" s="1"/>
  <c r="C748" i="2"/>
  <c r="D748" i="2" s="1"/>
  <c r="D745" i="2"/>
  <c r="C769" i="2"/>
  <c r="C773" i="2"/>
  <c r="C774" i="2"/>
  <c r="C783" i="2"/>
  <c r="C779" i="2"/>
  <c r="C784" i="2"/>
  <c r="C801" i="2"/>
  <c r="C803" i="2"/>
  <c r="C814" i="2"/>
  <c r="C807" i="2"/>
  <c r="C817" i="2"/>
  <c r="C845" i="2"/>
  <c r="C846" i="2"/>
  <c r="C844" i="2"/>
  <c r="C825" i="2"/>
  <c r="C836" i="2"/>
  <c r="C837" i="2"/>
  <c r="C822" i="2"/>
  <c r="C863" i="2"/>
  <c r="C856" i="2"/>
  <c r="C858" i="2"/>
  <c r="C854" i="2"/>
  <c r="C877" i="2"/>
  <c r="C874" i="2"/>
  <c r="C878" i="2"/>
  <c r="C886" i="2"/>
  <c r="C902" i="2"/>
  <c r="C891" i="2"/>
  <c r="D891" i="2" s="1"/>
  <c r="C918" i="2"/>
  <c r="C915" i="2"/>
  <c r="C917" i="2"/>
  <c r="C921" i="2"/>
  <c r="C908" i="2"/>
  <c r="C910" i="2"/>
  <c r="C911" i="2"/>
  <c r="C940" i="2"/>
  <c r="C936" i="2"/>
  <c r="C950" i="2"/>
  <c r="C945" i="2"/>
  <c r="C961" i="2"/>
  <c r="C965" i="2"/>
  <c r="C978" i="2"/>
  <c r="C979" i="2"/>
  <c r="C974" i="2"/>
  <c r="C971" i="2"/>
  <c r="D971" i="2" s="1"/>
  <c r="C992" i="2"/>
  <c r="C987" i="2"/>
  <c r="C998" i="2"/>
  <c r="C1000" i="2"/>
  <c r="C980" i="2"/>
  <c r="D982" i="2"/>
  <c r="C1005" i="2"/>
  <c r="C1007" i="2"/>
  <c r="C1016" i="2"/>
  <c r="C1017" i="2"/>
  <c r="C1019" i="2"/>
  <c r="C1023" i="2"/>
  <c r="C1024" i="2"/>
  <c r="C1028" i="2"/>
  <c r="D1014" i="2"/>
  <c r="C1011" i="2"/>
  <c r="C1039" i="2"/>
  <c r="C1036" i="2"/>
  <c r="C1043" i="2"/>
  <c r="C1047" i="2"/>
  <c r="C1046" i="2"/>
  <c r="C1052" i="2"/>
  <c r="C1030" i="2"/>
  <c r="C1074" i="2"/>
  <c r="C1086" i="2"/>
  <c r="C1119" i="2"/>
  <c r="C1109" i="2"/>
  <c r="C1106" i="2"/>
  <c r="C1100" i="2"/>
  <c r="C1095" i="2"/>
  <c r="C1090" i="2"/>
  <c r="D1090" i="2" s="1"/>
  <c r="C1110" i="2"/>
  <c r="C1101" i="2"/>
  <c r="C1134" i="2"/>
  <c r="C1133" i="2"/>
  <c r="C1136" i="2"/>
  <c r="C1135" i="2"/>
  <c r="C1156" i="2"/>
  <c r="C1151" i="2"/>
  <c r="C1168" i="2"/>
  <c r="C1171" i="2"/>
  <c r="D1173" i="2"/>
  <c r="C1167" i="2"/>
  <c r="C1163" i="2"/>
  <c r="C1186" i="2"/>
  <c r="C1192" i="2"/>
  <c r="C1208" i="2"/>
  <c r="C1204" i="2"/>
  <c r="C1198" i="2"/>
  <c r="C1205" i="2"/>
  <c r="C1267" i="2"/>
  <c r="C1271" i="2"/>
  <c r="C1256" i="2"/>
  <c r="C1258" i="2"/>
  <c r="C1255" i="2"/>
  <c r="C1280" i="2"/>
  <c r="C1275" i="2"/>
  <c r="C1273" i="2"/>
  <c r="C1274" i="2"/>
  <c r="C1302" i="2"/>
  <c r="D1302" i="2" s="1"/>
  <c r="C1288" i="2"/>
  <c r="C1298" i="2"/>
  <c r="C1299" i="2"/>
  <c r="C1300" i="2"/>
  <c r="C1304" i="2"/>
  <c r="C1312" i="2"/>
  <c r="C1320" i="2"/>
  <c r="C1333" i="2"/>
  <c r="C1342" i="2"/>
  <c r="C1377" i="2"/>
  <c r="C1366" i="2"/>
  <c r="C1356" i="2"/>
  <c r="C1351" i="2"/>
  <c r="C1392" i="2"/>
  <c r="C1388" i="2"/>
  <c r="C1402" i="2"/>
  <c r="C1412" i="2"/>
  <c r="C1425" i="2"/>
  <c r="C1443" i="2"/>
  <c r="C1441" i="2"/>
  <c r="C1464" i="2"/>
  <c r="D1465" i="2"/>
  <c r="C1495" i="2"/>
  <c r="C1502" i="2"/>
  <c r="C1503" i="2"/>
  <c r="C1523" i="2"/>
  <c r="C1516" i="2"/>
  <c r="C1517" i="2"/>
  <c r="C1518" i="2"/>
  <c r="C1519" i="2"/>
  <c r="C1520" i="2"/>
  <c r="C1530" i="2"/>
  <c r="C1515" i="2"/>
  <c r="C1508" i="2"/>
  <c r="C1509" i="2"/>
  <c r="C1510" i="2"/>
  <c r="D1510" i="2" s="1"/>
  <c r="C1554" i="2"/>
  <c r="C1615" i="2"/>
  <c r="C1572" i="2"/>
  <c r="C1577" i="2"/>
  <c r="C1573" i="2"/>
  <c r="C1605" i="2"/>
  <c r="C1602" i="2"/>
  <c r="D1603" i="2"/>
  <c r="C1628" i="2"/>
  <c r="C1596" i="2"/>
  <c r="C1634" i="2"/>
  <c r="C1651" i="2"/>
  <c r="D1651" i="2" s="1"/>
  <c r="C1672" i="2"/>
  <c r="D1672" i="2" s="1"/>
  <c r="C1663" i="2"/>
  <c r="C1664" i="2"/>
  <c r="C1674" i="2"/>
  <c r="D1677" i="2"/>
  <c r="C1700" i="2"/>
  <c r="C1704" i="2"/>
  <c r="C1709" i="2"/>
  <c r="D1707" i="2"/>
  <c r="C1717" i="2"/>
  <c r="C1720" i="2"/>
  <c r="D1736" i="2"/>
  <c r="C1732" i="2"/>
  <c r="D1745" i="2"/>
  <c r="C1746" i="2"/>
  <c r="C1748" i="2"/>
  <c r="C1772" i="2"/>
  <c r="C1776" i="2"/>
  <c r="D1776" i="2" s="1"/>
  <c r="C1830" i="2"/>
  <c r="C1790" i="2"/>
  <c r="D1791" i="2"/>
  <c r="C1787" i="2"/>
  <c r="C1804" i="2"/>
  <c r="C1794" i="2"/>
  <c r="C1827" i="2"/>
  <c r="D1827" i="2" s="1"/>
  <c r="D1828" i="2"/>
  <c r="D1829" i="2"/>
  <c r="C1836" i="2"/>
  <c r="C1838" i="2"/>
  <c r="D1838" i="2" s="1"/>
  <c r="D1839" i="2"/>
  <c r="D1864" i="2"/>
  <c r="C1851" i="2"/>
  <c r="D1852" i="2"/>
  <c r="C1903" i="2"/>
  <c r="D1903" i="2" s="1"/>
  <c r="C1901" i="2"/>
  <c r="C1896" i="2"/>
  <c r="D1896" i="2" s="1"/>
  <c r="C1934" i="2"/>
  <c r="C1965" i="2"/>
  <c r="C1967" i="2"/>
  <c r="D1967" i="2" s="1"/>
  <c r="C1984" i="2"/>
  <c r="D1984" i="2" s="1"/>
  <c r="C1985" i="2"/>
  <c r="D1985" i="2" s="1"/>
  <c r="D2010" i="2"/>
  <c r="D2013" i="2"/>
  <c r="C2021" i="2"/>
  <c r="C2016" i="2"/>
  <c r="C2047" i="2"/>
  <c r="D2022" i="2"/>
  <c r="D2024" i="2"/>
  <c r="D2025" i="2"/>
  <c r="D2026" i="2"/>
  <c r="D2027" i="2"/>
  <c r="D2028" i="2"/>
  <c r="D2029" i="2"/>
  <c r="C2004" i="2"/>
  <c r="D2036" i="2"/>
  <c r="C2049" i="2"/>
  <c r="D2040" i="2"/>
  <c r="C2095" i="2"/>
  <c r="H316" i="1"/>
  <c r="H317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79" i="1"/>
  <c r="H280" i="1"/>
  <c r="H281" i="1"/>
  <c r="H282" i="1"/>
  <c r="H278" i="1"/>
  <c r="H277" i="1"/>
  <c r="H276" i="1"/>
  <c r="H274" i="1"/>
  <c r="H275" i="1"/>
  <c r="H273" i="1"/>
  <c r="H272" i="1"/>
  <c r="H271" i="1"/>
  <c r="H270" i="1"/>
  <c r="H267" i="1"/>
  <c r="H266" i="1"/>
  <c r="H265" i="1"/>
  <c r="H264" i="1"/>
  <c r="H263" i="1"/>
  <c r="H262" i="1"/>
  <c r="H261" i="1"/>
  <c r="H255" i="1"/>
  <c r="H256" i="1"/>
  <c r="H257" i="1"/>
  <c r="H258" i="1"/>
  <c r="H259" i="1"/>
  <c r="H260" i="1"/>
  <c r="H269" i="1"/>
  <c r="H268" i="1"/>
  <c r="H247" i="1"/>
  <c r="H248" i="1"/>
  <c r="H249" i="1"/>
  <c r="H250" i="1"/>
  <c r="H251" i="1"/>
  <c r="H252" i="1"/>
  <c r="H253" i="1"/>
  <c r="H254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0" i="1"/>
  <c r="H228" i="1"/>
  <c r="H229" i="1"/>
  <c r="H231" i="1"/>
  <c r="H227" i="1"/>
  <c r="H226" i="1"/>
  <c r="H225" i="1"/>
  <c r="H224" i="1"/>
  <c r="H223" i="1"/>
  <c r="H222" i="1"/>
  <c r="H215" i="1"/>
  <c r="H216" i="1"/>
  <c r="H217" i="1"/>
  <c r="H218" i="1"/>
  <c r="H219" i="1"/>
  <c r="H220" i="1"/>
  <c r="H221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199" i="1"/>
  <c r="H188" i="1"/>
  <c r="H189" i="1"/>
  <c r="H190" i="1"/>
  <c r="H191" i="1"/>
  <c r="H192" i="1"/>
  <c r="H193" i="1"/>
  <c r="H194" i="1"/>
  <c r="H195" i="1"/>
  <c r="H196" i="1"/>
  <c r="H197" i="1"/>
  <c r="H198" i="1"/>
  <c r="H187" i="1"/>
  <c r="H183" i="1"/>
  <c r="H184" i="1"/>
  <c r="H185" i="1"/>
  <c r="H186" i="1"/>
  <c r="H175" i="1"/>
  <c r="H176" i="1"/>
  <c r="H177" i="1"/>
  <c r="H178" i="1"/>
  <c r="H179" i="1"/>
  <c r="H180" i="1"/>
  <c r="H181" i="1"/>
  <c r="H182" i="1"/>
  <c r="H172" i="1"/>
  <c r="H173" i="1"/>
  <c r="H174" i="1"/>
  <c r="H171" i="1"/>
  <c r="H167" i="1"/>
  <c r="H168" i="1"/>
  <c r="H169" i="1"/>
  <c r="H170" i="1"/>
  <c r="H166" i="1"/>
  <c r="H162" i="1"/>
  <c r="H163" i="1"/>
  <c r="H164" i="1"/>
  <c r="H165" i="1"/>
  <c r="H161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23" i="1"/>
  <c r="H131" i="1"/>
  <c r="H132" i="1"/>
  <c r="H133" i="1"/>
  <c r="H134" i="1"/>
  <c r="H136" i="1"/>
  <c r="H138" i="1"/>
  <c r="H139" i="1"/>
  <c r="H140" i="1"/>
  <c r="H141" i="1"/>
  <c r="H142" i="1"/>
  <c r="H143" i="1"/>
  <c r="H144" i="1"/>
  <c r="H145" i="1"/>
  <c r="H129" i="1"/>
  <c r="H128" i="1"/>
  <c r="H126" i="1"/>
  <c r="H127" i="1"/>
  <c r="H125" i="1"/>
  <c r="H124" i="1"/>
  <c r="H130" i="1"/>
  <c r="H135" i="1"/>
  <c r="H137" i="1"/>
  <c r="H122" i="1"/>
  <c r="H119" i="1"/>
  <c r="H120" i="1"/>
  <c r="H121" i="1"/>
  <c r="H118" i="1"/>
  <c r="H117" i="1"/>
  <c r="H116" i="1"/>
  <c r="H115" i="1"/>
  <c r="H114" i="1"/>
  <c r="H113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92" i="1"/>
  <c r="H93" i="1"/>
  <c r="H94" i="1"/>
  <c r="H95" i="1"/>
  <c r="H96" i="1"/>
  <c r="H97" i="1"/>
  <c r="H84" i="1"/>
  <c r="H85" i="1"/>
  <c r="H86" i="1"/>
  <c r="H87" i="1"/>
  <c r="H88" i="1"/>
  <c r="H89" i="1"/>
  <c r="H90" i="1"/>
  <c r="H91" i="1"/>
  <c r="H83" i="1"/>
  <c r="H82" i="1"/>
  <c r="H65" i="1"/>
  <c r="D1205" i="2" l="1"/>
  <c r="D638" i="2"/>
  <c r="D1917" i="2"/>
  <c r="D1837" i="2"/>
  <c r="D1804" i="2"/>
  <c r="D1690" i="2"/>
  <c r="D1662" i="2"/>
  <c r="D1656" i="2"/>
  <c r="D1582" i="2"/>
  <c r="D1504" i="2"/>
  <c r="D1441" i="2"/>
  <c r="D1402" i="2"/>
  <c r="D1374" i="2"/>
  <c r="D1344" i="2"/>
  <c r="D1164" i="2"/>
  <c r="D1112" i="2"/>
  <c r="D1030" i="2"/>
  <c r="D1044" i="2"/>
  <c r="D1024" i="2"/>
  <c r="D915" i="2"/>
  <c r="D2033" i="2"/>
  <c r="D2004" i="2"/>
  <c r="D2023" i="2"/>
  <c r="D1934" i="2"/>
  <c r="D1836" i="2"/>
  <c r="D1689" i="2"/>
  <c r="D1671" i="2"/>
  <c r="D1654" i="2"/>
  <c r="D1526" i="2"/>
  <c r="D1459" i="2"/>
  <c r="D1389" i="2"/>
  <c r="D1351" i="2"/>
  <c r="D1373" i="2"/>
  <c r="D1343" i="2"/>
  <c r="D1313" i="2"/>
  <c r="D1916" i="2"/>
  <c r="D1701" i="2"/>
  <c r="D1669" i="2"/>
  <c r="D1653" i="2"/>
  <c r="D1578" i="2"/>
  <c r="D1525" i="2"/>
  <c r="D1530" i="2"/>
  <c r="D1492" i="2"/>
  <c r="D1388" i="2"/>
  <c r="D1372" i="2"/>
  <c r="D1342" i="2"/>
  <c r="D1312" i="2"/>
  <c r="D1256" i="2"/>
  <c r="D1746" i="2"/>
  <c r="D1291" i="2"/>
  <c r="D1204" i="2"/>
  <c r="D1151" i="2"/>
  <c r="D1029" i="2"/>
  <c r="D1022" i="2"/>
  <c r="D1005" i="2"/>
  <c r="D992" i="2"/>
  <c r="D933" i="2"/>
  <c r="D908" i="2"/>
  <c r="D876" i="2"/>
  <c r="D1700" i="2"/>
  <c r="D1686" i="2"/>
  <c r="D1652" i="2"/>
  <c r="D1616" i="2"/>
  <c r="D1414" i="2"/>
  <c r="D2047" i="2"/>
  <c r="D1897" i="2"/>
  <c r="D1853" i="2"/>
  <c r="D1851" i="2"/>
  <c r="D1748" i="2"/>
  <c r="D1744" i="2"/>
  <c r="D1708" i="2"/>
  <c r="D1705" i="2"/>
  <c r="D1664" i="2"/>
  <c r="D1641" i="2"/>
  <c r="D1588" i="2"/>
  <c r="D1557" i="2"/>
  <c r="D1509" i="2"/>
  <c r="D1502" i="2"/>
  <c r="D1397" i="2"/>
  <c r="D1356" i="2"/>
  <c r="D1375" i="2"/>
  <c r="D1339" i="2"/>
  <c r="D1247" i="2"/>
  <c r="D1208" i="2"/>
  <c r="D1172" i="2"/>
  <c r="D1135" i="2"/>
  <c r="D1053" i="2"/>
  <c r="D1704" i="2"/>
  <c r="D1613" i="2"/>
  <c r="D1508" i="2"/>
  <c r="D1377" i="2"/>
  <c r="D1320" i="2"/>
  <c r="D1305" i="2"/>
  <c r="D1300" i="2"/>
  <c r="D1171" i="2"/>
  <c r="D1109" i="2"/>
  <c r="D1052" i="2"/>
  <c r="D1019" i="2"/>
  <c r="D980" i="2"/>
  <c r="D961" i="2"/>
  <c r="D923" i="2"/>
  <c r="D1574" i="2"/>
  <c r="D1594" i="2"/>
  <c r="D1538" i="2"/>
  <c r="D1425" i="2"/>
  <c r="D1398" i="2"/>
  <c r="D1369" i="2"/>
  <c r="D1346" i="2"/>
  <c r="D1304" i="2"/>
  <c r="D1299" i="2"/>
  <c r="D1123" i="2"/>
  <c r="D1095" i="2"/>
  <c r="D1040" i="2"/>
  <c r="D1017" i="2"/>
  <c r="D974" i="2"/>
  <c r="D922" i="2"/>
  <c r="D902" i="2"/>
  <c r="D1676" i="2"/>
  <c r="D1573" i="2"/>
  <c r="D1424" i="2"/>
  <c r="D1368" i="2"/>
  <c r="D1345" i="2"/>
  <c r="D1298" i="2"/>
  <c r="D1168" i="2"/>
  <c r="D1136" i="2"/>
  <c r="D1084" i="2"/>
  <c r="D1039" i="2"/>
  <c r="D1016" i="2"/>
  <c r="D973" i="2"/>
  <c r="D921" i="2"/>
  <c r="D899" i="2"/>
  <c r="D1735" i="2"/>
  <c r="D1675" i="2"/>
  <c r="D1636" i="2"/>
  <c r="D1606" i="2"/>
  <c r="D1577" i="2"/>
  <c r="D1523" i="2"/>
  <c r="D1423" i="2"/>
  <c r="D1367" i="2"/>
  <c r="D1262" i="2"/>
  <c r="D1101" i="2"/>
  <c r="D1046" i="2"/>
  <c r="D950" i="2"/>
  <c r="D882" i="2"/>
  <c r="D1790" i="2"/>
  <c r="D1674" i="2"/>
  <c r="D1635" i="2"/>
  <c r="D1605" i="2"/>
  <c r="D1495" i="2"/>
  <c r="D1455" i="2"/>
  <c r="D1381" i="2"/>
  <c r="D1366" i="2"/>
  <c r="D1341" i="2"/>
  <c r="D1332" i="2"/>
  <c r="D1293" i="2"/>
  <c r="D1280" i="2"/>
  <c r="D1261" i="2"/>
  <c r="D1206" i="2"/>
  <c r="D1192" i="2"/>
  <c r="D1156" i="2"/>
  <c r="D1086" i="2"/>
  <c r="D1031" i="2"/>
  <c r="D1047" i="2"/>
  <c r="D1026" i="2"/>
  <c r="D979" i="2"/>
  <c r="D945" i="2"/>
  <c r="D881" i="2"/>
  <c r="D880" i="2"/>
  <c r="D838" i="2"/>
  <c r="D878" i="2"/>
  <c r="D783" i="2"/>
  <c r="D761" i="2"/>
  <c r="D1163" i="2"/>
  <c r="D1111" i="2"/>
  <c r="D1100" i="2"/>
  <c r="D1077" i="2"/>
  <c r="D1043" i="2"/>
  <c r="D960" i="2"/>
  <c r="D949" i="2"/>
  <c r="D916" i="2"/>
  <c r="D884" i="2"/>
  <c r="D1157" i="2"/>
  <c r="D1110" i="2"/>
  <c r="D1048" i="2"/>
  <c r="D1007" i="2"/>
  <c r="D959" i="2"/>
  <c r="D948" i="2"/>
  <c r="D883" i="2"/>
  <c r="D863" i="2"/>
  <c r="D767" i="2"/>
  <c r="D844" i="2"/>
  <c r="D792" i="2"/>
  <c r="D1685" i="2"/>
  <c r="D1604" i="2"/>
  <c r="D1615" i="2"/>
  <c r="D1303" i="2"/>
  <c r="D1275" i="2"/>
  <c r="D1167" i="2"/>
  <c r="D1129" i="2"/>
  <c r="D1021" i="2"/>
  <c r="D998" i="2"/>
  <c r="D940" i="2"/>
  <c r="D875" i="2"/>
  <c r="D855" i="2"/>
  <c r="D846" i="2"/>
  <c r="D807" i="2"/>
  <c r="D874" i="2"/>
  <c r="D858" i="2"/>
  <c r="D777" i="2"/>
  <c r="D873" i="2"/>
  <c r="D794" i="2"/>
  <c r="D776" i="2"/>
  <c r="D845" i="2"/>
  <c r="D775" i="2"/>
  <c r="D822" i="2"/>
  <c r="D819" i="2"/>
  <c r="D774" i="2"/>
  <c r="D784" i="2"/>
  <c r="D773" i="2"/>
  <c r="D762" i="2"/>
  <c r="D779" i="2"/>
  <c r="H61" i="1"/>
  <c r="H62" i="1"/>
  <c r="H63" i="1"/>
  <c r="H64" i="1"/>
  <c r="H60" i="1"/>
  <c r="H71" i="1"/>
  <c r="H72" i="1"/>
  <c r="H68" i="1"/>
  <c r="H69" i="1"/>
  <c r="H70" i="1"/>
  <c r="H73" i="1"/>
  <c r="H74" i="1"/>
  <c r="H75" i="1"/>
  <c r="H76" i="1"/>
  <c r="H77" i="1"/>
  <c r="H78" i="1"/>
  <c r="H79" i="1"/>
  <c r="H80" i="1"/>
  <c r="H81" i="1"/>
  <c r="H67" i="1"/>
  <c r="H66" i="1"/>
  <c r="H37" i="1"/>
  <c r="H55" i="1"/>
  <c r="H56" i="1"/>
  <c r="H57" i="1"/>
  <c r="H58" i="1"/>
  <c r="H59" i="1"/>
  <c r="H50" i="1"/>
  <c r="H54" i="1"/>
  <c r="H49" i="1"/>
  <c r="H51" i="1"/>
  <c r="H52" i="1"/>
  <c r="H53" i="1"/>
  <c r="H48" i="1"/>
  <c r="H39" i="1"/>
  <c r="H40" i="1"/>
  <c r="H41" i="1"/>
  <c r="H42" i="1"/>
  <c r="H43" i="1"/>
  <c r="H44" i="1"/>
  <c r="H45" i="1"/>
  <c r="H46" i="1"/>
  <c r="H47" i="1"/>
  <c r="H38" i="1"/>
  <c r="H31" i="1" l="1"/>
  <c r="H28" i="1"/>
  <c r="H29" i="1"/>
  <c r="H30" i="1"/>
  <c r="H32" i="1"/>
  <c r="H33" i="1"/>
  <c r="H34" i="1"/>
  <c r="H35" i="1"/>
  <c r="H36" i="1"/>
  <c r="H18" i="1"/>
  <c r="H11" i="1"/>
  <c r="H4" i="1"/>
  <c r="H5" i="1"/>
  <c r="H6" i="1"/>
  <c r="H7" i="1"/>
  <c r="H8" i="1"/>
  <c r="H9" i="1"/>
  <c r="H10" i="1"/>
  <c r="H12" i="1"/>
  <c r="H13" i="1"/>
  <c r="H14" i="1"/>
  <c r="H15" i="1"/>
  <c r="H16" i="1"/>
  <c r="H17" i="1"/>
  <c r="H19" i="1"/>
  <c r="H20" i="1"/>
  <c r="H21" i="1"/>
  <c r="H22" i="1"/>
  <c r="H23" i="1"/>
  <c r="H24" i="1"/>
  <c r="H25" i="1"/>
  <c r="H26" i="1"/>
  <c r="H27" i="1"/>
  <c r="H3" i="1"/>
</calcChain>
</file>

<file path=xl/sharedStrings.xml><?xml version="1.0" encoding="utf-8"?>
<sst xmlns="http://schemas.openxmlformats.org/spreadsheetml/2006/main" count="21028" uniqueCount="2714">
  <si>
    <t>TEXCOCO</t>
  </si>
  <si>
    <t>SINUHE ALTAMIRANO COBOS</t>
  </si>
  <si>
    <t>EJIDO DE TEPEOLULCO</t>
  </si>
  <si>
    <t>LUIS JIMENEZ</t>
  </si>
  <si>
    <t>LA PALMA</t>
  </si>
  <si>
    <t>EMILIO MANZO BAHENA</t>
  </si>
  <si>
    <t>TULPETLAC</t>
  </si>
  <si>
    <t>FELIPE DE JESUS MEJIA</t>
  </si>
  <si>
    <t>ENRIQUETA LOZANO</t>
  </si>
  <si>
    <t>JORGE NEGRETE</t>
  </si>
  <si>
    <t>JAVIER</t>
  </si>
  <si>
    <t>JORGE</t>
  </si>
  <si>
    <t>ERNESTO ABUDIS</t>
  </si>
  <si>
    <t>HUBER BERNABE BAHENA</t>
  </si>
  <si>
    <t>EL SEGOR</t>
  </si>
  <si>
    <t>JULIO CESAR PEÑA</t>
  </si>
  <si>
    <t>EJIDOS DE SAN CRISTOBAL</t>
  </si>
  <si>
    <t>JOEL</t>
  </si>
  <si>
    <t>VIRGINIA ESPINOZA</t>
  </si>
  <si>
    <t>GUSTAVO DIAZ ORDAZ</t>
  </si>
  <si>
    <t>ARMANDO MEDELLIN SANCHEZ</t>
  </si>
  <si>
    <t>PRIZO 1</t>
  </si>
  <si>
    <t>GUADALUPE SANCHEZ</t>
  </si>
  <si>
    <t>NEZAHUALCOYOTL</t>
  </si>
  <si>
    <t>VERONICA DIOSADO</t>
  </si>
  <si>
    <t>MARIO ALBERTO RODRIGUEZ CABRERA</t>
  </si>
  <si>
    <t>NVA ATZACOALCO</t>
  </si>
  <si>
    <t>JUAN UVALLE</t>
  </si>
  <si>
    <t>SAN JUAN IXHUATEPEC</t>
  </si>
  <si>
    <t>348164 345162</t>
  </si>
  <si>
    <t>URBANA IXHUATEPEC</t>
  </si>
  <si>
    <t>FRANCISCO LOPEZ ALVAREZ</t>
  </si>
  <si>
    <t>TOLOTZIN</t>
  </si>
  <si>
    <t>MIGUEL JARAMILLO MEDINA</t>
  </si>
  <si>
    <t>CD LAGO</t>
  </si>
  <si>
    <t xml:space="preserve">GRANJAS </t>
  </si>
  <si>
    <t>ROGELIO CORREA</t>
  </si>
  <si>
    <t>LAS AMERICAS</t>
  </si>
  <si>
    <t>GERARDO PEÑA GRUPO MARHAM</t>
  </si>
  <si>
    <t>JERDINES DE MORELOS</t>
  </si>
  <si>
    <t>NESTOR RUIZ M</t>
  </si>
  <si>
    <t>LAZARO CARDENAS</t>
  </si>
  <si>
    <t>IMEI PIRAMIDE / ELIAS HERNANDEZ</t>
  </si>
  <si>
    <t>JARDINES DE SANTA CLARA</t>
  </si>
  <si>
    <t>SANTA CLRA</t>
  </si>
  <si>
    <t xml:space="preserve">LILIA PATRICIA CERVANTES </t>
  </si>
  <si>
    <t>XALOSTOC</t>
  </si>
  <si>
    <t>ISRAEL</t>
  </si>
  <si>
    <t>ALVARO OBREGON</t>
  </si>
  <si>
    <t>EDGAR AMNUEL MANUEL TELLEZ GONZALEZ / HECTOR MORALES</t>
  </si>
  <si>
    <t>SCHIFFE</t>
  </si>
  <si>
    <t>RICARDO SALINAS RIVERA</t>
  </si>
  <si>
    <t>MAGDALENA CONTERAS</t>
  </si>
  <si>
    <t>ANTONIO RUIZ SANTANA</t>
  </si>
  <si>
    <t>VASCO DE QUIROGA</t>
  </si>
  <si>
    <t>MIGUEL ANGEL PEREZ</t>
  </si>
  <si>
    <t>AZCAPOTZALCO</t>
  </si>
  <si>
    <t>CLAUDIA ABUNDIS</t>
  </si>
  <si>
    <t>EJE 8</t>
  </si>
  <si>
    <t>DAVID CAVITA</t>
  </si>
  <si>
    <t>JORGE JIMENEZ CANTU</t>
  </si>
  <si>
    <t>HECTOR JIMENEZ</t>
  </si>
  <si>
    <t>IVAN ESCARTIN</t>
  </si>
  <si>
    <t>VALLE DE ANAHUAC</t>
  </si>
  <si>
    <t>GENARO ALVAREZ</t>
  </si>
  <si>
    <t>NUEVA ARAGON</t>
  </si>
  <si>
    <t>JUDITH BARRERA GOMEZ</t>
  </si>
  <si>
    <t xml:space="preserve">MICHELLE ALICIA ARIAS </t>
  </si>
  <si>
    <t>VALLE DE ARAGON</t>
  </si>
  <si>
    <t>MAX SANDOVAL</t>
  </si>
  <si>
    <t>EMILIANO ZAPATA</t>
  </si>
  <si>
    <t>PEDRO ROMERO RIOS</t>
  </si>
  <si>
    <t>VALLE DE GUADALUPE</t>
  </si>
  <si>
    <t>M. ARQ. A. ESTUDIO</t>
  </si>
  <si>
    <t>JARDINES DEL TEPEYAC</t>
  </si>
  <si>
    <t>ALEJANDRO MALDONADO</t>
  </si>
  <si>
    <t xml:space="preserve">SAN CRISTOBAL </t>
  </si>
  <si>
    <t>JOSE RUBEN MENDIETA</t>
  </si>
  <si>
    <t>SANTA MARIA TULPETLAC</t>
  </si>
  <si>
    <t>YOUR PAP</t>
  </si>
  <si>
    <t>SANTO TOMAS CHICONAUTLA</t>
  </si>
  <si>
    <t>VICTOR CANDIA</t>
  </si>
  <si>
    <t>HEROES DE LA INDEPENDENCIA</t>
  </si>
  <si>
    <t>MONSERRAT GUADALUPE MORALES BLAS</t>
  </si>
  <si>
    <t>SAN AGUSTIN</t>
  </si>
  <si>
    <t>IVAN MERIDA TREJO</t>
  </si>
  <si>
    <t>FRACCIONAMIENTO QUINTA VERSALLES</t>
  </si>
  <si>
    <t>ALBERTO CASIO</t>
  </si>
  <si>
    <t>SANTA CLARA</t>
  </si>
  <si>
    <t>JESUS GOMEZ</t>
  </si>
  <si>
    <t>FUENTES DE ECATEPEC</t>
  </si>
  <si>
    <t>HELDAR DANIEL REYES GARCIA / JOSHUA RODRIGUEZ</t>
  </si>
  <si>
    <t>BERNARDO JACOB HERNANDEZ DIAZ</t>
  </si>
  <si>
    <t>EL ARBOL</t>
  </si>
  <si>
    <t>ALAN GABRIEL CORREA GALICIA</t>
  </si>
  <si>
    <t>TEODORO ANTONIO MARTINEZ RUIZ</t>
  </si>
  <si>
    <t>ISIDRO ROSALES MORALES</t>
  </si>
  <si>
    <t>COL FRANCISCO VILLA</t>
  </si>
  <si>
    <t>OMAR SANTELIZ</t>
  </si>
  <si>
    <t>DANIEL MONTIEL GOMEZ</t>
  </si>
  <si>
    <t>OSCAR MALDONADO</t>
  </si>
  <si>
    <t>COL PANORAMICA</t>
  </si>
  <si>
    <t>ALBERTO GUERRERO</t>
  </si>
  <si>
    <t>SAN PEDRO XALOSTOC</t>
  </si>
  <si>
    <t>ISMAEL VAZQUEZ</t>
  </si>
  <si>
    <t>SAN ANDRES DE LA CAÑADA</t>
  </si>
  <si>
    <t>MIGUEL CASTILLO</t>
  </si>
  <si>
    <t>MIGUEL HIDALGO</t>
  </si>
  <si>
    <t>JOSUE RAMIREZ</t>
  </si>
  <si>
    <t>DANIEL ESTEVES</t>
  </si>
  <si>
    <t>RICARDO NERI</t>
  </si>
  <si>
    <t>CAMPESTRE GUADALUPANA</t>
  </si>
  <si>
    <t>CARLA CORDOVA</t>
  </si>
  <si>
    <t>SAN FELIPE DE JESUS</t>
  </si>
  <si>
    <t>LUIS MARTINEZ PEREZ</t>
  </si>
  <si>
    <t>NUEVA ATZACOALCO</t>
  </si>
  <si>
    <t>CESAR NICOLAS</t>
  </si>
  <si>
    <t>GRANJAS VALLE DE GUADALUPE</t>
  </si>
  <si>
    <t>ARMANDO MEDELLIN</t>
  </si>
  <si>
    <t>PRIZO</t>
  </si>
  <si>
    <t>FELIPE MEJIA</t>
  </si>
  <si>
    <t>ARTURO RODRIGUEZ</t>
  </si>
  <si>
    <t>NOE FLORES ALDANA</t>
  </si>
  <si>
    <t>SANTA ISABEL TOLA</t>
  </si>
  <si>
    <t>JAVER GRANADOS CRUZ</t>
  </si>
  <si>
    <t>TICOMAN</t>
  </si>
  <si>
    <t>LAZARO HERNANDEZ GONZALEZ</t>
  </si>
  <si>
    <t>TLALNEANTLA</t>
  </si>
  <si>
    <t>ANDRES PEÑA</t>
  </si>
  <si>
    <t>DIVISION DEL NORTE</t>
  </si>
  <si>
    <t>SAN CRISTOBAL</t>
  </si>
  <si>
    <t>ELVIRA ARELLANO</t>
  </si>
  <si>
    <t>ROMAN ROJAS</t>
  </si>
  <si>
    <t>SERVAMA</t>
  </si>
  <si>
    <t>ALAMILA RODRIGUEZ CIPRIANO</t>
  </si>
  <si>
    <t>RICARDO AUDAVE</t>
  </si>
  <si>
    <t>DIEGO MARTINEZ</t>
  </si>
  <si>
    <t>SOLUCIONES Y MANTENIMIENTO TACHOS</t>
  </si>
  <si>
    <t>JARDINES DE MORELOS</t>
  </si>
  <si>
    <t>DANIEL MARTINEZ</t>
  </si>
  <si>
    <t>LA CHIRIPA</t>
  </si>
  <si>
    <t>EUSTALIA PEREZ HERNANDEZ</t>
  </si>
  <si>
    <t>JOSUE TORRES</t>
  </si>
  <si>
    <t>OTTONIEL</t>
  </si>
  <si>
    <t>LA PRESA</t>
  </si>
  <si>
    <t>PAULINO FERNANDEZ</t>
  </si>
  <si>
    <t>S/N</t>
  </si>
  <si>
    <t>CUAUTITLAN IZCALLI</t>
  </si>
  <si>
    <t>MERCADO LAS FUENTES</t>
  </si>
  <si>
    <t>CUAUTEPEC</t>
  </si>
  <si>
    <t>GONZALO R</t>
  </si>
  <si>
    <t>LARRY JUAREZ</t>
  </si>
  <si>
    <t>GABRIEL HERNANDEZ</t>
  </si>
  <si>
    <t>HANK GONZALEZ</t>
  </si>
  <si>
    <t>JOSEFA ORTIZ DE DOMIGUEZ</t>
  </si>
  <si>
    <t>MEXICO INDEPENDIENTE</t>
  </si>
  <si>
    <t>JULIO A GODOY</t>
  </si>
  <si>
    <t>POLIGNO 5</t>
  </si>
  <si>
    <t>ORLANDO ALEXIS</t>
  </si>
  <si>
    <t>PLAZAS DE ARAGON</t>
  </si>
  <si>
    <t>PABLO GAYTAN</t>
  </si>
  <si>
    <t>CARACOLES</t>
  </si>
  <si>
    <t>SERGIO HERNANDEZ</t>
  </si>
  <si>
    <t>INDUSTRIAS ECATEPEC</t>
  </si>
  <si>
    <t>JUAN CARLOS</t>
  </si>
  <si>
    <t>LA ESPERANZA</t>
  </si>
  <si>
    <t>ARTURO ALBA GUERRERO</t>
  </si>
  <si>
    <t>ESTRELLA</t>
  </si>
  <si>
    <t>JOSE JUAN PEREZ</t>
  </si>
  <si>
    <t>KEN SERENO CHAVEZ</t>
  </si>
  <si>
    <t>TEOCALLIS</t>
  </si>
  <si>
    <t>CRISTIAN LUGO</t>
  </si>
  <si>
    <t>EDUARDO ALARCON</t>
  </si>
  <si>
    <t>SISTEMA COBRA DE SEGURIDAD</t>
  </si>
  <si>
    <t>MEXICO INSURGENTE</t>
  </si>
  <si>
    <t>JOSE LUIS MENDOZA</t>
  </si>
  <si>
    <t>MARGARITA MAZA DE H¿JUAREZ</t>
  </si>
  <si>
    <t>MARCO A CARDENAS</t>
  </si>
  <si>
    <t>XOCHITENCO</t>
  </si>
  <si>
    <t>WENCESLAO</t>
  </si>
  <si>
    <t>GUERRERO</t>
  </si>
  <si>
    <t>TEZOYUCA</t>
  </si>
  <si>
    <t>ANDRES ROCHA / JACINTO CRUZ</t>
  </si>
  <si>
    <t>EL RISCO</t>
  </si>
  <si>
    <t>JESUS CANALES SANCHEZ</t>
  </si>
  <si>
    <t>LA MALINCHE</t>
  </si>
  <si>
    <t>VICTOR OJEDA</t>
  </si>
  <si>
    <t>CASAS ALEMAN</t>
  </si>
  <si>
    <t>OCTAVIO HERNANDEZ</t>
  </si>
  <si>
    <t>NICOLAS  MEDRANO FARFAN</t>
  </si>
  <si>
    <t>XALPA</t>
  </si>
  <si>
    <t>LAMTEK MUEBLES</t>
  </si>
  <si>
    <t>MEXICO PREHISPANICO</t>
  </si>
  <si>
    <t>OSCAR SANCHEZ</t>
  </si>
  <si>
    <t>LUIS OROZCO</t>
  </si>
  <si>
    <t>HEROES BOSQUES</t>
  </si>
  <si>
    <t>RICARDO TORRES</t>
  </si>
  <si>
    <t>COL LA PURISIMA</t>
  </si>
  <si>
    <t xml:space="preserve">LUIS CASTILLO </t>
  </si>
  <si>
    <t>TEXOPA</t>
  </si>
  <si>
    <t>JUAN CARLOS HERNANDEZ GONZALES</t>
  </si>
  <si>
    <t>CHAMIZAL</t>
  </si>
  <si>
    <t>MAURICIO</t>
  </si>
  <si>
    <t>SAGITARIO 5</t>
  </si>
  <si>
    <t>SAN JUAN DE ARAGON</t>
  </si>
  <si>
    <t>EDUARDO PEHA RAMIREZ</t>
  </si>
  <si>
    <t>JARDINES DE TEPEYAC</t>
  </si>
  <si>
    <t>JESUS MARTIN GUADARRAMA</t>
  </si>
  <si>
    <t>VILLA DE GUADALUPE</t>
  </si>
  <si>
    <t xml:space="preserve">ADAN HERNANDEZ </t>
  </si>
  <si>
    <t xml:space="preserve">SAGITARIO </t>
  </si>
  <si>
    <t>MEREDITH REZENDIZ</t>
  </si>
  <si>
    <t>SAN CARLOS</t>
  </si>
  <si>
    <t>EDUARDO MUÑOZ</t>
  </si>
  <si>
    <t>STA CLARA</t>
  </si>
  <si>
    <t>OMAR GOMEZ</t>
  </si>
  <si>
    <t>ISRAEL HERNANDEZ</t>
  </si>
  <si>
    <t>MIGUEL FLORES</t>
  </si>
  <si>
    <t>JARDINES DE CERRO GORDO</t>
  </si>
  <si>
    <t>PEND DE ENVIO</t>
  </si>
  <si>
    <t>EGMA CONSTRUCCIONES Y PROYECTOS</t>
  </si>
  <si>
    <t>SALVADOR DIAZ</t>
  </si>
  <si>
    <t>GABRIEL LUNA</t>
  </si>
  <si>
    <t>BRANDON ROSALES ACUÑA</t>
  </si>
  <si>
    <t>CLAUDIA GARCIA LUCIANO</t>
  </si>
  <si>
    <t>EL SALADO</t>
  </si>
  <si>
    <t>CUAUHTEMOC AVILA</t>
  </si>
  <si>
    <t>VERONICA FONSECA</t>
  </si>
  <si>
    <t>ATZACOALCO</t>
  </si>
  <si>
    <t>IGNACIO PEREZ</t>
  </si>
  <si>
    <t>MANUEL HORTA REYNA</t>
  </si>
  <si>
    <t>ARMANDO MORQUECHO</t>
  </si>
  <si>
    <t>ENRIQUE GUZMAN ESCALONA</t>
  </si>
  <si>
    <t>PABLO MORENO GONZALEZ</t>
  </si>
  <si>
    <t>JUAN CARLOS SANTIAGO</t>
  </si>
  <si>
    <t>ARBOLEDAS XALOSTOC</t>
  </si>
  <si>
    <t>ANGEL GABRIEL CRUZ</t>
  </si>
  <si>
    <t>TABLAS DEL POZO</t>
  </si>
  <si>
    <t>DYLAN SANTIBAÑEZ</t>
  </si>
  <si>
    <t xml:space="preserve">SERGIO SANDOVAL </t>
  </si>
  <si>
    <t>ALEJANDRO CARDONA</t>
  </si>
  <si>
    <t>ERASMO HERNANDEZ</t>
  </si>
  <si>
    <t>JARDINES  DE MORELOS</t>
  </si>
  <si>
    <t xml:space="preserve">JOEL HERNANDEZ </t>
  </si>
  <si>
    <t>LOS HEROES TECAMAC</t>
  </si>
  <si>
    <t>JOSE LUIS RAMOS</t>
  </si>
  <si>
    <t>CARLOS BARRIENTOS</t>
  </si>
  <si>
    <t>FRANCISCO HERRERA</t>
  </si>
  <si>
    <t>ACOLMAN</t>
  </si>
  <si>
    <t>IVAN CRUZ</t>
  </si>
  <si>
    <t>TONATITLA</t>
  </si>
  <si>
    <t>MARIA ELVIRA</t>
  </si>
  <si>
    <t>TULTEPEC</t>
  </si>
  <si>
    <t>FRANCISCO VILLA</t>
  </si>
  <si>
    <t>CLAUDIA ABUNDIS QUINTO</t>
  </si>
  <si>
    <t>JOSE LUIS OLMEDO</t>
  </si>
  <si>
    <t>IVAN SANCHEZ</t>
  </si>
  <si>
    <t>MIGUEL HERNANDEZ</t>
  </si>
  <si>
    <t>GUSTAVO HERNANDEZ</t>
  </si>
  <si>
    <t xml:space="preserve">JARDINES DEL TEPEYAC </t>
  </si>
  <si>
    <t>SISTEMAS INTEGRALES EN INGENIERIA</t>
  </si>
  <si>
    <t>MARIA DEL CARMEN</t>
  </si>
  <si>
    <t>ESTEBAN GOMEZ</t>
  </si>
  <si>
    <t>LUIS ANGEL SERRANO</t>
  </si>
  <si>
    <t xml:space="preserve">JORGE </t>
  </si>
  <si>
    <t>COL PIEDRA GRANDE</t>
  </si>
  <si>
    <t>JOSE LUIS SANDOVAL</t>
  </si>
  <si>
    <t>TOLOTZIN 1</t>
  </si>
  <si>
    <t>LUIS ANTONIO VELAZQUEZ</t>
  </si>
  <si>
    <t>MARTIN JOEL RODRIGUEZ</t>
  </si>
  <si>
    <t>FILIBERTO HERRERA</t>
  </si>
  <si>
    <t>ALEJANDRO MONTIEL</t>
  </si>
  <si>
    <t>ERICK RODRIGUEZ</t>
  </si>
  <si>
    <t>MAURICIO GARCIA</t>
  </si>
  <si>
    <t>AV CENTRAL</t>
  </si>
  <si>
    <t>ANGEL CALDERON</t>
  </si>
  <si>
    <t>CODICE MENDOCINO</t>
  </si>
  <si>
    <t>EDUARDO PEÑA</t>
  </si>
  <si>
    <t>OSCAR GARCIA</t>
  </si>
  <si>
    <t>SAGITARIO 1</t>
  </si>
  <si>
    <t>LAS FUENTES ECATEPEC</t>
  </si>
  <si>
    <t>ADAN CASTRO</t>
  </si>
  <si>
    <t>PATRICIO SOTO</t>
  </si>
  <si>
    <t>BAZAR DE MUEBLES R1</t>
  </si>
  <si>
    <t>RUBEN CASTELLANOS</t>
  </si>
  <si>
    <t xml:space="preserve">SAN AGUSTIN </t>
  </si>
  <si>
    <t>EDDY CARBAJAL</t>
  </si>
  <si>
    <t>LA FLORIDA</t>
  </si>
  <si>
    <t>DELIA RAMOS</t>
  </si>
  <si>
    <t>MIGUEL VALENCIA</t>
  </si>
  <si>
    <t>CIUDAD AZTECA</t>
  </si>
  <si>
    <t>JHONATHAN JMENEZ</t>
  </si>
  <si>
    <t>TECAMAC</t>
  </si>
  <si>
    <t>MEXICO COLONIAL</t>
  </si>
  <si>
    <t>CITLALLI FLORES PACHECO</t>
  </si>
  <si>
    <t>JORGE MENDOZA</t>
  </si>
  <si>
    <t>MARIA GABRIELA SAENZ</t>
  </si>
  <si>
    <t>CAMPESTRE ARAGON</t>
  </si>
  <si>
    <t>CARLOS JAVIER VELASCO</t>
  </si>
  <si>
    <t>CHURUBUSCO TEPEYAC</t>
  </si>
  <si>
    <t>KARLA NAYELLI REGALADO</t>
  </si>
  <si>
    <t>GERTRUDIZ SANCHEZ</t>
  </si>
  <si>
    <t>SAMUEL BECERRA</t>
  </si>
  <si>
    <t>TLALNEPNATLA</t>
  </si>
  <si>
    <t>JORGE A  NIÑO</t>
  </si>
  <si>
    <t>CARLOS DOMINGUEZ</t>
  </si>
  <si>
    <t>LOMAS DE LINDAVISTA</t>
  </si>
  <si>
    <t>NICOLAS MEDRANO FARFAN</t>
  </si>
  <si>
    <t>JHONATAN JIMENEZ</t>
  </si>
  <si>
    <t>GONZALO TORRIJOS</t>
  </si>
  <si>
    <t>EDGAR BAUTISTA</t>
  </si>
  <si>
    <t>XALPA IZTAPALAPA</t>
  </si>
  <si>
    <t>LEYES DE REFORMA IZTAPALAPA</t>
  </si>
  <si>
    <t>VALLE DEL TENAYO</t>
  </si>
  <si>
    <t>MIGUEL ANGEL LOPEZ</t>
  </si>
  <si>
    <t>RAFAEL SANDOVAL</t>
  </si>
  <si>
    <t>LUIS</t>
  </si>
  <si>
    <t>ANGEL DAVID / DAVID GASCA</t>
  </si>
  <si>
    <t>MODULACION Y DISEÑO</t>
  </si>
  <si>
    <t>PASEOS DEL BOSQUE</t>
  </si>
  <si>
    <t>CUAUHTEPEC TULTITLAN</t>
  </si>
  <si>
    <t>DAVID GASCA</t>
  </si>
  <si>
    <t>SIN NOMBRE</t>
  </si>
  <si>
    <t>PEDRO ESPINOZA</t>
  </si>
  <si>
    <t>POESIA MEXICANA</t>
  </si>
  <si>
    <t>ISRAEL LOPEZ</t>
  </si>
  <si>
    <t>MARIA GABRIELA SAENZ SANTANA</t>
  </si>
  <si>
    <t>CAMINO DEL ÉXITO</t>
  </si>
  <si>
    <t>VALENTE / BLANCA ESTELA SABCHEZ</t>
  </si>
  <si>
    <t>ABUNDIO GOMEZ</t>
  </si>
  <si>
    <t>YESENIKA ZAMUDIO</t>
  </si>
  <si>
    <t>DAVE TASSINARI</t>
  </si>
  <si>
    <t>UBANDO INGENIERIA</t>
  </si>
  <si>
    <t>TEPEYAC INSURGENTES</t>
  </si>
  <si>
    <t>RODRIGO SERRANO</t>
  </si>
  <si>
    <t>JUAN CARLOS ESPINOZA</t>
  </si>
  <si>
    <t>JUAN GONZALEZ ROMERO</t>
  </si>
  <si>
    <t>CITLALI FLORES PACHECO</t>
  </si>
  <si>
    <t>LEONARDO LOPEZ</t>
  </si>
  <si>
    <t>POLIGONO 5</t>
  </si>
  <si>
    <t>JOSE ARISTA REYES</t>
  </si>
  <si>
    <t>CD AZTECA ORIENTE</t>
  </si>
  <si>
    <t>LADERAS DEL PEÑON</t>
  </si>
  <si>
    <t>DANIEL MIGUEL CASTRO</t>
  </si>
  <si>
    <t>NANCY GONZALEZ</t>
  </si>
  <si>
    <t>SEGOR</t>
  </si>
  <si>
    <t>JAJALPA</t>
  </si>
  <si>
    <t>JOSE OSCAR PADRON</t>
  </si>
  <si>
    <t>ARTURO CANTO</t>
  </si>
  <si>
    <t>PENSADOR MEXICANO</t>
  </si>
  <si>
    <t>VICTOR VARGAS</t>
  </si>
  <si>
    <t>CESAR MENDOZA RODRIGUEZ</t>
  </si>
  <si>
    <t>DOLORES HIDALGO</t>
  </si>
  <si>
    <t>OPTICAS LUZO</t>
  </si>
  <si>
    <t>LA PRADERA</t>
  </si>
  <si>
    <t>MAURICIO ARUIZO</t>
  </si>
  <si>
    <t>LINDAVISTA</t>
  </si>
  <si>
    <t>MODELOS FRAMESA</t>
  </si>
  <si>
    <t>CARLOS RODRIGUEZ</t>
  </si>
  <si>
    <t>CACTUS 12</t>
  </si>
  <si>
    <t>OSVALDO CAMACHO</t>
  </si>
  <si>
    <t>RECURSOS HIDRAHULICOS</t>
  </si>
  <si>
    <t>FILIBERTO HERRRERA</t>
  </si>
  <si>
    <t>CARLOS JAVIER</t>
  </si>
  <si>
    <t>HECTOR SANCHEZ</t>
  </si>
  <si>
    <t>ROBERTO VILLALPANDO</t>
  </si>
  <si>
    <t>FLORIDA</t>
  </si>
  <si>
    <t>YANELI SANCHEZ</t>
  </si>
  <si>
    <t>SAN PEDRO Y SANTA PRISCA</t>
  </si>
  <si>
    <t>ORLANDO MAYORGA</t>
  </si>
  <si>
    <t>SALVADOR GUTIERREZ LOPEZ</t>
  </si>
  <si>
    <t>NUEVO VALLE DE ARAGON</t>
  </si>
  <si>
    <t>SERVICIOS FENIX XITIC</t>
  </si>
  <si>
    <t>SAN JOSE XALOSTOC</t>
  </si>
  <si>
    <t>JULIO CESAR RODRIGUEZ LARA</t>
  </si>
  <si>
    <t xml:space="preserve">CAMPESTRE </t>
  </si>
  <si>
    <t>BENITO CRUZ</t>
  </si>
  <si>
    <t>HEROES DE GRANADITAS</t>
  </si>
  <si>
    <t>FRANCISCO CABRERA</t>
  </si>
  <si>
    <t>EJIDOS DE TULPETLAC</t>
  </si>
  <si>
    <t>SALVADOR DIAZ BARAJAS</t>
  </si>
  <si>
    <t>DAVID CASTRO HERNANDEZ</t>
  </si>
  <si>
    <t>JOSE LUIS MARTINEZ RAMOS</t>
  </si>
  <si>
    <t>TEOTIHUACAN</t>
  </si>
  <si>
    <t>OSVALDO MARQUEZ</t>
  </si>
  <si>
    <t>TLALNEPATLA</t>
  </si>
  <si>
    <t xml:space="preserve">ANTONIO CARBAJAL </t>
  </si>
  <si>
    <t xml:space="preserve">VICTOR   </t>
  </si>
  <si>
    <t>NICOLAS ROMERO</t>
  </si>
  <si>
    <t>JESUS PITAYO VAZQUEZ</t>
  </si>
  <si>
    <t>COACALCO</t>
  </si>
  <si>
    <t>DANIEL SILVA</t>
  </si>
  <si>
    <t>LOMAS DE ATZACOALCO</t>
  </si>
  <si>
    <t>TONANITLA</t>
  </si>
  <si>
    <t>NATALIA ESPINOZA</t>
  </si>
  <si>
    <t>MARIA ELOISA CORTES</t>
  </si>
  <si>
    <t>JUAN SANCHEZ</t>
  </si>
  <si>
    <t>HECTOR GARCIA</t>
  </si>
  <si>
    <t>ISIDRO ROSALES</t>
  </si>
  <si>
    <t>SAUL GARCIA VAZQUEZ</t>
  </si>
  <si>
    <t xml:space="preserve">MARIA DOLORES RAMIREZ </t>
  </si>
  <si>
    <t>EDGAR MARTINEZ JIMENEZ</t>
  </si>
  <si>
    <t>OLIVIA EDITH RODRIGUEZ GAYTAN</t>
  </si>
  <si>
    <t>TLALNE</t>
  </si>
  <si>
    <t>ROSALBA GUERRERO AMADOR</t>
  </si>
  <si>
    <t>INDUSTRIAS  TULPETLAC</t>
  </si>
  <si>
    <t>CIPRIANO ALAMILLA</t>
  </si>
  <si>
    <t>VICENTE MARTINEZ</t>
  </si>
  <si>
    <t>FREDY FIERRO</t>
  </si>
  <si>
    <t>JOSE FA ORTIZ DE DOMINGUIEZ</t>
  </si>
  <si>
    <t>MIGUEL CARRILLO</t>
  </si>
  <si>
    <t>JUANA CARRILLO CASTRO</t>
  </si>
  <si>
    <t>JUAN CARLOS  COLMENARES</t>
  </si>
  <si>
    <t>SANDRA</t>
  </si>
  <si>
    <t>EL CEGOR</t>
  </si>
  <si>
    <t>MARIA DEL CARMEN GUZMAN</t>
  </si>
  <si>
    <t>JARDINES DE CASANUEVA</t>
  </si>
  <si>
    <t>OCEANIA</t>
  </si>
  <si>
    <t>ARMANDO MALDONADO</t>
  </si>
  <si>
    <t>RAYMUNDO ENRIQUEZ BAUTISTA</t>
  </si>
  <si>
    <t>VERONICA DIOSDADO</t>
  </si>
  <si>
    <t xml:space="preserve">ETEN </t>
  </si>
  <si>
    <t>FERNANDO CADENA</t>
  </si>
  <si>
    <t>JUAN CARLOS COLMENARES</t>
  </si>
  <si>
    <t>JULIA GODOY</t>
  </si>
  <si>
    <t>CD AZTECA</t>
  </si>
  <si>
    <t>ARMANDO ARTURO CANO</t>
  </si>
  <si>
    <t>PEDRO ESPINOZA / MARCO ANTONIO ESPINOZA</t>
  </si>
  <si>
    <t>RAUL RODRIGUEZ</t>
  </si>
  <si>
    <t>BOULEVARD DE LOS AZTECAS</t>
  </si>
  <si>
    <t>FERNANDO PACHECO</t>
  </si>
  <si>
    <t>PLAZAS DE SANTA CLARA</t>
  </si>
  <si>
    <t>CARLOS RAMIREZ</t>
  </si>
  <si>
    <t>HEROES DE INDEPENCDEIA</t>
  </si>
  <si>
    <t>WENCESLAO LABRA</t>
  </si>
  <si>
    <t xml:space="preserve">GRANJAS VALLE </t>
  </si>
  <si>
    <t>ERNESTO MARTINEZ FLORES</t>
  </si>
  <si>
    <t>ODIL VITE NIETO</t>
  </si>
  <si>
    <t>LILIANA RAMIREZ</t>
  </si>
  <si>
    <t>JULIO RICO</t>
  </si>
  <si>
    <t>JARDINES DE SAN GABRIEL</t>
  </si>
  <si>
    <t>SOLUCIONES Y MANTENIMIENTO TACHO</t>
  </si>
  <si>
    <t>RAAL EDIFICACIONES  Y PROYECTOS</t>
  </si>
  <si>
    <t>ROSALBA GUERRERO</t>
  </si>
  <si>
    <t>INDUSTRIAS TULPETLAC</t>
  </si>
  <si>
    <t>FCO JAVIER LOPEZ LOPEZ</t>
  </si>
  <si>
    <t>SANTA CLARA COATITLA</t>
  </si>
  <si>
    <t xml:space="preserve">FERANDO PACHECO </t>
  </si>
  <si>
    <t>DANIEL GARCIA SANCHEZ</t>
  </si>
  <si>
    <t>JUAN ANTONIO VAZQUEZ SANCHEZ</t>
  </si>
  <si>
    <t>SANTA MARIA XALOSTOC</t>
  </si>
  <si>
    <t>JAVIER GRIMALDO</t>
  </si>
  <si>
    <t>RODRIGO VAZQUEZ</t>
  </si>
  <si>
    <t xml:space="preserve">ANTIGUO CAMINO A LOMA DEL CARMEN </t>
  </si>
  <si>
    <t>BERNARDO GARCIA</t>
  </si>
  <si>
    <t>ALEJANDRA JIMENEZ DELGADO</t>
  </si>
  <si>
    <t>MAGDALENA CONTRERAS</t>
  </si>
  <si>
    <t>RAUL GABRIEL GARCIA GARCIA</t>
  </si>
  <si>
    <t>SAGITARIO</t>
  </si>
  <si>
    <t>ERNESTO MENDEZ FLORES</t>
  </si>
  <si>
    <t>JUDITH BARRERA</t>
  </si>
  <si>
    <t>2DA VUELTA</t>
  </si>
  <si>
    <t>2da VUELTA</t>
  </si>
  <si>
    <t>CANCELO</t>
  </si>
  <si>
    <t>CESAR AUGUSTO CORTES</t>
  </si>
  <si>
    <t>VERGEL DE GUADALUPE</t>
  </si>
  <si>
    <t>ABRAHAM ALAMILLA</t>
  </si>
  <si>
    <t>CTM ECATEPEC</t>
  </si>
  <si>
    <t>CLAUDIA INES LOPEZ ARIAS</t>
  </si>
  <si>
    <t>AMPLIACION MENDOCINO</t>
  </si>
  <si>
    <t xml:space="preserve">SAGIATRIO </t>
  </si>
  <si>
    <t>JOSE CARLOS MUÑOZ</t>
  </si>
  <si>
    <t>ERNESTO GARCIA</t>
  </si>
  <si>
    <t>RICARDO PEREZ</t>
  </si>
  <si>
    <t>GERTRUDIS SANCHEZ</t>
  </si>
  <si>
    <t>JONATHAN ALONSO PICHARDO</t>
  </si>
  <si>
    <t>RODRIGO VELEZ BARRAGAN</t>
  </si>
  <si>
    <t>RENE SILVA</t>
  </si>
  <si>
    <t xml:space="preserve">TOLOTZIN </t>
  </si>
  <si>
    <t>BUENAVISTA ECATEPEC</t>
  </si>
  <si>
    <t>EL SALADO XALOSTOC</t>
  </si>
  <si>
    <t>LAZARO HERNANDEZ</t>
  </si>
  <si>
    <t>CERRO MARIANA</t>
  </si>
  <si>
    <t xml:space="preserve">CARLOS DOMINGUEZ </t>
  </si>
  <si>
    <t>TLANEPANTLA</t>
  </si>
  <si>
    <t>SALVADOR NORIA</t>
  </si>
  <si>
    <t>ISRAEL SORIA PRADO</t>
  </si>
  <si>
    <t>LOAN ESCUDERO</t>
  </si>
  <si>
    <t>PEDRO LOPEZ</t>
  </si>
  <si>
    <t>RENE GEOVANNI</t>
  </si>
  <si>
    <t>ARBOLEDAS DE ARAGON</t>
  </si>
  <si>
    <t>GRUPO EMPRESARIAL SNAGOV</t>
  </si>
  <si>
    <t>MANUEL VAZQUEZ</t>
  </si>
  <si>
    <t>VALLE DE GUADIANA</t>
  </si>
  <si>
    <t>JUAN MANUEL BARRON</t>
  </si>
  <si>
    <t>VALLE  DE ARGON</t>
  </si>
  <si>
    <t>JUAN EULOPA</t>
  </si>
  <si>
    <t>ANGEL GERMAN</t>
  </si>
  <si>
    <t xml:space="preserve">OTTONIEL </t>
  </si>
  <si>
    <t>OMAR ROJAS</t>
  </si>
  <si>
    <t>REAL DEL VALLE</t>
  </si>
  <si>
    <t>GRUPO JARESA / OMAR M. RIVERA</t>
  </si>
  <si>
    <t>DAVID GONZALES MORENO</t>
  </si>
  <si>
    <t>SAN PEDRO EL CHICO</t>
  </si>
  <si>
    <t>DANIEL DE LA BRENA TAPIA</t>
  </si>
  <si>
    <t>IRIS CATALINA ROJAS ROSAS</t>
  </si>
  <si>
    <t>OTUMBA</t>
  </si>
  <si>
    <t>ANDRES GUSTAVO FACUNDO</t>
  </si>
  <si>
    <t>CRISTIAN DANIEL CHAVEZ</t>
  </si>
  <si>
    <t>LEONARDO PEREZ MONCADA</t>
  </si>
  <si>
    <t>DAVID FUENTES</t>
  </si>
  <si>
    <t>PIEDRA GRANDE</t>
  </si>
  <si>
    <t xml:space="preserve">ANTONIO H A </t>
  </si>
  <si>
    <t>PROTEINAS ENERGETICOS Y OLEOS</t>
  </si>
  <si>
    <t>VILLA DE LAS FLORES</t>
  </si>
  <si>
    <t>VICTOR GAONA</t>
  </si>
  <si>
    <t>EMILIO BAUTISTA</t>
  </si>
  <si>
    <t>JUAN ANTONIO DIAZ ESPINOZA</t>
  </si>
  <si>
    <t>MELCHOR OCAMPO</t>
  </si>
  <si>
    <t>DIEGO LABASTIDA</t>
  </si>
  <si>
    <t>EL TENAYO</t>
  </si>
  <si>
    <t>SAUL LIMA</t>
  </si>
  <si>
    <t>VICTOR REYES</t>
  </si>
  <si>
    <t>MAURICIO RAMIREZ</t>
  </si>
  <si>
    <t xml:space="preserve">ADRIAN R </t>
  </si>
  <si>
    <t>ALEXIS SANCHEZ</t>
  </si>
  <si>
    <t>ARMANDO ARTURO</t>
  </si>
  <si>
    <t>JOSE JUAN CAMACHO</t>
  </si>
  <si>
    <t>ERNESTO ABUNDIS</t>
  </si>
  <si>
    <t>JUAN HACHA</t>
  </si>
  <si>
    <t>MARIA ELVIRA AGUILAR</t>
  </si>
  <si>
    <t>HEROES DE INDEPENDENCIA</t>
  </si>
  <si>
    <t>JUAN CARLOS TREJO</t>
  </si>
  <si>
    <t>HECTOR BACA RAMIREZ</t>
  </si>
  <si>
    <t>RICARDO QUEZADA</t>
  </si>
  <si>
    <t xml:space="preserve">DAVID LOPEZ </t>
  </si>
  <si>
    <t>SAN JOSE TEXOPA</t>
  </si>
  <si>
    <t>MARIO OROPEZA</t>
  </si>
  <si>
    <t>MARTIN CARRERA</t>
  </si>
  <si>
    <t>HECTOR FLORES</t>
  </si>
  <si>
    <t xml:space="preserve">DEFENSORES DE LA REPUBLICA </t>
  </si>
  <si>
    <t>JORGE  JIMENEZ CANTU</t>
  </si>
  <si>
    <t>FERNANDO DANIEL PEREZ</t>
  </si>
  <si>
    <t>EL CHAMIZAL</t>
  </si>
  <si>
    <t>JAZMIN RIVERA</t>
  </si>
  <si>
    <t>PRADOS DE ARAGON</t>
  </si>
  <si>
    <t>VICTOR NAZARIO</t>
  </si>
  <si>
    <t>MIGUEL ANGEL MIRANDA</t>
  </si>
  <si>
    <t>VENUSTIANO CARRANZA</t>
  </si>
  <si>
    <t>ARTURO OSORIO</t>
  </si>
  <si>
    <t>BENITO JUAREZ NEZA</t>
  </si>
  <si>
    <t>GERARDO SANTIAGO SANTIAGO</t>
  </si>
  <si>
    <t>DAVID GONZALEZ DELGADILLO</t>
  </si>
  <si>
    <t>EDUARDO ALVARADO</t>
  </si>
  <si>
    <t>CARLOS JARAMILLO</t>
  </si>
  <si>
    <t>BENITO JUAREZ</t>
  </si>
  <si>
    <t>JOSE LUIS RIOS</t>
  </si>
  <si>
    <t>LUIS AGUILAR PORTILLO</t>
  </si>
  <si>
    <t>ZAPATA</t>
  </si>
  <si>
    <t xml:space="preserve">WENCELAO </t>
  </si>
  <si>
    <t>TERMOELECTRICA</t>
  </si>
  <si>
    <t>GRANJAS INDEPENCDENCIA</t>
  </si>
  <si>
    <t>ESTEBAN HUITRON</t>
  </si>
  <si>
    <t>MIGUEL MAYA</t>
  </si>
  <si>
    <t>CAMPRESTRE GUADALUPANA</t>
  </si>
  <si>
    <t>AARON BOBADILLA</t>
  </si>
  <si>
    <t>MIGUEL ACOSTA</t>
  </si>
  <si>
    <t>JAVIER OLIVARES</t>
  </si>
  <si>
    <t>RAFAEL GASCON</t>
  </si>
  <si>
    <t>PEDRO MEJIA ALFARO</t>
  </si>
  <si>
    <t>ERNESTO VELARDE</t>
  </si>
  <si>
    <t>OLIVIA EDITH RODRUIGUEZ GAYTAN</t>
  </si>
  <si>
    <t>JIMENEZ CANTU</t>
  </si>
  <si>
    <t>HERMENEGILDO ROMERO</t>
  </si>
  <si>
    <t>GABRIELA ACEVES</t>
  </si>
  <si>
    <t>RUSTICA XALOSTOC</t>
  </si>
  <si>
    <t>PRO HOGAR</t>
  </si>
  <si>
    <t>FRANCISCO H</t>
  </si>
  <si>
    <t>SANTA CATARINA</t>
  </si>
  <si>
    <t>ANGEL ARANDA</t>
  </si>
  <si>
    <t>CHAMIZALITO</t>
  </si>
  <si>
    <t>ERICK DIAZ</t>
  </si>
  <si>
    <t>GRANJAS INDEPENDENCIA</t>
  </si>
  <si>
    <t>CLAUDIA MARCIAL</t>
  </si>
  <si>
    <t xml:space="preserve">JESUS GARCIA </t>
  </si>
  <si>
    <t>DAVID</t>
  </si>
  <si>
    <t>JOSE ANTOINIO TORRES</t>
  </si>
  <si>
    <t>ELIEZER OLMEDO ROJAS</t>
  </si>
  <si>
    <t>SERGIO ZEPEDA</t>
  </si>
  <si>
    <t>PORFIRIO CASTRO</t>
  </si>
  <si>
    <t>ERNESTO SANTIAGO</t>
  </si>
  <si>
    <t>ETEN</t>
  </si>
  <si>
    <t>OLIVIA CABRERA</t>
  </si>
  <si>
    <t>CHICONAUTLA</t>
  </si>
  <si>
    <t>JOSE LUIS HERNANDEZ</t>
  </si>
  <si>
    <t>OPERADOR</t>
  </si>
  <si>
    <t>CLIENTE</t>
  </si>
  <si>
    <t>LOCALIDAD</t>
  </si>
  <si>
    <t>TELEFONO</t>
  </si>
  <si>
    <t>T/ FACT</t>
  </si>
  <si>
    <t>IMPORTE</t>
  </si>
  <si>
    <t>TOTAL</t>
  </si>
  <si>
    <t>FECHA ENVIO</t>
  </si>
  <si>
    <t>ROSA MORALES LOPEZ</t>
  </si>
  <si>
    <t>EMMANUEL BARCENAS</t>
  </si>
  <si>
    <t>LUIS GARCIA MARTINEZ</t>
  </si>
  <si>
    <t xml:space="preserve">VICTOR NAVARRO/JOSEFINA GARCIA </t>
  </si>
  <si>
    <t>FERNANDO BARRERA</t>
  </si>
  <si>
    <t>MARCO ANTONIO PACHECO</t>
  </si>
  <si>
    <t>JUAN FERRETIS/ V. HUGO VALENCIA</t>
  </si>
  <si>
    <t>MARIO GARCIA</t>
  </si>
  <si>
    <t>SAN PABLO TEXCOCO</t>
  </si>
  <si>
    <t>MANUEL OLVERA</t>
  </si>
  <si>
    <t>LUIS BENIGNO JIMENEZ</t>
  </si>
  <si>
    <t>LAS FUENTES</t>
  </si>
  <si>
    <t>FIDEL RUIZ FLORES</t>
  </si>
  <si>
    <t>PLAZA ARAGON</t>
  </si>
  <si>
    <t>IVAN</t>
  </si>
  <si>
    <t>JOSE SANCHEZ BARRANCO</t>
  </si>
  <si>
    <t>DIEGO CAMARGO</t>
  </si>
  <si>
    <t>ADELFO PEREZ</t>
  </si>
  <si>
    <t>RARAEL ULLOA VALDEZ</t>
  </si>
  <si>
    <t>ZACATENCO</t>
  </si>
  <si>
    <t>OTTONIEL PARRA</t>
  </si>
  <si>
    <t>ZONA ESCOLAR</t>
  </si>
  <si>
    <t>LAURA ORTIZ</t>
  </si>
  <si>
    <t>GRANJAS VALLE</t>
  </si>
  <si>
    <t>BRUNO MORENO</t>
  </si>
  <si>
    <t>ADOLFO ALBORNOZ</t>
  </si>
  <si>
    <t>IMPÚLSORA</t>
  </si>
  <si>
    <t>JULIO GODOY TORES</t>
  </si>
  <si>
    <t>POLIGONO</t>
  </si>
  <si>
    <t>ARMANDO CERVANTES</t>
  </si>
  <si>
    <t>JESUS EDUARDO PEREZ</t>
  </si>
  <si>
    <t>DIANA MARTINEZ</t>
  </si>
  <si>
    <t>SAN PABLO DE LAS SALINAS</t>
  </si>
  <si>
    <t>ALBERTO GONZALEZ</t>
  </si>
  <si>
    <t>VALLE DE ECATEPEC</t>
  </si>
  <si>
    <t>LUIS EDUARDO</t>
  </si>
  <si>
    <t>GABRIEL RUBIO</t>
  </si>
  <si>
    <t>TLATEMPA</t>
  </si>
  <si>
    <t>CESAR RODRIGUEZ ESPINO</t>
  </si>
  <si>
    <t>MARIO ESCOBAR ESPINO</t>
  </si>
  <si>
    <t>ANTONIO RUIZ</t>
  </si>
  <si>
    <t xml:space="preserve">ADOLFO RUIZ </t>
  </si>
  <si>
    <t>ALDO AVILA</t>
  </si>
  <si>
    <t>LIZBETH</t>
  </si>
  <si>
    <t>JORGE GONZALEZ</t>
  </si>
  <si>
    <t>HEROES TECAMAC</t>
  </si>
  <si>
    <t>HUIXQUILUCAN</t>
  </si>
  <si>
    <t>DAVID SANCHEZ</t>
  </si>
  <si>
    <t>JOSE LUIS MARTINEZ</t>
  </si>
  <si>
    <t>SANTIAGO ZACUALUCA</t>
  </si>
  <si>
    <t>SANTA MARIA LA RIBERA</t>
  </si>
  <si>
    <t>EJIDOS DE SAN ANDRES</t>
  </si>
  <si>
    <t>JOSE LUIS VELAZQUEZ</t>
  </si>
  <si>
    <t>LINDA VISTA</t>
  </si>
  <si>
    <t>JORGE HECTOR BECERRIL</t>
  </si>
  <si>
    <t>EDUARDO MOLINA</t>
  </si>
  <si>
    <t>ROBERTO MILLER</t>
  </si>
  <si>
    <t>ILIANA BIRIDIANA</t>
  </si>
  <si>
    <t>SALVADOR DIAZ MIRON</t>
  </si>
  <si>
    <t>JOSE GAYTAN LEMUS</t>
  </si>
  <si>
    <t>CERRO PRIETO</t>
  </si>
  <si>
    <t>JUAN CRUZ</t>
  </si>
  <si>
    <t>LA PROVIDENCIA</t>
  </si>
  <si>
    <t>MARCO ANTONIO GONZALES</t>
  </si>
  <si>
    <t>LILIANA RAMOS</t>
  </si>
  <si>
    <t>M. ARQ. ESTUDIO</t>
  </si>
  <si>
    <t>ARTURO ALBA GUERRRERO</t>
  </si>
  <si>
    <t>VILLA DE GUADALUPE  XALOSTOC</t>
  </si>
  <si>
    <t>JUAN MANUEL</t>
  </si>
  <si>
    <t>AMPLIACION PROCIDENCIA</t>
  </si>
  <si>
    <t>HECTOR LOPEZ</t>
  </si>
  <si>
    <t>NVA TENOCHTITLAN</t>
  </si>
  <si>
    <t>GONZALO</t>
  </si>
  <si>
    <t>MARIA DOLORES RAMIREZ SANCHEZ</t>
  </si>
  <si>
    <t>SERGIO SANDOVAL</t>
  </si>
  <si>
    <t>JUAN LUIS SANDOVAL</t>
  </si>
  <si>
    <t>COSTITUCION DE 1917</t>
  </si>
  <si>
    <t>MARIA DE LOURDES</t>
  </si>
  <si>
    <t>JAZMIN AVILES</t>
  </si>
  <si>
    <t>TELLO CASTILLO GRANADOS</t>
  </si>
  <si>
    <t>RAMIRO CARRANZA RIVAS</t>
  </si>
  <si>
    <t>VICENTE PEREZ</t>
  </si>
  <si>
    <t>RAFAEL PEREZ</t>
  </si>
  <si>
    <t>MANUELA PAOLA PARTIDA</t>
  </si>
  <si>
    <t>VALLE DE TEPEYAC</t>
  </si>
  <si>
    <t>MALINCHE</t>
  </si>
  <si>
    <t>HUGO HERNANDEZ PALACIOS</t>
  </si>
  <si>
    <t>DAVID MARROQUIN MARTINEZ</t>
  </si>
  <si>
    <t>MARTIN RODRIGUEZ</t>
  </si>
  <si>
    <t>ANA ROSA MORENO</t>
  </si>
  <si>
    <t>FAUSTO ENRRIQUEZ ROJAS</t>
  </si>
  <si>
    <t>SAUCES COALICION</t>
  </si>
  <si>
    <t>GAM</t>
  </si>
  <si>
    <t>ENRIQUE GUZMAN</t>
  </si>
  <si>
    <t>RICARDO HEREDIA</t>
  </si>
  <si>
    <t>ALMARCINGO</t>
  </si>
  <si>
    <t>EJE 9</t>
  </si>
  <si>
    <t>MARIA ELVIRA AGUILAR GARCIA</t>
  </si>
  <si>
    <t>ANGEL BERNAL</t>
  </si>
  <si>
    <t>ZACUAUTITLAN</t>
  </si>
  <si>
    <t xml:space="preserve">ILIANA VIRIDIANA MARIN </t>
  </si>
  <si>
    <t>MIGUEL SOLIS</t>
  </si>
  <si>
    <t>ALBERTO PASCASIO</t>
  </si>
  <si>
    <t>ASM SOLUCIONES EN INFRAESTRUCTURA</t>
  </si>
  <si>
    <t>LOMAS DE SANTA CLARA</t>
  </si>
  <si>
    <t>JORGE KEVIN GARCES</t>
  </si>
  <si>
    <t>WENCESLAO GUILLERMO</t>
  </si>
  <si>
    <t>EDUARDO PEÑA M. ARQ ESTUDIO</t>
  </si>
  <si>
    <t>ALEJANDRO MEDINA</t>
  </si>
  <si>
    <t>PROVIDENCIA</t>
  </si>
  <si>
    <t>ISAURA ROSA MARIA LOZANO</t>
  </si>
  <si>
    <t>TAXQUEÑA</t>
  </si>
  <si>
    <t xml:space="preserve">MIGUEL ANGEL </t>
  </si>
  <si>
    <t>GERARDO PEREZ</t>
  </si>
  <si>
    <t>SANTA CLARA ECATEPEC</t>
  </si>
  <si>
    <t>MIGUEL ANGEL</t>
  </si>
  <si>
    <t>ROBERTO TOLENTINO</t>
  </si>
  <si>
    <t>EDWIN HERERRA</t>
  </si>
  <si>
    <t>ADOLFO LOPEZ MATEOS</t>
  </si>
  <si>
    <t>ORLANDO PEÑA</t>
  </si>
  <si>
    <t>SANTIAGO PEÑA</t>
  </si>
  <si>
    <t>AMPLIACION CODICE</t>
  </si>
  <si>
    <t>JUAN LUIS</t>
  </si>
  <si>
    <t>CESAR</t>
  </si>
  <si>
    <t>LUCIA ESQUIVEL</t>
  </si>
  <si>
    <t>JONATHAN BAUTISTA</t>
  </si>
  <si>
    <t>VILLA DE ARAGON</t>
  </si>
  <si>
    <t xml:space="preserve">MIGUEL JARAMILLO </t>
  </si>
  <si>
    <t>PENON VIEJO</t>
  </si>
  <si>
    <t>LUIS SARABIA</t>
  </si>
  <si>
    <t>RIO DE LOS REMEDIOS</t>
  </si>
  <si>
    <t>CARLOS SAUCEDO</t>
  </si>
  <si>
    <t>SALVADOR SANCHEZ</t>
  </si>
  <si>
    <t>VICTOR ROJAS</t>
  </si>
  <si>
    <t>VILLA HERMOSA</t>
  </si>
  <si>
    <t>GERARDO PALACIOS</t>
  </si>
  <si>
    <t>NOVELA MEXICANA</t>
  </si>
  <si>
    <t>ALFREDO FLORES</t>
  </si>
  <si>
    <t>ESTEBAN GOMEZ ORTIZ</t>
  </si>
  <si>
    <t>JAQUELINE LEE RAMIREZ</t>
  </si>
  <si>
    <t>COLONIA 23</t>
  </si>
  <si>
    <t>ANTONIO GOMEZ</t>
  </si>
  <si>
    <t>COLONIA 24</t>
  </si>
  <si>
    <t>SOLUCIONES Y MANTENIMIENTO</t>
  </si>
  <si>
    <t>CEGOR</t>
  </si>
  <si>
    <t>EDGAR EDUARDO JUAREZ MONDRAGON</t>
  </si>
  <si>
    <t>DIANA CECILIA ALCANTARA URIBE</t>
  </si>
  <si>
    <t>LOS REYES IZTACALA</t>
  </si>
  <si>
    <t>JORGE ARTURO GUERRERO</t>
  </si>
  <si>
    <t>VICTOR HUGO VALENCIA</t>
  </si>
  <si>
    <t>COSNTITUCION DE 1917</t>
  </si>
  <si>
    <t>JORGE ARTURO GUERRERO LOPEZ</t>
  </si>
  <si>
    <t>JOEL/JAVIER</t>
  </si>
  <si>
    <t>GRANJAS MEXICO AZCAPOTZALCO</t>
  </si>
  <si>
    <t xml:space="preserve">BENITO JUAREZ </t>
  </si>
  <si>
    <t>FECHA</t>
  </si>
  <si>
    <t>T/FACTURA</t>
  </si>
  <si>
    <t xml:space="preserve">BUSCADOR </t>
  </si>
  <si>
    <t>JESUS GARCIA</t>
  </si>
  <si>
    <t>ERNESTO PONCE ARREOLA</t>
  </si>
  <si>
    <t>JOSEFA ORTIZ DE DOMINGUEZ</t>
  </si>
  <si>
    <t>DONOVAN JESUS</t>
  </si>
  <si>
    <t>ARTURO CABALLERO</t>
  </si>
  <si>
    <t>JOSE JUAN</t>
  </si>
  <si>
    <t>ROBERTO SANCHEZ</t>
  </si>
  <si>
    <t>DANIEL ESTEVEZ</t>
  </si>
  <si>
    <t xml:space="preserve">TULIPAN </t>
  </si>
  <si>
    <t>AIDA CALDERON</t>
  </si>
  <si>
    <t>CARLOS HANK GONZALEZ</t>
  </si>
  <si>
    <t>JOSE LUIS AVILA</t>
  </si>
  <si>
    <t>LOURDES LEON JIMENEZ</t>
  </si>
  <si>
    <t>MARTIN GARCIA</t>
  </si>
  <si>
    <t>SERGIO EDUERADO OLVERA</t>
  </si>
  <si>
    <t>SOCORRO GUERRERO</t>
  </si>
  <si>
    <t>ABERTO GARCIA SERRANO</t>
  </si>
  <si>
    <t>NEZA</t>
  </si>
  <si>
    <t>ADRIANA ROSAS SOTO</t>
  </si>
  <si>
    <t>SHANGRI LA</t>
  </si>
  <si>
    <t>CONSTRUCTORA ENVOLVE</t>
  </si>
  <si>
    <t>PROGRESO NACIONAL</t>
  </si>
  <si>
    <t>CERRO DE LA CALAVERA</t>
  </si>
  <si>
    <t>MECHANICAL SOLUTIONS</t>
  </si>
  <si>
    <t>OLIVIA EDITH</t>
  </si>
  <si>
    <t>JUAN ESCUTIA IZTAPALAPA</t>
  </si>
  <si>
    <t>NUEVO LAREDO</t>
  </si>
  <si>
    <t>KARLA AIME GUTIERREZ</t>
  </si>
  <si>
    <t xml:space="preserve">CESAR EDUARDO FLORES </t>
  </si>
  <si>
    <t>MARTIN HERNANDEZ</t>
  </si>
  <si>
    <t>JARDINES DE CASA NUEVA</t>
  </si>
  <si>
    <t>ARMANDO HERNANDEZ</t>
  </si>
  <si>
    <t>MARCO ANTONIO ORTIZ</t>
  </si>
  <si>
    <t>LUIS CONTRERAS</t>
  </si>
  <si>
    <t>RIO DE LUZ</t>
  </si>
  <si>
    <t>WENCESLAO LABRADA</t>
  </si>
  <si>
    <t>KELI CAPITAL / HECTOR SANCHEZ</t>
  </si>
  <si>
    <t>CONSTITUCION DE LA REPUBLICA</t>
  </si>
  <si>
    <t>ALEJANDRO NUÑEZ</t>
  </si>
  <si>
    <t xml:space="preserve">VALLE DE ARAGON </t>
  </si>
  <si>
    <t>MICHEL ALICIA ARIAS NIETO</t>
  </si>
  <si>
    <t>VALLE DE RAGON</t>
  </si>
  <si>
    <t xml:space="preserve">ULISES MARTINEZ </t>
  </si>
  <si>
    <t>NEON CREATIVO DE MEXICO</t>
  </si>
  <si>
    <t xml:space="preserve">                                                </t>
  </si>
  <si>
    <t>TLALNEPANTLA</t>
  </si>
  <si>
    <t>BRANDON CRUZ</t>
  </si>
  <si>
    <t>POLIGONO 3</t>
  </si>
  <si>
    <t>JOSE EDUARDO PEREZ / CARLOS A. RODEA</t>
  </si>
  <si>
    <t>SAGITARIO 4</t>
  </si>
  <si>
    <t>RODRIGUO MORALES</t>
  </si>
  <si>
    <t>MARIO ROMERO</t>
  </si>
  <si>
    <t>JORGE NIÑO</t>
  </si>
  <si>
    <t>MARINA NACIONAL</t>
  </si>
  <si>
    <t>MUJERES MAGENTA</t>
  </si>
  <si>
    <t>CONSTITUCION DE 1917</t>
  </si>
  <si>
    <t>JOSE CAMPOS BOURET</t>
  </si>
  <si>
    <t>CADONAL XALOSTOC</t>
  </si>
  <si>
    <t>VIRIDIANA BERENICE MARTINEZ</t>
  </si>
  <si>
    <t>CHAMIZAL ECATEPEC</t>
  </si>
  <si>
    <t xml:space="preserve">JULIO CESAR RODRIGUEZ </t>
  </si>
  <si>
    <t>CAMPESTRE</t>
  </si>
  <si>
    <t>DIEGO ELIZALDE</t>
  </si>
  <si>
    <t>VICTOR BARRERA BELLO</t>
  </si>
  <si>
    <t>CERRO GORDO</t>
  </si>
  <si>
    <t>JOSE LUIS SAYAS</t>
  </si>
  <si>
    <t>POPÚLAR</t>
  </si>
  <si>
    <t>DAVID GONZALEZ</t>
  </si>
  <si>
    <t>CHIMALPOPOCA</t>
  </si>
  <si>
    <t>JONATHAN LRAMIREZ</t>
  </si>
  <si>
    <t>ABRAHAM ESPINOZA</t>
  </si>
  <si>
    <t>CUAUHTEMOC</t>
  </si>
  <si>
    <t>FAJA DE ORO</t>
  </si>
  <si>
    <t>JONATHAN RAMIREZ</t>
  </si>
  <si>
    <t>VERA ROBLES</t>
  </si>
  <si>
    <t>JOSE OCTAVIO HERNANDEZ</t>
  </si>
  <si>
    <t>BOSQUES DE ARAGON</t>
  </si>
  <si>
    <t>ANASTACIO MONTIEL</t>
  </si>
  <si>
    <t>EMIIANO ZAPATA</t>
  </si>
  <si>
    <t>ALEJANDRO NUÑEZ ESPINOZA</t>
  </si>
  <si>
    <t>MARIO ALBERTO VAZQUEZ</t>
  </si>
  <si>
    <t>EVERARDO MALDONADO</t>
  </si>
  <si>
    <t>RENE RAMIREZ</t>
  </si>
  <si>
    <t>SAN PEDRO ATZOMPA</t>
  </si>
  <si>
    <t>CARLOS PALOMARES SANTANA</t>
  </si>
  <si>
    <t>FILIBERTO HERRERA VENEGAS</t>
  </si>
  <si>
    <t>JUAN ANTONIO VAZQUEZ</t>
  </si>
  <si>
    <t>SAN FELIPE</t>
  </si>
  <si>
    <t>DIESÑO EURODENT</t>
  </si>
  <si>
    <t>ARTUTRO LOPEZ</t>
  </si>
  <si>
    <t xml:space="preserve">ERNESTO MENDEZ </t>
  </si>
  <si>
    <t xml:space="preserve">EGMA CONSTRUCCIONES </t>
  </si>
  <si>
    <t>MAURA</t>
  </si>
  <si>
    <t>COLONIA CHAMIZAL</t>
  </si>
  <si>
    <t>GUSTAVO A MADERO</t>
  </si>
  <si>
    <t>MARIO ALFONSO VERA</t>
  </si>
  <si>
    <t>MARIO ESCOBAR</t>
  </si>
  <si>
    <t>TULPTETLAC</t>
  </si>
  <si>
    <t>JULIO CESAR NAVARRO</t>
  </si>
  <si>
    <t>EL GALLITO</t>
  </si>
  <si>
    <t>PABLO MORENO</t>
  </si>
  <si>
    <t>HECTOR PASTOR REYES</t>
  </si>
  <si>
    <t>ISRAEL LOPEZ PERALES</t>
  </si>
  <si>
    <t>EJIDOS DE SAN CRSITOBAL</t>
  </si>
  <si>
    <t>ANGEL RANGEL BERNAL</t>
  </si>
  <si>
    <t xml:space="preserve">LOPEZ PORTILLO </t>
  </si>
  <si>
    <t>FRANCISCO RAMOS</t>
  </si>
  <si>
    <t>JAVIER GONZALEZ</t>
  </si>
  <si>
    <t>MANUEL ORTIZ</t>
  </si>
  <si>
    <t>OSVALDO ARREOLA</t>
  </si>
  <si>
    <t>HUEXOTLA</t>
  </si>
  <si>
    <t>EDUARDO PEÑA RAMIREZ</t>
  </si>
  <si>
    <t>ADRIANA ROSA SOTO RODRIGUEZ</t>
  </si>
  <si>
    <t>VICTOR CERVANTES</t>
  </si>
  <si>
    <t xml:space="preserve">CUCHILLA </t>
  </si>
  <si>
    <t>FERNANDO MARIA REYES</t>
  </si>
  <si>
    <t>POLANCO</t>
  </si>
  <si>
    <t>SAN JUAN IXUHATEPEC</t>
  </si>
  <si>
    <t>GONZALO R / MARIA DOLORES RAMIREZ SANCHEZ</t>
  </si>
  <si>
    <t xml:space="preserve"> AZCAPOTZALCO</t>
  </si>
  <si>
    <t xml:space="preserve">DOMINGO HERNANDEZ </t>
  </si>
  <si>
    <t>JUAN GONZALEZ ARISA</t>
  </si>
  <si>
    <t>NALLELI MARTIEZ</t>
  </si>
  <si>
    <t>ELIEM</t>
  </si>
  <si>
    <t>EDGAR REYES</t>
  </si>
  <si>
    <t>DIEGO ARMANDO</t>
  </si>
  <si>
    <t>OLIVIA EDITH  RODRIGUEZ</t>
  </si>
  <si>
    <t>ALEJANDRO MIRAMONTES</t>
  </si>
  <si>
    <t>LOS BORDOS</t>
  </si>
  <si>
    <t xml:space="preserve">JOEL </t>
  </si>
  <si>
    <t>SALOME BUENO</t>
  </si>
  <si>
    <t>SANDY MARTINES / HUGO CERON</t>
  </si>
  <si>
    <t>SR HURTADO</t>
  </si>
  <si>
    <t>GERARDO HERNANDEZ</t>
  </si>
  <si>
    <t>JARDINES DE GUADALUPE</t>
  </si>
  <si>
    <t>RENE JAIMES VARGAS</t>
  </si>
  <si>
    <t>VICENTE GUERRERO</t>
  </si>
  <si>
    <t>JUSTINO QUIJANO</t>
  </si>
  <si>
    <t>ARMANDO CRUZ</t>
  </si>
  <si>
    <t>GARGO CONTRUCCION PROYECTO Y MANTO / ROMAN BREÑA BARCENAS</t>
  </si>
  <si>
    <t>JULIA LORENA CHAVEZ</t>
  </si>
  <si>
    <t>ARAGON</t>
  </si>
  <si>
    <t>GRANJAS DE ECATEPEC</t>
  </si>
  <si>
    <t>EMMANUEL SALAS CRUZ</t>
  </si>
  <si>
    <t>PRODUCTORA DE MUEBLES  Y BLINDADOS</t>
  </si>
  <si>
    <t>LA CHIRIPA SAN CRISTOBAL</t>
  </si>
  <si>
    <t xml:space="preserve"> </t>
  </si>
  <si>
    <t>JUAN FERRETIS</t>
  </si>
  <si>
    <t xml:space="preserve">EL SALADO </t>
  </si>
  <si>
    <t>ILIANA VIRIDIANA</t>
  </si>
  <si>
    <t>ALONSO CHAIREZ</t>
  </si>
  <si>
    <t>JOSE ANGEL LOPEZ</t>
  </si>
  <si>
    <t xml:space="preserve">SAN FELIPE </t>
  </si>
  <si>
    <t>ARTURO ESTRADA ROSALES</t>
  </si>
  <si>
    <t>SAN SALVADOR XOCHIMANCA</t>
  </si>
  <si>
    <t>LUIS MANUEL BAUTISTA</t>
  </si>
  <si>
    <t>VICTOR GARCIA</t>
  </si>
  <si>
    <t>MIGUEL ANGEL ORTEGA</t>
  </si>
  <si>
    <t>JUAN CARLOS MENDOZA</t>
  </si>
  <si>
    <t>OTONIEL</t>
  </si>
  <si>
    <t>DYLAN ISAAC</t>
  </si>
  <si>
    <t>AMPLIACION BENITO JUAREZ</t>
  </si>
  <si>
    <t>ACULCO</t>
  </si>
  <si>
    <t>MARCELINO GAYTAN</t>
  </si>
  <si>
    <t>ARACELI LUGO</t>
  </si>
  <si>
    <t>RODRIGO MORALES</t>
  </si>
  <si>
    <t>FRANCISCO CARRETERO</t>
  </si>
  <si>
    <t>MARTIN ROMERO</t>
  </si>
  <si>
    <t>AREMANDO MORUQECHO</t>
  </si>
  <si>
    <t>NESTOR GONZALEZ</t>
  </si>
  <si>
    <t>CARLOS VILLANUEVA</t>
  </si>
  <si>
    <t>OLIVA LOPEZ HDZ</t>
  </si>
  <si>
    <t>FERNANDO RIVERO</t>
  </si>
  <si>
    <t>LUIS DOALDO COLOSIO</t>
  </si>
  <si>
    <t>CLAUDIA GARCIA</t>
  </si>
  <si>
    <t>JONATHAN JIMENEZ</t>
  </si>
  <si>
    <t>COSMOPOL</t>
  </si>
  <si>
    <t>MOCTEZUMA V CARRANZA</t>
  </si>
  <si>
    <t>JOSE ARISTEO</t>
  </si>
  <si>
    <t>JAVIER DIAZ</t>
  </si>
  <si>
    <t>AGUITA</t>
  </si>
  <si>
    <t>JORGE / ISRAEL</t>
  </si>
  <si>
    <t>JORGE HUGO HERNANDEZ PARRA</t>
  </si>
  <si>
    <t>GABRIEL REZENDIZ</t>
  </si>
  <si>
    <t>LUIS GONZALEZ</t>
  </si>
  <si>
    <t>RODRIGUEZ ARTEMIO</t>
  </si>
  <si>
    <t>MARCO A DE LA CRUZ</t>
  </si>
  <si>
    <t>OSCAR FIGUEROA</t>
  </si>
  <si>
    <t>BEATRIZ GUZMAN</t>
  </si>
  <si>
    <t>ROMUALDO EVANGELISTA</t>
  </si>
  <si>
    <t>MACELA TORRES</t>
  </si>
  <si>
    <t>LLANO DE LOS BAEZ</t>
  </si>
  <si>
    <t>JOSE LUIS JUAREZ</t>
  </si>
  <si>
    <t>ENRIQUE SANCHEZ</t>
  </si>
  <si>
    <t xml:space="preserve">ISRAEL </t>
  </si>
  <si>
    <t>LILIA PATRICIA CERVANTES PLIEGO</t>
  </si>
  <si>
    <t>GEOVILLAS DE TERRANOVA</t>
  </si>
  <si>
    <t>VICTOR SANCHEZ</t>
  </si>
  <si>
    <t>PRACTICONSTRUCCIONES</t>
  </si>
  <si>
    <t>GABRIEL HERNANEZ</t>
  </si>
  <si>
    <t xml:space="preserve">EZEQUIEL LOPEZ </t>
  </si>
  <si>
    <t>VICTOR PEREZ</t>
  </si>
  <si>
    <t>MEXICO COLONIA</t>
  </si>
  <si>
    <t>IVAN MARTINEZ</t>
  </si>
  <si>
    <t>HACIENDA DE MAYRAZGO</t>
  </si>
  <si>
    <t>HUMBERTO CALLEJAS</t>
  </si>
  <si>
    <t>ARTURO LOPEZ</t>
  </si>
  <si>
    <t>ROLDAN GAMA</t>
  </si>
  <si>
    <t>VALLE DE HUDSON</t>
  </si>
  <si>
    <t>FRANCISCO LOPEZ</t>
  </si>
  <si>
    <t>OMAR LARREA</t>
  </si>
  <si>
    <t>JUAN EDUARDO MARTINEZ</t>
  </si>
  <si>
    <t>IMPULSORA</t>
  </si>
  <si>
    <t xml:space="preserve">ISRAEL LOPEZ </t>
  </si>
  <si>
    <t>AMPLIACION TESORO</t>
  </si>
  <si>
    <t>OMAR GARCIA</t>
  </si>
  <si>
    <t>RICARDO ORTIZ MARTINEZ</t>
  </si>
  <si>
    <t>SAMUEL MARTINEZ</t>
  </si>
  <si>
    <t>AV MEXICO</t>
  </si>
  <si>
    <t>CARLOS MENDOZA</t>
  </si>
  <si>
    <t>JESUS RAFAEL</t>
  </si>
  <si>
    <t>YESENIA CORTES</t>
  </si>
  <si>
    <t>JORGE/ JAVIER</t>
  </si>
  <si>
    <t>ESTEBAN CRUZ</t>
  </si>
  <si>
    <t>NELLY ESCOBAR / ASIENTOS Y ESTRUCTURAS</t>
  </si>
  <si>
    <t>DAVID ESPINOZA</t>
  </si>
  <si>
    <t>JORGE GUERRERO</t>
  </si>
  <si>
    <t>RODOLFO CAMPOY</t>
  </si>
  <si>
    <t>ATEPEHUACAN GAM</t>
  </si>
  <si>
    <t>HECTOR FLORES HERNANDEZ</t>
  </si>
  <si>
    <t>DEFENSORES DE LA REPUBLICA</t>
  </si>
  <si>
    <t>EDUARDO GONZALEZ</t>
  </si>
  <si>
    <t>MARCELA MA DEL CARMEN</t>
  </si>
  <si>
    <t>ENEDINA JACOME</t>
  </si>
  <si>
    <t>JUANA SIERRA</t>
  </si>
  <si>
    <t>SATA MARIA TULPETLAC</t>
  </si>
  <si>
    <t xml:space="preserve"> ENRIQUE SANCHEZ</t>
  </si>
  <si>
    <t>OTONIEL HERNANDEZ</t>
  </si>
  <si>
    <t>JUAN GONZALEZ</t>
  </si>
  <si>
    <t>VIDRIO PLANO</t>
  </si>
  <si>
    <t>JOSE LUIS</t>
  </si>
  <si>
    <t xml:space="preserve">RICARDO MARTIN </t>
  </si>
  <si>
    <t xml:space="preserve">TEOCALLIS </t>
  </si>
  <si>
    <t>ALBERTO DELGADILLO</t>
  </si>
  <si>
    <t>LUIS ALBERTO HERNANDEZ</t>
  </si>
  <si>
    <t>RANCHO LA PALMA</t>
  </si>
  <si>
    <t>PRIMERO DE MAYO</t>
  </si>
  <si>
    <t>RICARDO GOOFY</t>
  </si>
  <si>
    <t>SAN AGUSTIN SUR</t>
  </si>
  <si>
    <t>ERESTO MENDEZ</t>
  </si>
  <si>
    <t>JARDINES TEPEYAC</t>
  </si>
  <si>
    <t>ANGELICA SANCHEZ</t>
  </si>
  <si>
    <t xml:space="preserve">CALLE 7 </t>
  </si>
  <si>
    <t>JOSE JUAN CAMACHO SAUCEDO</t>
  </si>
  <si>
    <t>FRANCISCO BRAVO</t>
  </si>
  <si>
    <t>HUGO LOPEZ VERA</t>
  </si>
  <si>
    <t>LOMAS DE TLALNEPANTLA</t>
  </si>
  <si>
    <t>CARLO ROMERO</t>
  </si>
  <si>
    <t xml:space="preserve">MARIA ELVIRA </t>
  </si>
  <si>
    <t>SAN MARTIN TULTEPEC</t>
  </si>
  <si>
    <t>ANGEL SANCHEZ</t>
  </si>
  <si>
    <t>JORGE RAUL GALLEGOS</t>
  </si>
  <si>
    <t>OMAR BRYAN ALFARO</t>
  </si>
  <si>
    <t>IVAN DELGADO SANCHES</t>
  </si>
  <si>
    <t>JAVIER NUÑEZ</t>
  </si>
  <si>
    <t>GABRIELA ORTIZ SANCHEZ</t>
  </si>
  <si>
    <t>CALLE CENTRAL</t>
  </si>
  <si>
    <t>OLIVIA EDITH RODRIGUEZ</t>
  </si>
  <si>
    <t>JOSE GERARDO HERNANDEZ</t>
  </si>
  <si>
    <t>TEXOPA TEXCOCO</t>
  </si>
  <si>
    <t>ALVARO MENDEZ GARCIA / DADERISTIC</t>
  </si>
  <si>
    <t>ELIAS MOL</t>
  </si>
  <si>
    <t>ENRIQUE YAÑEZ</t>
  </si>
  <si>
    <t xml:space="preserve">ANGEL ADRIAN </t>
  </si>
  <si>
    <t>MANUEL PORTIZO</t>
  </si>
  <si>
    <t>MIGUEL GUZMAN</t>
  </si>
  <si>
    <t>ERICKA GARCIA PINEDA</t>
  </si>
  <si>
    <t>ISMAEL</t>
  </si>
  <si>
    <t>OMAR SANTA MARIA</t>
  </si>
  <si>
    <t>JARINES DE GUADSLUPE</t>
  </si>
  <si>
    <t>DAVID SANDOVAL</t>
  </si>
  <si>
    <t>MIGUEL ANGEL MORALES</t>
  </si>
  <si>
    <t>JOSE LUIS MARTIN RAMOS</t>
  </si>
  <si>
    <t>ZACUALUCA</t>
  </si>
  <si>
    <t>MIGUEL ARANDA</t>
  </si>
  <si>
    <t>MARIO SERNA</t>
  </si>
  <si>
    <t xml:space="preserve">ACOLMAN </t>
  </si>
  <si>
    <t>JUAN LUIS SANDOVAL CASTILLO</t>
  </si>
  <si>
    <t>FELIPE TOVAR</t>
  </si>
  <si>
    <t>ARMANDO</t>
  </si>
  <si>
    <t>JORGE JIMENEZ CANRU</t>
  </si>
  <si>
    <t>JORGE SOTO LOPEZ</t>
  </si>
  <si>
    <t>PATY VALDEZ</t>
  </si>
  <si>
    <t>ERNESTO MARTINEZ</t>
  </si>
  <si>
    <t>MICHELLE ALICIA ARIAS NIETO</t>
  </si>
  <si>
    <t>LUIS ALBERTO</t>
  </si>
  <si>
    <t>SANTA PRISCA</t>
  </si>
  <si>
    <t>LORENA GUERRERO/ ARILO IMPORTADORA</t>
  </si>
  <si>
    <t>JAVIER GARCIA</t>
  </si>
  <si>
    <t>ORLANDO ALEXIS ESTEVEZ MORENO</t>
  </si>
  <si>
    <t>CESAR EDUARDO</t>
  </si>
  <si>
    <t>EMILIO BAUSTISTA</t>
  </si>
  <si>
    <t>JUAN ANTONIO VARGAS</t>
  </si>
  <si>
    <t>AUGUSTO</t>
  </si>
  <si>
    <t>JESUS MONTOYA</t>
  </si>
  <si>
    <t>RAFAEL PATIÑO ARCE</t>
  </si>
  <si>
    <t xml:space="preserve">ANGEL IVAN LOPEZ </t>
  </si>
  <si>
    <t>ARACELI VAZQUEZ</t>
  </si>
  <si>
    <t>JAZMIN MARTINEZ</t>
  </si>
  <si>
    <t>JOSE FELIX BORJA</t>
  </si>
  <si>
    <t>COLONIA INDUSTRIAL</t>
  </si>
  <si>
    <t>GERARDO OLVERA</t>
  </si>
  <si>
    <t>BENJAMIN RODRIGUEZ VAZQUEZ</t>
  </si>
  <si>
    <t>ALTAVILLA</t>
  </si>
  <si>
    <t>JOSE ELIAS JUAREZ</t>
  </si>
  <si>
    <t>KELI  CAPITAL</t>
  </si>
  <si>
    <t>JOEL/ ISRAEL</t>
  </si>
  <si>
    <t>MIGUEL A CARRILLO</t>
  </si>
  <si>
    <t>RAUL SOTO CORONA</t>
  </si>
  <si>
    <t>SERGIO CASTAÑON</t>
  </si>
  <si>
    <t>RAUL MANILLA CANO</t>
  </si>
  <si>
    <t>PRO REVOLUCION</t>
  </si>
  <si>
    <t>CARLOS ALBERTO DONATO CORTES</t>
  </si>
  <si>
    <t>DAVID GONZALES DELGADILLO</t>
  </si>
  <si>
    <t>ALEJANDRO OLIVA</t>
  </si>
  <si>
    <t>MARIO VELA</t>
  </si>
  <si>
    <t>CAPULTITLAN</t>
  </si>
  <si>
    <t>ANTONIO CAMPAS</t>
  </si>
  <si>
    <t>LA PURISIMA TICOMAN</t>
  </si>
  <si>
    <t>ETEN LINDAVISTA</t>
  </si>
  <si>
    <t>DIEGO CAMARGO GONZALEZ</t>
  </si>
  <si>
    <t>IDELFONSO SANCHEZ</t>
  </si>
  <si>
    <t>JESUS HERNANDEZ</t>
  </si>
  <si>
    <t>MANUEL YAÑEZ RUBIO</t>
  </si>
  <si>
    <t>GUSTAVO MEJIA</t>
  </si>
  <si>
    <t>CARLOS VILLALOBOS</t>
  </si>
  <si>
    <t>RICARDO EUDAVE</t>
  </si>
  <si>
    <t>JOSE JUAN ALONSO BARRAGAN</t>
  </si>
  <si>
    <t>ULISES GALVAN HERNANDEZ</t>
  </si>
  <si>
    <t>POPULAR ECATEPEC</t>
  </si>
  <si>
    <t>LAURELES</t>
  </si>
  <si>
    <t>SAN AGUSTIN 2DA</t>
  </si>
  <si>
    <t>FERNANDO PEREZ</t>
  </si>
  <si>
    <t>CUANALAN ACOLMAN</t>
  </si>
  <si>
    <t>DESARROLLO DE INGENIERIA Y PROCESO INDUTRIAL SANVAZ</t>
  </si>
  <si>
    <t>RICARDO RANGEL</t>
  </si>
  <si>
    <t>TEPEOLULCO</t>
  </si>
  <si>
    <t>LUIS FERNANDO PACHECO</t>
  </si>
  <si>
    <t>PLAZAS DESANTA CLARA</t>
  </si>
  <si>
    <t>JONATHAN PEREZ</t>
  </si>
  <si>
    <t>HECTOR JAEL PAZ TORRES</t>
  </si>
  <si>
    <t>JUDITH BARERA</t>
  </si>
  <si>
    <t>JOSE EDUARDO MORENO</t>
  </si>
  <si>
    <t>HECTOR LOPEZ LOPEZ</t>
  </si>
  <si>
    <t>JORGE GARCIA</t>
  </si>
  <si>
    <t>EDGAR SANCHEZ</t>
  </si>
  <si>
    <t>OSWALDO FERNANDEZ</t>
  </si>
  <si>
    <t>ISMAEL ROJAS</t>
  </si>
  <si>
    <t>ABRAHAM ARREDONDO GTZ</t>
  </si>
  <si>
    <t>JULIA MARIN</t>
  </si>
  <si>
    <t>MARIO CORREA</t>
  </si>
  <si>
    <t>NANCY PAOLA RODRIGUEZ RUBIO</t>
  </si>
  <si>
    <t>JOSE GENRAO GOMEZ</t>
  </si>
  <si>
    <t>MARTIN AYALA</t>
  </si>
  <si>
    <t>BARRIO SANTA CRUZ</t>
  </si>
  <si>
    <t>HIRAM SARIEL HIDALGO</t>
  </si>
  <si>
    <t>EDGAR SANCHEZ HERNANDEZ</t>
  </si>
  <si>
    <t>EDUARDO GONZALEZ OLVERA</t>
  </si>
  <si>
    <t>HECTOR PÁSTOR</t>
  </si>
  <si>
    <t>IVAN SILVA RAYA</t>
  </si>
  <si>
    <t>JOEL MARTINEZ HERNANDEZ</t>
  </si>
  <si>
    <t>MARCIANO CALETTE</t>
  </si>
  <si>
    <t>ESTEBAN BUITRON</t>
  </si>
  <si>
    <t>JORGE ALBERTO PEIGEIMONT/JUAN LUIS SANDOVAL</t>
  </si>
  <si>
    <t>JORGE ARTURO LOPEZ</t>
  </si>
  <si>
    <t>SAUCES 1</t>
  </si>
  <si>
    <t>MARTIN ARELLANO</t>
  </si>
  <si>
    <t xml:space="preserve">VALLE ARAGON </t>
  </si>
  <si>
    <t>SICRAV / IVAN MARTINEZ</t>
  </si>
  <si>
    <t>NICOLAS MEDRANO</t>
  </si>
  <si>
    <t>ROSENDO MARTINEZ</t>
  </si>
  <si>
    <t>FLORENTINO BUCIO</t>
  </si>
  <si>
    <t>PROVIDENCA</t>
  </si>
  <si>
    <t>OSCAR ZUZUNAGA</t>
  </si>
  <si>
    <t>OMAR AURELIO AMADOR JARAMILLO</t>
  </si>
  <si>
    <t>DULCE MARIA FONSECA</t>
  </si>
  <si>
    <t>JARDINES DE CERRO GRODO</t>
  </si>
  <si>
    <t>DANIEL GARCIA</t>
  </si>
  <si>
    <t>JOSE ARISTA</t>
  </si>
  <si>
    <t>HECTOR MORALES</t>
  </si>
  <si>
    <t>PUERTA GRANDE</t>
  </si>
  <si>
    <t>JULIO SORIANO</t>
  </si>
  <si>
    <t>ILARIO RIVERO</t>
  </si>
  <si>
    <t>SAN JUAN HIXHUTEPEC</t>
  </si>
  <si>
    <t>LUI ANGEL SERRANO</t>
  </si>
  <si>
    <t>JESUS CANALES</t>
  </si>
  <si>
    <t>MIGUEL CRUZ</t>
  </si>
  <si>
    <t>OSCAR SANCHEZ VEGA</t>
  </si>
  <si>
    <t>DIANA MARTINEZ GARCIA</t>
  </si>
  <si>
    <t>JOSE CRUZ FLORES ROMERO</t>
  </si>
  <si>
    <t>RENE JAIME JUAREZ</t>
  </si>
  <si>
    <t>JOAQUIN GARCIA LUNA</t>
  </si>
  <si>
    <t xml:space="preserve">LUIS MANUEL ADAME/ROSENDO MARTINEZ GARCIA </t>
  </si>
  <si>
    <t>TEXALPA ECATEPEC</t>
  </si>
  <si>
    <t>ZACUATLITLA COACALCO</t>
  </si>
  <si>
    <t>ANA ISABEL CARRASCO</t>
  </si>
  <si>
    <t>FREYSSINET</t>
  </si>
  <si>
    <t>SANTA MARIA TULANTONGO</t>
  </si>
  <si>
    <t>NELLY ESCOBAR ASIENTOS Y ESTRUCTURAS</t>
  </si>
  <si>
    <t>EDUARDO HERNANDEZ/CORPORACION Y CONSTRUCCION DEL GOLFO</t>
  </si>
  <si>
    <t>MARIO VERA</t>
  </si>
  <si>
    <t>MIGUEL LOPEZ GONZALEZ</t>
  </si>
  <si>
    <t>FLORENTINO DAVILA</t>
  </si>
  <si>
    <t>SAN JOSE DE LA ESCALERA</t>
  </si>
  <si>
    <t>ALICIA CRUZ</t>
  </si>
  <si>
    <t>JOSE ALVAREZ</t>
  </si>
  <si>
    <t xml:space="preserve">MOCTEZUMA </t>
  </si>
  <si>
    <t>GUADALUPE SANCHEZ PERALTA</t>
  </si>
  <si>
    <t>ADRIANA ROSA SOTO RAMIREZ</t>
  </si>
  <si>
    <t>ROMAN BRENA BARCENAS</t>
  </si>
  <si>
    <t>CHRISTOPHER FLORES TORRES</t>
  </si>
  <si>
    <t>SAUL LIMA LOPEZ</t>
  </si>
  <si>
    <t>LIZ</t>
  </si>
  <si>
    <t>JAVIER GONZLEZ CARMONA</t>
  </si>
  <si>
    <t>GABRIEL BARRAZA/MENG-AI WU</t>
  </si>
  <si>
    <t>CENTRO HISTORICO</t>
  </si>
  <si>
    <t>ALAN TENORIO</t>
  </si>
  <si>
    <t>ANGEL RODRIGUEZ / JOSE LUIS RODRIGUEZ</t>
  </si>
  <si>
    <t>MANUEL BARRON</t>
  </si>
  <si>
    <t>ENRIQUE OLVERA</t>
  </si>
  <si>
    <t xml:space="preserve">OTONIEL </t>
  </si>
  <si>
    <t>RAYMUNDO NIETO</t>
  </si>
  <si>
    <t>RICARDO IBARRA</t>
  </si>
  <si>
    <t>**</t>
  </si>
  <si>
    <t>ALVARO HERNANDEZ</t>
  </si>
  <si>
    <t>MARCO ANTONIO OSORIO</t>
  </si>
  <si>
    <t>RAUL SOTO</t>
  </si>
  <si>
    <t>CAROS MARTIN</t>
  </si>
  <si>
    <t>OSCAR GUSTAVO</t>
  </si>
  <si>
    <t xml:space="preserve">JARDINES DE SANTA CLARA </t>
  </si>
  <si>
    <t>DIANA ALEJANDRA</t>
  </si>
  <si>
    <t>WILLIAN OMAR</t>
  </si>
  <si>
    <t>MICHELLE ALICIA</t>
  </si>
  <si>
    <t>YEIMI SANCHEZ</t>
  </si>
  <si>
    <t>ERICK HERNANDEZ</t>
  </si>
  <si>
    <t>SANDRA MUÑOZ</t>
  </si>
  <si>
    <t>SERGIO PINEDA ROLDAN</t>
  </si>
  <si>
    <t>JOEL MONTIEL GONZALEZ</t>
  </si>
  <si>
    <t>CALLE VENUSTIANO CARRANZA</t>
  </si>
  <si>
    <t>BRENDA GARCIA GARCIA</t>
  </si>
  <si>
    <t xml:space="preserve">JAVIER M </t>
  </si>
  <si>
    <t>DALMACIO HERNANDEZ MONTALVO</t>
  </si>
  <si>
    <t>CARLOS ESQUIVEL</t>
  </si>
  <si>
    <t>OJO DE AGUA</t>
  </si>
  <si>
    <t>ZACHIEL HERNANDEZ</t>
  </si>
  <si>
    <t>MARIBEL GUADARRAMA</t>
  </si>
  <si>
    <t>JAZMIN MEJIA</t>
  </si>
  <si>
    <t>AMPLIACION PROVIDENCIA</t>
  </si>
  <si>
    <t>EUARDO HERNANDEZ</t>
  </si>
  <si>
    <t>CORNEJO SALGADO LUIS ISRAEL</t>
  </si>
  <si>
    <t>JORGE RUVALCAVA</t>
  </si>
  <si>
    <t>MAURICIO JIMENEZ</t>
  </si>
  <si>
    <t>CLAUDIA GLORIA LUCIANO</t>
  </si>
  <si>
    <t>LUIS ALFONSO MALVAEZ BUSTAMANTE</t>
  </si>
  <si>
    <t>JOSE HECTOR BECERRIL</t>
  </si>
  <si>
    <t>DIANA LORENA SANCHEZ</t>
  </si>
  <si>
    <t>MIGUEL ANGEL JUAREZ DIAZ</t>
  </si>
  <si>
    <t>JOSE MIGUEL PEÑA</t>
  </si>
  <si>
    <t>RICARDO RODRIGUEZ</t>
  </si>
  <si>
    <t>GERMAN MOLINA</t>
  </si>
  <si>
    <t>GUILLERMO ISRAEL</t>
  </si>
  <si>
    <t>ABEL CARMONA</t>
  </si>
  <si>
    <t>FORESTAL</t>
  </si>
  <si>
    <t>JOEL MARTIN DELGADILLO</t>
  </si>
  <si>
    <t>BENITO ZALAZAR LUNA</t>
  </si>
  <si>
    <t>OBRERO</t>
  </si>
  <si>
    <t>ROCIO ROSANO</t>
  </si>
  <si>
    <t>ELIEL LUEVANOS</t>
  </si>
  <si>
    <t>MIGUEL ANGEL HERNANDEZ</t>
  </si>
  <si>
    <t>CELESTINO BALTAZAR</t>
  </si>
  <si>
    <t>WILLIAM OMAR</t>
  </si>
  <si>
    <t>ROCIO CRUZ CRUZ</t>
  </si>
  <si>
    <t>JULIO CESAR PAREDES</t>
  </si>
  <si>
    <t>CESAR ALEJANDRO</t>
  </si>
  <si>
    <t>VICTOR ANDRADE</t>
  </si>
  <si>
    <t>ATIZAPAN DE ZARAGOZA</t>
  </si>
  <si>
    <t>PABLO</t>
  </si>
  <si>
    <t>CAMPESTE ARAGON</t>
  </si>
  <si>
    <t>EDGAR ADRIAN HEREDIA</t>
  </si>
  <si>
    <t xml:space="preserve">COACALCO </t>
  </si>
  <si>
    <t>DAVID PAU</t>
  </si>
  <si>
    <t>EDUARDO ORNELAS</t>
  </si>
  <si>
    <t>ARMANDO ALTAMIRANO</t>
  </si>
  <si>
    <t>HERNANDEZ TORRES OZUA</t>
  </si>
  <si>
    <t>LA JOYA ECATEPEC</t>
  </si>
  <si>
    <t>GERARDO PEÑA</t>
  </si>
  <si>
    <t>ADALBERTO HURTADO</t>
  </si>
  <si>
    <t>RICARDO LOPEZ</t>
  </si>
  <si>
    <t>VERFRA</t>
  </si>
  <si>
    <t>SANTIAGO ATZACOALCO</t>
  </si>
  <si>
    <t>SILVIA SOLIS</t>
  </si>
  <si>
    <t>ESTRELLA DE ORIENTE</t>
  </si>
  <si>
    <t>POLIGONOS</t>
  </si>
  <si>
    <t>JAVIER MENDOZA</t>
  </si>
  <si>
    <t>RAFAEL CUAUTZO</t>
  </si>
  <si>
    <t>RAUL HERNANDEZ</t>
  </si>
  <si>
    <t>VILLAS DE XALOSTOC</t>
  </si>
  <si>
    <t>JESUS ZAMBRANO</t>
  </si>
  <si>
    <t>ATLAMPA</t>
  </si>
  <si>
    <t>JOSE SANCHEZ</t>
  </si>
  <si>
    <t>ALBERTO RANGEL</t>
  </si>
  <si>
    <t>BERNARDO HERNANDEZ ORTEGA</t>
  </si>
  <si>
    <t>SAN ISIDRO IXHUATEPEC</t>
  </si>
  <si>
    <t>CESAR INCLAN</t>
  </si>
  <si>
    <t>IZTAPALAPA</t>
  </si>
  <si>
    <t>DAYANA MUÑOZ RODRIGUEZ</t>
  </si>
  <si>
    <t>GERARDO BADILLO SOLIS</t>
  </si>
  <si>
    <t>JAVIER RUIZ</t>
  </si>
  <si>
    <t>OSCAR GUSTAVO REYES</t>
  </si>
  <si>
    <t>CESAR JOSE ANGUIANO</t>
  </si>
  <si>
    <t>ARMANDO MUÑOZ</t>
  </si>
  <si>
    <t>PURISIMA</t>
  </si>
  <si>
    <t>ANDRES GUSTAVO FACUNDO  AGUILAR</t>
  </si>
  <si>
    <t xml:space="preserve">PRIZO </t>
  </si>
  <si>
    <t>ILIANA VIRIDIANA MARIN</t>
  </si>
  <si>
    <t>LA JOYITA</t>
  </si>
  <si>
    <t>OSCAR BECERRIL MIRANDA</t>
  </si>
  <si>
    <t>CANAL DEL DESFOGUE</t>
  </si>
  <si>
    <t>J MARTIN</t>
  </si>
  <si>
    <t>ADRIAN R VICTORIA</t>
  </si>
  <si>
    <t>JORGE RIOS</t>
  </si>
  <si>
    <t>EL CHARCO</t>
  </si>
  <si>
    <t>ANDRES RIVERA MARTINEZ</t>
  </si>
  <si>
    <t>METRO CARRERA</t>
  </si>
  <si>
    <t>OSCAR HERNANDEZ</t>
  </si>
  <si>
    <t>SOLUCIONES ALERGICAS</t>
  </si>
  <si>
    <t>LOS ALAMOS</t>
  </si>
  <si>
    <t>IVAN EULOPA</t>
  </si>
  <si>
    <t>TALLER EZPAÑA</t>
  </si>
  <si>
    <t>LURA ORTIZ</t>
  </si>
  <si>
    <t>SANTIAGO DE JESUS</t>
  </si>
  <si>
    <t>GUILLERMO GARCIA</t>
  </si>
  <si>
    <t>EDUARDO LEYVA</t>
  </si>
  <si>
    <t>EUZKADI</t>
  </si>
  <si>
    <t>MARCOS BAUTISTA</t>
  </si>
  <si>
    <t>MARIO FONSECA</t>
  </si>
  <si>
    <t>ANGEL RANDA</t>
  </si>
  <si>
    <t>JOSE VALTIERRA</t>
  </si>
  <si>
    <t>SAN FRANCISCO XALOSTOC</t>
  </si>
  <si>
    <t>INTERGRADORA DE PRODUCTOS</t>
  </si>
  <si>
    <t>SUSANA VALENCIA SARAVIA</t>
  </si>
  <si>
    <t>RUBEN MARQUEZ</t>
  </si>
  <si>
    <t>RICARDO  EUDAVE VELAZQUEZ</t>
  </si>
  <si>
    <t>MIGUEL A FLORES</t>
  </si>
  <si>
    <t>JOSE ALONSO</t>
  </si>
  <si>
    <t>LIZBETH SANTILLAN</t>
  </si>
  <si>
    <t>ALEJANDRO CARDOSO</t>
  </si>
  <si>
    <t>LA ESTRELLA</t>
  </si>
  <si>
    <t>NESTOR RUIZ</t>
  </si>
  <si>
    <t>ULISES ENRIQUE VENEGAS</t>
  </si>
  <si>
    <t>IVAN MATRINEZ</t>
  </si>
  <si>
    <t>JOEL/ISRAEL</t>
  </si>
  <si>
    <t>JOEL ALBA MADRIGAL</t>
  </si>
  <si>
    <t>CHICONCUAC</t>
  </si>
  <si>
    <t>SUSANA VILLASEÑOR</t>
  </si>
  <si>
    <t>ROBERTO ALVARADO</t>
  </si>
  <si>
    <t>PEÑON TEXCOCO</t>
  </si>
  <si>
    <t>SNAGOV</t>
  </si>
  <si>
    <t>VIRIDIANA BERENICE</t>
  </si>
  <si>
    <t>JAVIER URIBE</t>
  </si>
  <si>
    <t>ANGEL GABRIEL OLIVAR</t>
  </si>
  <si>
    <t>IVAN RODRIGUEZ</t>
  </si>
  <si>
    <t>PEDRO HERNANDEZ ESTRADA</t>
  </si>
  <si>
    <t>LA LAGUNA TICOMAN</t>
  </si>
  <si>
    <t>JOSE LUIS GARCIA LUNA</t>
  </si>
  <si>
    <t>CASTILLO GRANDE</t>
  </si>
  <si>
    <t>MAURICIO DIAZ</t>
  </si>
  <si>
    <t>BOSQUES DE LAS LOMAS</t>
  </si>
  <si>
    <t>JOSE GERARDO HERNANDEZ OLIVA</t>
  </si>
  <si>
    <t>MIGUEL ANGEL PEREZ GALLO</t>
  </si>
  <si>
    <t>MARIA DOLORES</t>
  </si>
  <si>
    <t>OMAR ALFARO MORENO</t>
  </si>
  <si>
    <t>KARINA GUTIERREZ</t>
  </si>
  <si>
    <t>CERRADA DE INDEPENDENCIA</t>
  </si>
  <si>
    <t>RICARDO VIDARGAS</t>
  </si>
  <si>
    <t>SAMUEL GOMEZ</t>
  </si>
  <si>
    <t xml:space="preserve">CARLOS ALBERTO ISLAS </t>
  </si>
  <si>
    <t>NESTOR GARCIA</t>
  </si>
  <si>
    <t>JUAN MANUEL MADRIGAL</t>
  </si>
  <si>
    <t>RICARDO PEREZ GALLO</t>
  </si>
  <si>
    <t>VIVEROS XALOSTOC</t>
  </si>
  <si>
    <t>ATALO MARTINEZ</t>
  </si>
  <si>
    <t>CAYETANO MARTINEZ GARCIA</t>
  </si>
  <si>
    <t>LAS ANTENAS</t>
  </si>
  <si>
    <t>JAVIER BOBADILLA VERGARA</t>
  </si>
  <si>
    <t xml:space="preserve">FERNANDO B </t>
  </si>
  <si>
    <t>SERGIO MENDEZ</t>
  </si>
  <si>
    <t>ANTONIO MUÑIZ</t>
  </si>
  <si>
    <t>DIANA LORENA SANCHEZ / JOSE SOLIN</t>
  </si>
  <si>
    <t>EDUARDO JAVIER VELAZQUEZ</t>
  </si>
  <si>
    <t>MARISOL NAJERA SILVA</t>
  </si>
  <si>
    <t>SERVANA</t>
  </si>
  <si>
    <t>NICO VAZQUEZ</t>
  </si>
  <si>
    <t>ISRIS DIANA CASTRO</t>
  </si>
  <si>
    <t>SILVIA ESTHER HERNANDEZ</t>
  </si>
  <si>
    <t>JUANA ALANIS</t>
  </si>
  <si>
    <t>GUADALUPE ANGELICA SANCHEZ</t>
  </si>
  <si>
    <t>LUIS ALBERTO VALDERRAMA GARCIA</t>
  </si>
  <si>
    <t>PEÑON DE LOS BAÑOS</t>
  </si>
  <si>
    <t>DANIEL LOPEZ</t>
  </si>
  <si>
    <t>SOLIDARIDAD 90</t>
  </si>
  <si>
    <t>RAFAEL ZENTENO</t>
  </si>
  <si>
    <t>SAUCES</t>
  </si>
  <si>
    <t>25 DE JULIO</t>
  </si>
  <si>
    <t>ARELY CATALINA TREJO</t>
  </si>
  <si>
    <t xml:space="preserve">JOSE HECTOR BECERRIL </t>
  </si>
  <si>
    <t>ALFREDO LOPEZ ROJAS</t>
  </si>
  <si>
    <t>LORENA CHAVEZ MEDINA</t>
  </si>
  <si>
    <t>MELCHOR MUZQUIZ</t>
  </si>
  <si>
    <t>M. ARQ. A. ESTUDIO / EDUARDO PÉÑA</t>
  </si>
  <si>
    <t>LUIS MANUEL ENGILO</t>
  </si>
  <si>
    <t>AGUSTIN GARCIA</t>
  </si>
  <si>
    <t>MIGUEL DE GUILLERMO</t>
  </si>
  <si>
    <t>VIVEROS DE  TULPETLAC</t>
  </si>
  <si>
    <t>CARLOS BALTAZAR FRANCISCO</t>
  </si>
  <si>
    <t>BUENAVISTA</t>
  </si>
  <si>
    <t>GOMEZ ORTIZ ESTEBAN</t>
  </si>
  <si>
    <t>OSWALDO HERNANDEZ LOZANO</t>
  </si>
  <si>
    <t>JOEL VILLASEÑOR</t>
  </si>
  <si>
    <t>JUAN PORFIRIO TORRES</t>
  </si>
  <si>
    <t>JOSE HECTOR BECERRIL PERALTA</t>
  </si>
  <si>
    <t>KELI CAPITAL</t>
  </si>
  <si>
    <t>RESTO DEL PEDIDO</t>
  </si>
  <si>
    <t>3 PAQ.</t>
  </si>
  <si>
    <t>AIMEE GARCIA</t>
  </si>
  <si>
    <t>VALLE DE SANTIAGO</t>
  </si>
  <si>
    <t>JOEL GREGORIO HERNANDEZ</t>
  </si>
  <si>
    <t>MOCTEZUMA 2 DA SECCION</t>
  </si>
  <si>
    <t>CAMBIO FISICO</t>
  </si>
  <si>
    <t>AARON HERNANDEZ ROJAS</t>
  </si>
  <si>
    <t>JULIO GODOY</t>
  </si>
  <si>
    <t>LUIS VALDELAMAR</t>
  </si>
  <si>
    <t>LA CRUZ IZTACALCO</t>
  </si>
  <si>
    <t>ADRIANA ROSA SOTO</t>
  </si>
  <si>
    <t>MIGUEL ANGEL TORRES</t>
  </si>
  <si>
    <t>JAIRO NICOLAS PUGA</t>
  </si>
  <si>
    <t>CARLOS VELAZCO</t>
  </si>
  <si>
    <t>ARTEMIO RODRIGUEZ</t>
  </si>
  <si>
    <t>GRUPO PCS INGENIERIA CONTRUCCION Y SUPERVICION</t>
  </si>
  <si>
    <t>AMARO ESTEBAN CONSTRUCCIONES</t>
  </si>
  <si>
    <t>SAN FRANCISCO</t>
  </si>
  <si>
    <t>ANTONIO MUÑIZ PADILLA</t>
  </si>
  <si>
    <t>NIÑO JESUS</t>
  </si>
  <si>
    <t>ARMANDO LUGO ORNELAS</t>
  </si>
  <si>
    <t>JOSE JUAN BAUTISTA</t>
  </si>
  <si>
    <t>JOSE ELIAS</t>
  </si>
  <si>
    <t>GUADALQUIVIR</t>
  </si>
  <si>
    <t>EMMANUEL GIBRAN /HORACIO GAYOSSO MORENO</t>
  </si>
  <si>
    <t>FUENTES DE ARAGON</t>
  </si>
  <si>
    <t>ANGEL OMAR ENRQUEZ</t>
  </si>
  <si>
    <t>MARIO FABIAN</t>
  </si>
  <si>
    <t>CARLOS ALBERTO JARAMILLO HUIDOBRO</t>
  </si>
  <si>
    <t>ARMANDO IBARRA QUINTERO</t>
  </si>
  <si>
    <t>VIENTO NUEVO</t>
  </si>
  <si>
    <t>ROBERTO PERALTA</t>
  </si>
  <si>
    <t>ARAGON 4TA SECCION</t>
  </si>
  <si>
    <t>JESUS</t>
  </si>
  <si>
    <t>MARIO HERRERA</t>
  </si>
  <si>
    <t>JORGE GABRIEL DEL MORAL LASCURAIN</t>
  </si>
  <si>
    <t>JUAN TRUJILLO</t>
  </si>
  <si>
    <t>CUITLAHUAC</t>
  </si>
  <si>
    <t>GUSTAVO VELAZQUEZ</t>
  </si>
  <si>
    <t>LUIS DONALDO COLOSIO</t>
  </si>
  <si>
    <t>NOE ROJAS</t>
  </si>
  <si>
    <t>ARMANDO CASTRO</t>
  </si>
  <si>
    <t>ROGELIO AYALA</t>
  </si>
  <si>
    <t>MIRIAM ESQUIVEL</t>
  </si>
  <si>
    <t>ADRIAN ARREDONDO</t>
  </si>
  <si>
    <t>RESIDENCIAL ACUEDUCTO</t>
  </si>
  <si>
    <t>RENE GARCIA</t>
  </si>
  <si>
    <t>MARCO CRUZ</t>
  </si>
  <si>
    <t>JUAN CARLOS MEDINA</t>
  </si>
  <si>
    <t>SAGITARIO 10</t>
  </si>
  <si>
    <t>DAVID VELAZQUEZ</t>
  </si>
  <si>
    <t>JOSE ANTONIO TORRES</t>
  </si>
  <si>
    <t>JULIO CRUZ</t>
  </si>
  <si>
    <t>SAGITARIO 8</t>
  </si>
  <si>
    <t>ARTURO DOMINGUEZ</t>
  </si>
  <si>
    <t>RAFAEL MARTINEZ</t>
  </si>
  <si>
    <t>ENRIQUE ROSALES</t>
  </si>
  <si>
    <t>CONSTITUCION</t>
  </si>
  <si>
    <t>JUAN CARLOS SANTOS</t>
  </si>
  <si>
    <t xml:space="preserve">JOSE OCTAVIO MENDOZA </t>
  </si>
  <si>
    <t>ERICK HERNANDEZ MERCADO</t>
  </si>
  <si>
    <t>JUAN VAZQUEZ</t>
  </si>
  <si>
    <t>JAVIER BARRERA / ALBERTO CERVANTES GARCIA</t>
  </si>
  <si>
    <t>MODELO</t>
  </si>
  <si>
    <t>COMPLETO</t>
  </si>
  <si>
    <t>CARLOS ALZAGA</t>
  </si>
  <si>
    <t>ALMARCINGO SUR</t>
  </si>
  <si>
    <t>HERRAJE</t>
  </si>
  <si>
    <t>DAVID RODRIGUEZ</t>
  </si>
  <si>
    <t>LAURA SHANTAL RIOS CONTRERAS</t>
  </si>
  <si>
    <t>VERONICA ANZURES</t>
  </si>
  <si>
    <t>ERNESTO FLORES</t>
  </si>
  <si>
    <t>ARA 31</t>
  </si>
  <si>
    <t>MDF28</t>
  </si>
  <si>
    <t>GABRIELA RAMIREZ</t>
  </si>
  <si>
    <t>LOMAS DE TEPEOLULCO</t>
  </si>
  <si>
    <t>ASIG23</t>
  </si>
  <si>
    <t>CUBR95</t>
  </si>
  <si>
    <t>RUBEN FONSECA</t>
  </si>
  <si>
    <t>LIZ DISEÑO</t>
  </si>
  <si>
    <t>LAURA ORTIZ SORIANO</t>
  </si>
  <si>
    <t>D MOBILIARIO Y DISEÑO DMO</t>
  </si>
  <si>
    <t xml:space="preserve">TEOTIHUACAN </t>
  </si>
  <si>
    <t>VST20</t>
  </si>
  <si>
    <t>VICTOR HUGO PERDOMO</t>
  </si>
  <si>
    <t>LA LAGUNA</t>
  </si>
  <si>
    <t>ARELY TREJO RAMIREZ</t>
  </si>
  <si>
    <t xml:space="preserve">COMPLETO </t>
  </si>
  <si>
    <t>WOOD08</t>
  </si>
  <si>
    <t>PASCUAL MORALES</t>
  </si>
  <si>
    <t>SAMUEL AGUSTIN GOMEZ CANSINO</t>
  </si>
  <si>
    <t>SOFIA RIVERO</t>
  </si>
  <si>
    <t>CTM</t>
  </si>
  <si>
    <t>ARA10</t>
  </si>
  <si>
    <t>ARA65</t>
  </si>
  <si>
    <t>ARA68</t>
  </si>
  <si>
    <t>MDF51</t>
  </si>
  <si>
    <t>MC26</t>
  </si>
  <si>
    <t>OSCAR ISIDRO</t>
  </si>
  <si>
    <t>JOSE LUIS ZOLORZANO</t>
  </si>
  <si>
    <t>BENITO RODRIGUEZ DE LA SANCHA</t>
  </si>
  <si>
    <t>PERIFERICO SUR</t>
  </si>
  <si>
    <t xml:space="preserve">RIO DE LUZ </t>
  </si>
  <si>
    <t>CARLOS DOMIGUEZ</t>
  </si>
  <si>
    <t>AMP BUENAVISTA</t>
  </si>
  <si>
    <t>DINORAH PINEDA TORRES</t>
  </si>
  <si>
    <t>FEDERICO LEDESMA PEREZ</t>
  </si>
  <si>
    <t>LAS VEGAS</t>
  </si>
  <si>
    <t>BELLAVISTA</t>
  </si>
  <si>
    <t>CUBR64</t>
  </si>
  <si>
    <t>CUBR70</t>
  </si>
  <si>
    <t xml:space="preserve">LEONARDO ROJAS </t>
  </si>
  <si>
    <t>MANUEL ANAYA TORRES</t>
  </si>
  <si>
    <t>OMAR GARZA</t>
  </si>
  <si>
    <t>SERGIO CASTRO</t>
  </si>
  <si>
    <t>ANSELMO LARA MIRANDA</t>
  </si>
  <si>
    <t xml:space="preserve">CHAMIZAL </t>
  </si>
  <si>
    <t>BRENDA AYALA RAMOS</t>
  </si>
  <si>
    <t>NICASIO CARDENAS</t>
  </si>
  <si>
    <t>JUAN PABLO HERNANDEZ</t>
  </si>
  <si>
    <t>ANGELICA JAZMIN LUCERO BERRIO</t>
  </si>
  <si>
    <t>MAURICIO BERNAL DELGADO</t>
  </si>
  <si>
    <t>ANUAR MARCOS</t>
  </si>
  <si>
    <t>GUSTAVO AGUILAR CALDERON</t>
  </si>
  <si>
    <t>JESUS VAZQUEZ</t>
  </si>
  <si>
    <t>NAV05</t>
  </si>
  <si>
    <t>NAV</t>
  </si>
  <si>
    <t xml:space="preserve">RAUL PILLADO ANGELES </t>
  </si>
  <si>
    <t>OLIMPICA</t>
  </si>
  <si>
    <t>ERICK PEREZ</t>
  </si>
  <si>
    <t>SAN JUAN ALCAHUACAN</t>
  </si>
  <si>
    <t xml:space="preserve">SAUCES </t>
  </si>
  <si>
    <t>RICARDO CESAR GOMEZ</t>
  </si>
  <si>
    <t>DPY09</t>
  </si>
  <si>
    <t>DANIEL DE LA BRENA</t>
  </si>
  <si>
    <t>ANGEL TINOCO</t>
  </si>
  <si>
    <t>RICARDO MARTIN ROMERO</t>
  </si>
  <si>
    <t>TAMER ALHASNY</t>
  </si>
  <si>
    <t>LA FRAGUA</t>
  </si>
  <si>
    <t>ASIG32</t>
  </si>
  <si>
    <t>MC24</t>
  </si>
  <si>
    <t>NAV23</t>
  </si>
  <si>
    <t>TKS 58</t>
  </si>
  <si>
    <t>MDF08</t>
  </si>
  <si>
    <t>MDF77</t>
  </si>
  <si>
    <t>MDF71</t>
  </si>
  <si>
    <t>ARMANDO SANDOVAL</t>
  </si>
  <si>
    <t>ALEJANDRA HERNANDEZ BARBOSA</t>
  </si>
  <si>
    <t>MDF13</t>
  </si>
  <si>
    <t xml:space="preserve">JUDITH BARRERA </t>
  </si>
  <si>
    <t>JORGE ALBERTO NIÑO</t>
  </si>
  <si>
    <t>NAZARIO LUJAN</t>
  </si>
  <si>
    <t>CUBR04</t>
  </si>
  <si>
    <t>CUBR05</t>
  </si>
  <si>
    <t>SAUL GARCIA JIMENEZ</t>
  </si>
  <si>
    <t>RENE OSORIO</t>
  </si>
  <si>
    <t>CONTITUCION DE 1917</t>
  </si>
  <si>
    <t>GALICIA</t>
  </si>
  <si>
    <t>ALEJANDRO ZALAZAR</t>
  </si>
  <si>
    <t xml:space="preserve">AMPLIACION CASTILLO </t>
  </si>
  <si>
    <t>CONTITUCION DE 1918</t>
  </si>
  <si>
    <t>PEDRO CASTILLO LOPEZ</t>
  </si>
  <si>
    <t>JULIO CESAR BERRIOS</t>
  </si>
  <si>
    <t>CESAR MENDOZA</t>
  </si>
  <si>
    <t>OSCAR MALO PEÑA</t>
  </si>
  <si>
    <t>VICTOR MANUEL FUENTES</t>
  </si>
  <si>
    <t>POTRRO DEL REY</t>
  </si>
  <si>
    <t>CARLOS PALMA TOLEDO</t>
  </si>
  <si>
    <t>NOE ALARCON MARTINEZ</t>
  </si>
  <si>
    <t>DIEGO CAMARGO LOPEZ</t>
  </si>
  <si>
    <t>JOSE AGUILAR</t>
  </si>
  <si>
    <t>ASIG06</t>
  </si>
  <si>
    <t>ASIG11</t>
  </si>
  <si>
    <t>ANGEL TINOCO GODINEZ</t>
  </si>
  <si>
    <t>PRADERA</t>
  </si>
  <si>
    <t>JUAN MANUEL DURAN</t>
  </si>
  <si>
    <t>JASON BARCENAS</t>
  </si>
  <si>
    <t>MIGUEL MUÑOZ</t>
  </si>
  <si>
    <t>VICTOR MANUEL GOMEZ</t>
  </si>
  <si>
    <t>FERNANDO D. PEREZ</t>
  </si>
  <si>
    <t>ABRAHAM GONZALEZ ZARAGOZA</t>
  </si>
  <si>
    <t>CARLOS MARIO PEREIRA</t>
  </si>
  <si>
    <t>ALEJANDRO BRIONES</t>
  </si>
  <si>
    <t>ROBERTO CHAVEZ</t>
  </si>
  <si>
    <t>GUSTAVO BAZ</t>
  </si>
  <si>
    <t>GABRIEL DOMINGUEZ</t>
  </si>
  <si>
    <t>DIVISON DEL NORTE</t>
  </si>
  <si>
    <t>JOSE LUIS VELAZQUEZ SANCHEZ</t>
  </si>
  <si>
    <t>MDF48</t>
  </si>
  <si>
    <t>NAV22</t>
  </si>
  <si>
    <t>NAV24</t>
  </si>
  <si>
    <t>TKS09</t>
  </si>
  <si>
    <t>EDWARD ULISES GARCIA HERNANDEZ</t>
  </si>
  <si>
    <t>MARIO ITURBIDE</t>
  </si>
  <si>
    <t>JOSE ANTONIO VARGAS GUDIÑO</t>
  </si>
  <si>
    <t>VST22</t>
  </si>
  <si>
    <t>BUNKER ASESORIA TOTAL</t>
  </si>
  <si>
    <t>SERGIO BORBOLLA</t>
  </si>
  <si>
    <t>TEXALPA</t>
  </si>
  <si>
    <t>AGUSTIN AGUILAR PEREZ</t>
  </si>
  <si>
    <t>ROGELIO RAMIREZ GONZALEZ</t>
  </si>
  <si>
    <t>ARA64</t>
  </si>
  <si>
    <t>SALAZAR MADRID LEOARDO</t>
  </si>
  <si>
    <t>JOSE LUIS COLORADO</t>
  </si>
  <si>
    <t>ASIG24</t>
  </si>
  <si>
    <t>COM</t>
  </si>
  <si>
    <t>IRIS CATALINA ROJAS</t>
  </si>
  <si>
    <t>EL RANCHITO</t>
  </si>
  <si>
    <t>ARA03</t>
  </si>
  <si>
    <t xml:space="preserve">TKS03 </t>
  </si>
  <si>
    <t>MDF312</t>
  </si>
  <si>
    <t>TKS11</t>
  </si>
  <si>
    <t>TKS10</t>
  </si>
  <si>
    <t>CUBR35</t>
  </si>
  <si>
    <t>GABRIELA NAVARRO</t>
  </si>
  <si>
    <t>ARA66</t>
  </si>
  <si>
    <t>MDF42</t>
  </si>
  <si>
    <t>HERIBERTO CUAUTLE</t>
  </si>
  <si>
    <t>CARLOS VELASCO</t>
  </si>
  <si>
    <t>ALEJANDRO CABRERA</t>
  </si>
  <si>
    <t>ARA85</t>
  </si>
  <si>
    <t>CUBR100</t>
  </si>
  <si>
    <t>MDF476</t>
  </si>
  <si>
    <t>CUBR109</t>
  </si>
  <si>
    <t>LUIS ANTONIO MEJIA</t>
  </si>
  <si>
    <t>MDF17</t>
  </si>
  <si>
    <t>VILLAS DE GUADALUPE</t>
  </si>
  <si>
    <t>OSCAR MUJICA</t>
  </si>
  <si>
    <t>GABINO ESPINOZA</t>
  </si>
  <si>
    <t>TELLO CASTILLO</t>
  </si>
  <si>
    <t>ALEJANDRO LOPEZ</t>
  </si>
  <si>
    <t>MDF14</t>
  </si>
  <si>
    <t>MDF52</t>
  </si>
  <si>
    <t>ALVARO MARTINEZ ZUÑIGA</t>
  </si>
  <si>
    <t>ENRIQUE MENESES</t>
  </si>
  <si>
    <t>JAVIER CORREA ESPINOZA</t>
  </si>
  <si>
    <t>CONSTITUCION DE 1918</t>
  </si>
  <si>
    <t>JULIO GODOY TORRES</t>
  </si>
  <si>
    <t>PEDRO REYES</t>
  </si>
  <si>
    <t>RICARDO EUDAVE VELASCO</t>
  </si>
  <si>
    <t>MIGUEL ANGEL FLORES</t>
  </si>
  <si>
    <t>WOOD04</t>
  </si>
  <si>
    <t>LETICIA VICTORIA</t>
  </si>
  <si>
    <t>NAV17</t>
  </si>
  <si>
    <t>GUILLERMO MELITON</t>
  </si>
  <si>
    <t xml:space="preserve">EMILIANO ZAPATA </t>
  </si>
  <si>
    <t>ANGEL CALDERON SANCHEZ</t>
  </si>
  <si>
    <t>VICTOR NAVARRO</t>
  </si>
  <si>
    <t>MISAEL LOAIZA</t>
  </si>
  <si>
    <t>EDUARDO AGUILLON</t>
  </si>
  <si>
    <t>ALICIA AYALA</t>
  </si>
  <si>
    <t>SUSANA VALENCIA</t>
  </si>
  <si>
    <t>ARA06</t>
  </si>
  <si>
    <t>ARA47</t>
  </si>
  <si>
    <t>NAV20</t>
  </si>
  <si>
    <t>ASIG05</t>
  </si>
  <si>
    <t>ANGEL RODRIGUEZ</t>
  </si>
  <si>
    <t>MARINA NACINAL</t>
  </si>
  <si>
    <t>TKS07</t>
  </si>
  <si>
    <t>SAN PEDRO XALPA</t>
  </si>
  <si>
    <t>DONATO CORTES</t>
  </si>
  <si>
    <t xml:space="preserve">JUAN ANTONIO DIAZ </t>
  </si>
  <si>
    <t>ANGEL RANGEL</t>
  </si>
  <si>
    <t xml:space="preserve">JOSE LOPEZ PORTILLO 156 </t>
  </si>
  <si>
    <t>VICTOR MANUEL GARCIA</t>
  </si>
  <si>
    <t>FRANCISCO JAVIER MENDOZA BUENO</t>
  </si>
  <si>
    <t>TPY04</t>
  </si>
  <si>
    <t>JORGE AVILA</t>
  </si>
  <si>
    <t>ALFREDO</t>
  </si>
  <si>
    <t>NAV03</t>
  </si>
  <si>
    <t>TKS03</t>
  </si>
  <si>
    <t>ESTEBAN AGUILAR</t>
  </si>
  <si>
    <t>CARLOS BALTAZAR</t>
  </si>
  <si>
    <t>NAV10</t>
  </si>
  <si>
    <t>OLIVER FRANCO</t>
  </si>
  <si>
    <t>TEPEYAC INSURGENTE</t>
  </si>
  <si>
    <t>ARA31</t>
  </si>
  <si>
    <t>RICARDO CESAR MARTINEZ</t>
  </si>
  <si>
    <t>PRADOS DE EUCALIPTO</t>
  </si>
  <si>
    <t>ELIZABETH VALERIANA</t>
  </si>
  <si>
    <t>ADOLFO ALBORNOZ OLIVO</t>
  </si>
  <si>
    <t>IMPULSORA OLIVO</t>
  </si>
  <si>
    <t>MALDONADO RAYMUNDO</t>
  </si>
  <si>
    <t>ANTONIO SUAREZ</t>
  </si>
  <si>
    <t>JUAN MEDEL</t>
  </si>
  <si>
    <t>TULPETLAC TEXALPA</t>
  </si>
  <si>
    <t xml:space="preserve">FRANCISCO </t>
  </si>
  <si>
    <t>MANUEL RINCON</t>
  </si>
  <si>
    <t>HILARIO RIVERO</t>
  </si>
  <si>
    <t>ANGEL OLVERA</t>
  </si>
  <si>
    <t>GUADALUPE VICTORIA</t>
  </si>
  <si>
    <t xml:space="preserve">OSCAR MUJICA </t>
  </si>
  <si>
    <t>YESICA GABRIEL</t>
  </si>
  <si>
    <t>ALEJANDRO GONZALEZ</t>
  </si>
  <si>
    <t>JORGE FRANCISCO ALCANTAR</t>
  </si>
  <si>
    <t>ENRIQUE ALVAREZ</t>
  </si>
  <si>
    <t>PEDRO OJEDA</t>
  </si>
  <si>
    <t>JULIA LORENA CHAVEZ MEDINA</t>
  </si>
  <si>
    <t>MUZQUIZ</t>
  </si>
  <si>
    <t>ARTURO BARRERA</t>
  </si>
  <si>
    <t>EDUARDO VAZQUEZ</t>
  </si>
  <si>
    <t>FRANCISCO CRECENCIO</t>
  </si>
  <si>
    <t>IGNACIO SANCHEZ</t>
  </si>
  <si>
    <t>ZUMPANGO</t>
  </si>
  <si>
    <t>RENATA CASTILLO RODRIGUEZ</t>
  </si>
  <si>
    <t>JARDINES DE ARAGON</t>
  </si>
  <si>
    <t>ASIG22</t>
  </si>
  <si>
    <t>WOOD06</t>
  </si>
  <si>
    <t>VICTOR OJEDA LOZANO</t>
  </si>
  <si>
    <t>NAV06</t>
  </si>
  <si>
    <t>CAMPIÑA DE ARAGON</t>
  </si>
  <si>
    <t>JULIO CESAR ROLDAN</t>
  </si>
  <si>
    <t>RIO BLANCO</t>
  </si>
  <si>
    <t>GUADALUPE BALDERAS MONDRAGON</t>
  </si>
  <si>
    <t>TEPALCATES</t>
  </si>
  <si>
    <t>KITCHEN GREECE</t>
  </si>
  <si>
    <t>EL SOL</t>
  </si>
  <si>
    <t>IVAN FLORES</t>
  </si>
  <si>
    <t>VIVEROS TULPETLAC</t>
  </si>
  <si>
    <t>JORGE ARELLANO SOTELO / MARIA ELENA CASTRO</t>
  </si>
  <si>
    <t xml:space="preserve">PABLO MORENO </t>
  </si>
  <si>
    <t>REENVIO DE MATERIAL LO CORTARON MAL</t>
  </si>
  <si>
    <t>WENCESLAO SAUCEDO  HERNANDEZ</t>
  </si>
  <si>
    <t>LOMAS DE SAN CARLOS</t>
  </si>
  <si>
    <t>DANIEL MORGADO / OCTAVIO ZEPEDA</t>
  </si>
  <si>
    <t>DAVID FUENTES / CARLOS SANCHEZ PEREZ</t>
  </si>
  <si>
    <t>MARIO MENDEZ</t>
  </si>
  <si>
    <t>CUBR111</t>
  </si>
  <si>
    <t>ARA63</t>
  </si>
  <si>
    <t>GUADALUPE FUENTES</t>
  </si>
  <si>
    <t>SAN PABLO DE LAS SALINAS TULTITLAN</t>
  </si>
  <si>
    <t>ARA139</t>
  </si>
  <si>
    <t>ARA16</t>
  </si>
  <si>
    <t>POTRERO DEL REY</t>
  </si>
  <si>
    <t>VICTOR M FUENTES URIBE</t>
  </si>
  <si>
    <t xml:space="preserve">ARTURO RODRIGUEZ </t>
  </si>
  <si>
    <t>MARIA DE LA LUZ  DIAZ</t>
  </si>
  <si>
    <t>EL TESORO TULTITLAN</t>
  </si>
  <si>
    <t>GUSTAVO DIAZ DE LEON / ARTURO ESTRADA ROSALES</t>
  </si>
  <si>
    <t>ALEJANDRO</t>
  </si>
  <si>
    <t>MIGUEL ANGEL ACOSTA</t>
  </si>
  <si>
    <t>OSCAR GABRIEL MEDINA SORIANO</t>
  </si>
  <si>
    <t xml:space="preserve">CARLOS JAVIER VELASCO </t>
  </si>
  <si>
    <t>CUBIERTA PÉNDIENTE</t>
  </si>
  <si>
    <t>RUBEN RODRIGUEZ</t>
  </si>
  <si>
    <t>ANTONIO LICONA CASTELAN</t>
  </si>
  <si>
    <t>QUEEN SERENO</t>
  </si>
  <si>
    <t>JUAN CARLOS COLMENARES SANCHEZ</t>
  </si>
  <si>
    <t>SILVIA ESTHER</t>
  </si>
  <si>
    <t>YENY CERVANTES</t>
  </si>
  <si>
    <t>EDGAR MANUEL TELLEZ / HECTOR MORALES</t>
  </si>
  <si>
    <t>ARA138</t>
  </si>
  <si>
    <t>VST34</t>
  </si>
  <si>
    <t>MDF76</t>
  </si>
  <si>
    <t>GERTRDIS SANCHEZ</t>
  </si>
  <si>
    <t>DANIEL VILLANUEVA</t>
  </si>
  <si>
    <t>GUSTAVO GAMIÑO MONTES</t>
  </si>
  <si>
    <t>TULTITLAN</t>
  </si>
  <si>
    <t>HECTOR ESTRADA DIAZ</t>
  </si>
  <si>
    <t>GABRIELA SEGURA LEZAMA</t>
  </si>
  <si>
    <t>NESTOR JOSE MARTINEZ</t>
  </si>
  <si>
    <t>GERARDO CRISTOBAL</t>
  </si>
  <si>
    <t xml:space="preserve">MARIO MENDEZ / ELIZABETH VALERIANA </t>
  </si>
  <si>
    <t>GABRIEL GALEANA DIAZ</t>
  </si>
  <si>
    <t>OTONIEL HDZ</t>
  </si>
  <si>
    <t>PABLO HERNANDEZ</t>
  </si>
  <si>
    <t>JULIO OROPEZA</t>
  </si>
  <si>
    <t>JOSE HERNANDEZ ASCENCIO</t>
  </si>
  <si>
    <t>VISTA HERMOSA TLALNEPANTLA</t>
  </si>
  <si>
    <t>ADMINISTRACION DE PROYECTOS / IVAN RUIZ</t>
  </si>
  <si>
    <t>ARACELI NOEMI GONZALEZ ROMO</t>
  </si>
  <si>
    <t>AEROTEC PUBLICIDAD DE MEXICO</t>
  </si>
  <si>
    <t>MDF06</t>
  </si>
  <si>
    <t>ALFREDO DEL MAZO</t>
  </si>
  <si>
    <t>JESUS ROSAS GONZALEZ</t>
  </si>
  <si>
    <t>ROBERTO GUEVARA</t>
  </si>
  <si>
    <t>HIPOLITO GONZALEZ</t>
  </si>
  <si>
    <t>EJIDO DE TEQUISITLAN</t>
  </si>
  <si>
    <t>JOSE MARTIN BARRADAS</t>
  </si>
  <si>
    <t>JOSE JAVIER GRANADOS</t>
  </si>
  <si>
    <t>RAUL GONZALEZ</t>
  </si>
  <si>
    <t>TAMER ALHOSNY</t>
  </si>
  <si>
    <t>LA FRAGUA COLONIA TABACALERA</t>
  </si>
  <si>
    <t>CAPULITLAN</t>
  </si>
  <si>
    <t>CUBR121</t>
  </si>
  <si>
    <t>NAV16</t>
  </si>
  <si>
    <t>ARA14</t>
  </si>
  <si>
    <t>MDF47</t>
  </si>
  <si>
    <t>ENRIQUE GARCIA</t>
  </si>
  <si>
    <t>ANTONIO ALVARADO</t>
  </si>
  <si>
    <t>PRADOS DE XALOSTOC</t>
  </si>
  <si>
    <t>NOE ALARCON</t>
  </si>
  <si>
    <t>PURISIMA TICOMAN</t>
  </si>
  <si>
    <t xml:space="preserve">FELIPE DE JESUS </t>
  </si>
  <si>
    <t>JUAN GONZALES ROMERO</t>
  </si>
  <si>
    <t>VIVEROS DE TULPETLAC</t>
  </si>
  <si>
    <t>MYRIAM ALEJANDRA</t>
  </si>
  <si>
    <t>RAFAEL PAREDES</t>
  </si>
  <si>
    <t>ADRIAN ALFREDO</t>
  </si>
  <si>
    <t>HORACIO GAYOSSO MORENO</t>
  </si>
  <si>
    <t>GONZALO RODRIGUEZ</t>
  </si>
  <si>
    <t>NUEVO TULTITLAN</t>
  </si>
  <si>
    <t>MARTIN JOEL RODRIGUEZ GARCIA</t>
  </si>
  <si>
    <t>LUIS ALBERTO MORALES GARCIA</t>
  </si>
  <si>
    <t>ASIG01</t>
  </si>
  <si>
    <t>SUSANA RAMIREZ</t>
  </si>
  <si>
    <t>TPY32</t>
  </si>
  <si>
    <t>ULISES MARTINEZ GONZALEZ</t>
  </si>
  <si>
    <t>SAVADOR DIAZ BARAJAS</t>
  </si>
  <si>
    <t xml:space="preserve">                                                                                                              </t>
  </si>
  <si>
    <t>COYUCA</t>
  </si>
  <si>
    <t>MISAEL DAMIAN</t>
  </si>
  <si>
    <t>ENRIQUE MENDOZA</t>
  </si>
  <si>
    <t>MARIO COLIN</t>
  </si>
  <si>
    <t>JOSE MORENO</t>
  </si>
  <si>
    <t>MUEBLES PARA OFICINA CASTRO</t>
  </si>
  <si>
    <t>ARA44</t>
  </si>
  <si>
    <t>MARIO RODRIGUEZ / RAAL</t>
  </si>
  <si>
    <t>MIGUEL DOMINGUEZ</t>
  </si>
  <si>
    <t>EDUARDO</t>
  </si>
  <si>
    <t>AQUILES HERNANDEZ</t>
  </si>
  <si>
    <t>BOSQUES DEL VALLE</t>
  </si>
  <si>
    <t>ISRAEL SANCHEZ</t>
  </si>
  <si>
    <t>MIGUEL ANGEL MORALES RIVERA</t>
  </si>
  <si>
    <t>JUAN PEREZ</t>
  </si>
  <si>
    <t>FELIPE GARCIA</t>
  </si>
  <si>
    <t>ABUNDIO GONZALEZ SERAFIN</t>
  </si>
  <si>
    <t xml:space="preserve">PROGRESO DE LA UNION </t>
  </si>
  <si>
    <t xml:space="preserve">VICTOR OJEDA </t>
  </si>
  <si>
    <t xml:space="preserve">KEVIN JIMENEZ CASTAÑEDA/ OSCAR URIEL AUSTRIA </t>
  </si>
  <si>
    <t>HUGO ALBERTO VERA</t>
  </si>
  <si>
    <t>JESUS LOPEZ</t>
  </si>
  <si>
    <t>ALAN CORREA</t>
  </si>
  <si>
    <t>ASIG07</t>
  </si>
  <si>
    <t>ASIG12</t>
  </si>
  <si>
    <t>VICTOR MANUEL GOMEZ MONDRAGON</t>
  </si>
  <si>
    <t>PASEO DE SAN AGUSTIN</t>
  </si>
  <si>
    <t>RODRIGO TORRES</t>
  </si>
  <si>
    <t>JERSON BARCENAS</t>
  </si>
  <si>
    <t>ALAN CABRERA SALAZAR</t>
  </si>
  <si>
    <t>AV ESTUDIO ARQUITECTOS</t>
  </si>
  <si>
    <t>ARA67</t>
  </si>
  <si>
    <t>VALLE DEL NIÑO</t>
  </si>
  <si>
    <t>JULIA LORENA MEDINA</t>
  </si>
  <si>
    <t>GRANJAS MODERNAS</t>
  </si>
  <si>
    <t>MARI DEL ROCIO MALDONADO REYES</t>
  </si>
  <si>
    <t>XOCONTECATL</t>
  </si>
  <si>
    <t>ASIG13</t>
  </si>
  <si>
    <t>MDF23</t>
  </si>
  <si>
    <t>ROSA RODRIGUEZ LUCIO</t>
  </si>
  <si>
    <t>XICONTECATL</t>
  </si>
  <si>
    <t>DESARROLLO E INGENIERIA</t>
  </si>
  <si>
    <t>COCOYOTES</t>
  </si>
  <si>
    <t>ARMANDO MEDELLIN SASNCHEZ</t>
  </si>
  <si>
    <t>ERNESTO MENDEZ</t>
  </si>
  <si>
    <t>MDF49</t>
  </si>
  <si>
    <t>MDF43</t>
  </si>
  <si>
    <t>MATERIAL RETIRADO CON SALIDA DE ALMACEN</t>
  </si>
  <si>
    <t>CARLOS DANIEL  VAZQUEZ</t>
  </si>
  <si>
    <t>CHALMA DE GUADALUPE</t>
  </si>
  <si>
    <t>LUIS MARTINEZ</t>
  </si>
  <si>
    <t>VALLEJO</t>
  </si>
  <si>
    <t>VILLA DE LAS FLORE</t>
  </si>
  <si>
    <t>JUAN ROBLES</t>
  </si>
  <si>
    <t xml:space="preserve">LA ESMERALDA </t>
  </si>
  <si>
    <t xml:space="preserve">ANGEL TINOCO </t>
  </si>
  <si>
    <t xml:space="preserve">SAN JUAN DE ARAGON </t>
  </si>
  <si>
    <t xml:space="preserve">CUBIERTA </t>
  </si>
  <si>
    <t>JORGE KEVIN</t>
  </si>
  <si>
    <t xml:space="preserve">SANTA CLARA </t>
  </si>
  <si>
    <t xml:space="preserve">CLIP </t>
  </si>
  <si>
    <t>MARIA DOLORES RAMIREZ</t>
  </si>
  <si>
    <t xml:space="preserve">AZCAPOTZALCO </t>
  </si>
  <si>
    <t xml:space="preserve">GILBERTOALONSO </t>
  </si>
  <si>
    <t xml:space="preserve">MEXICO INSURGENTE </t>
  </si>
  <si>
    <t>CUBIERTA</t>
  </si>
  <si>
    <t xml:space="preserve">ROSA VIRIDIANA BAUTISTA </t>
  </si>
  <si>
    <t xml:space="preserve">MARTIN ARELLANO </t>
  </si>
  <si>
    <t xml:space="preserve">RIO DE LOS REMEDIOS </t>
  </si>
  <si>
    <t xml:space="preserve">GRANJAS VALLE DE GUADALUPE </t>
  </si>
  <si>
    <t xml:space="preserve">TABLA DE PINO </t>
  </si>
  <si>
    <t>ARIEL ENRIQUE ROJO</t>
  </si>
  <si>
    <t xml:space="preserve">ROMA NORTE </t>
  </si>
  <si>
    <t xml:space="preserve">EGMA CONSTRUCCION </t>
  </si>
  <si>
    <t>MARTIN R.</t>
  </si>
  <si>
    <t>JUDITH</t>
  </si>
  <si>
    <t>BARRERA</t>
  </si>
  <si>
    <t>CUBRE CANTO 100M</t>
  </si>
  <si>
    <t>JARDINES DE XALOSTOC</t>
  </si>
  <si>
    <t>PINO</t>
  </si>
  <si>
    <t xml:space="preserve">THE DREAM </t>
  </si>
  <si>
    <t>AMPLIACION LAZARO CARDENAS</t>
  </si>
  <si>
    <t xml:space="preserve">FILIBERTO HERRERA </t>
  </si>
  <si>
    <t>MIRIAM CRUZ TORRES</t>
  </si>
  <si>
    <t xml:space="preserve">SAN PABLO TECALCO </t>
  </si>
  <si>
    <t xml:space="preserve">DIVICION DEL NORTE </t>
  </si>
  <si>
    <t>BARRA</t>
  </si>
  <si>
    <t>TABL DEPINO</t>
  </si>
  <si>
    <t>TABLA DE PINO</t>
  </si>
  <si>
    <t xml:space="preserve">MARINA NACIONAL </t>
  </si>
  <si>
    <t>SALVADOR APARICIO</t>
  </si>
  <si>
    <t>ELIEL LUEVANOS MATRON</t>
  </si>
  <si>
    <t xml:space="preserve">JORGE RAUL GALLEGOS GARCIA </t>
  </si>
  <si>
    <t>LOMAS DE SAN JUAN IXHUATEPEC</t>
  </si>
  <si>
    <t>PASEOS DE CHURUBUSCO</t>
  </si>
  <si>
    <t>JAVIER FERNANDEZ</t>
  </si>
  <si>
    <t xml:space="preserve">BOSQUES DE ARAGON </t>
  </si>
  <si>
    <t xml:space="preserve">GERARDO PEÑA </t>
  </si>
  <si>
    <t xml:space="preserve">JARDINES DE MORELOS </t>
  </si>
  <si>
    <t xml:space="preserve">OMAR PEREZ ESTRADA </t>
  </si>
  <si>
    <t xml:space="preserve">LA LAGUNA CHICONAUTLA </t>
  </si>
  <si>
    <t>SANTA CLARA SUTERM</t>
  </si>
  <si>
    <t xml:space="preserve">AV MEXICO </t>
  </si>
  <si>
    <t>JUAN DOMINGUEZ CRUZ</t>
  </si>
  <si>
    <t xml:space="preserve">INDUSTRIAL VALLEJO </t>
  </si>
  <si>
    <t xml:space="preserve">PEDRO HERNANDEZ ESTRADA </t>
  </si>
  <si>
    <t xml:space="preserve">LA LAGUNA TICOMAN </t>
  </si>
  <si>
    <t xml:space="preserve">PERFIL NOGAL </t>
  </si>
  <si>
    <t xml:space="preserve">CLAUDIA GARCIA LUCIANO </t>
  </si>
  <si>
    <t xml:space="preserve">ADALBERTO URTADO </t>
  </si>
  <si>
    <t xml:space="preserve">JUAN GONZALES ROMERO </t>
  </si>
  <si>
    <t>MANUEL RODRIGUEZ</t>
  </si>
  <si>
    <t xml:space="preserve">ANGEL NAVARRO </t>
  </si>
  <si>
    <t xml:space="preserve">MARTIN CARRERA </t>
  </si>
  <si>
    <t xml:space="preserve">JOSE LUIS LARA </t>
  </si>
  <si>
    <t xml:space="preserve">GOMES ORTIS ESTEBAN </t>
  </si>
  <si>
    <t xml:space="preserve">PIEDRA GRANDE </t>
  </si>
  <si>
    <t xml:space="preserve">ENRIQUE GUZMAN </t>
  </si>
  <si>
    <t>GERARDO TERAN VELAZQUEZ</t>
  </si>
  <si>
    <t xml:space="preserve">LA PRESA </t>
  </si>
  <si>
    <t xml:space="preserve">ENTERO </t>
  </si>
  <si>
    <t>PROVEDOR TRACTO REFACIONES</t>
  </si>
  <si>
    <t xml:space="preserve">ARTURO RAMOS GARCIA </t>
  </si>
  <si>
    <t>ZONA ECOLAR CUAUTEPEC</t>
  </si>
  <si>
    <t>CARLOS FLORES</t>
  </si>
  <si>
    <t xml:space="preserve">SAN PEDRO ZACATENCO </t>
  </si>
  <si>
    <t>HUMBERTO CRUZ</t>
  </si>
  <si>
    <t xml:space="preserve">THE DREAMS </t>
  </si>
  <si>
    <t>ALFONSO SANCHEZ</t>
  </si>
  <si>
    <t>JARDINES DE GUEDALUPE</t>
  </si>
  <si>
    <t>CESAR ALBERTO OLEA</t>
  </si>
  <si>
    <t xml:space="preserve">JUAN MARTINEZ LAGUNA </t>
  </si>
  <si>
    <t xml:space="preserve">SAN CARLOS </t>
  </si>
  <si>
    <t xml:space="preserve">ANGEL ARANDA </t>
  </si>
  <si>
    <t xml:space="preserve">CHAMIZALITO </t>
  </si>
  <si>
    <t xml:space="preserve">STA CLARA </t>
  </si>
  <si>
    <t>SALVADOR DIAS</t>
  </si>
  <si>
    <t xml:space="preserve">CLAUDIA ABUNDIS </t>
  </si>
  <si>
    <t>JORGE PAQUE</t>
  </si>
  <si>
    <t xml:space="preserve">EJIDOS TULPETLAC </t>
  </si>
  <si>
    <t xml:space="preserve">ALFREDO SORIANO </t>
  </si>
  <si>
    <t xml:space="preserve">CARLA ANAYA </t>
  </si>
  <si>
    <t xml:space="preserve">JORGE VILLASEÑOR </t>
  </si>
  <si>
    <t xml:space="preserve">CD AZTECA </t>
  </si>
  <si>
    <t xml:space="preserve">JARDINES DE STA CLARA </t>
  </si>
  <si>
    <t>JOSE CEBALLOS</t>
  </si>
  <si>
    <t xml:space="preserve">SAN PABLO TEAALCO </t>
  </si>
  <si>
    <t>MOISES SANCHEZ</t>
  </si>
  <si>
    <t xml:space="preserve">MARIO GARCIA </t>
  </si>
  <si>
    <t xml:space="preserve">SAN PABLO TEXCOCO </t>
  </si>
  <si>
    <t>MIGUEL VARGAS</t>
  </si>
  <si>
    <t xml:space="preserve">FUENTES DE ARAGON </t>
  </si>
  <si>
    <t xml:space="preserve">NOE FLORES ALDANA </t>
  </si>
  <si>
    <t xml:space="preserve">SANTA ISABEL </t>
  </si>
  <si>
    <t xml:space="preserve">JOSE SANCHEZ PASTOR </t>
  </si>
  <si>
    <t xml:space="preserve">ALTLAMPA </t>
  </si>
  <si>
    <t xml:space="preserve">ELIAS </t>
  </si>
  <si>
    <t>VILLA DE GUADARQUIVIL</t>
  </si>
  <si>
    <t>ENRIQUE FLORES</t>
  </si>
  <si>
    <t xml:space="preserve">VICTOR MANUEL FUENTES </t>
  </si>
  <si>
    <t xml:space="preserve">POTRERO DEL REY </t>
  </si>
  <si>
    <t>FELIPE SANDOVAL</t>
  </si>
  <si>
    <t xml:space="preserve">GRANJAS POPULARES </t>
  </si>
  <si>
    <t>HECTOR JIMENES</t>
  </si>
  <si>
    <t xml:space="preserve">CARACOLES </t>
  </si>
  <si>
    <t xml:space="preserve">JOSELYN AQUINO </t>
  </si>
  <si>
    <t>HURBANA IXHUASTEPEC</t>
  </si>
  <si>
    <t>GUSTAVO RIOS</t>
  </si>
  <si>
    <t xml:space="preserve">JESUS GUADARRAMA </t>
  </si>
  <si>
    <t xml:space="preserve">VILLA DE GUADALUPE XALOSTOC </t>
  </si>
  <si>
    <t xml:space="preserve">VILLAS DE GUADALUPE </t>
  </si>
  <si>
    <t xml:space="preserve">CANTIDAD DE PEDIDOS EN ENERO  </t>
  </si>
  <si>
    <t xml:space="preserve">ARMANDO MORQUECHO </t>
  </si>
  <si>
    <t>LOMAS DE SAN JUAN IXHUASTEPEC</t>
  </si>
  <si>
    <t xml:space="preserve">FELIPE DE JESUS MEJIA </t>
  </si>
  <si>
    <t>HURBANIA IXHUASTEPEC</t>
  </si>
  <si>
    <t xml:space="preserve">CARLOS EDUARDO GARCIA </t>
  </si>
  <si>
    <t>MEXIHUILUYA</t>
  </si>
  <si>
    <t>2.40M</t>
  </si>
  <si>
    <t xml:space="preserve">SAN CARLOS CANTERA </t>
  </si>
  <si>
    <t xml:space="preserve">RICARDO HEREDIA </t>
  </si>
  <si>
    <t xml:space="preserve">ALMARCIGO SUR </t>
  </si>
  <si>
    <t xml:space="preserve">JARDINES DE CASANUEVA </t>
  </si>
  <si>
    <t>RICARDO MARTIN</t>
  </si>
  <si>
    <t xml:space="preserve">JORGE RAMOS SANTIAGO </t>
  </si>
  <si>
    <t>AV JUAREZ</t>
  </si>
  <si>
    <t>KITCHENS GREECE</t>
  </si>
  <si>
    <t>VALLE DE GIADALQUIVIL</t>
  </si>
  <si>
    <t xml:space="preserve">GABRIEL GARCIA </t>
  </si>
  <si>
    <t xml:space="preserve">FRANCISCO ROMEROI </t>
  </si>
  <si>
    <t xml:space="preserve">EL CHAMIZAL </t>
  </si>
  <si>
    <t xml:space="preserve">SR. JULIO </t>
  </si>
  <si>
    <t>POLIGONOS 5</t>
  </si>
  <si>
    <t>OMAR SANTAMARIA</t>
  </si>
  <si>
    <t xml:space="preserve">S/DIRECCION </t>
  </si>
  <si>
    <t>TOTAL GENERAL DE INGRESOS</t>
  </si>
  <si>
    <t>2026-07</t>
  </si>
  <si>
    <t>2026-05</t>
  </si>
  <si>
    <t>2026-04</t>
  </si>
  <si>
    <t>2026-03</t>
  </si>
  <si>
    <t>2026-02</t>
  </si>
  <si>
    <t>2026-01</t>
  </si>
  <si>
    <t>2025-12</t>
  </si>
  <si>
    <t>TOTAL_CLIENTES</t>
  </si>
  <si>
    <t>NUMERO_PEDIDOS</t>
  </si>
  <si>
    <t>MES</t>
  </si>
  <si>
    <t>DATOS POR MES</t>
  </si>
  <si>
    <t>TABLA GENERAL DE ENVÍOS</t>
  </si>
  <si>
    <t xml:space="preserve">IMPORTE </t>
  </si>
  <si>
    <t xml:space="preserve">TOTAL DE CLIENTES </t>
  </si>
  <si>
    <t xml:space="preserve">TOTAL DE IMPORTE </t>
  </si>
  <si>
    <t>ENVIOS</t>
  </si>
  <si>
    <t>NUMERO DE CLIENTES</t>
  </si>
  <si>
    <t xml:space="preserve">LA PALMA </t>
  </si>
  <si>
    <t>ABRAHAM HERNANDEZ</t>
  </si>
  <si>
    <t>REFUJIO SOTO</t>
  </si>
  <si>
    <t>RICARDO SALAZAR</t>
  </si>
  <si>
    <t xml:space="preserve">GUSTAVO A MADERO </t>
  </si>
  <si>
    <t xml:space="preserve">JOSE SANCHEZ </t>
  </si>
  <si>
    <t xml:space="preserve">GRANJAS MODERNAS </t>
  </si>
  <si>
    <t xml:space="preserve">ADRIAN ROSA SOTO </t>
  </si>
  <si>
    <t xml:space="preserve">LUIS ALBERTO BALDERRAMA </t>
  </si>
  <si>
    <t xml:space="preserve">PEÑON DE LOS BAÑOS </t>
  </si>
  <si>
    <t xml:space="preserve">MARTIN CORONA </t>
  </si>
  <si>
    <t xml:space="preserve">LAS FUENTES </t>
  </si>
  <si>
    <t xml:space="preserve">MIGUEL A FLORES </t>
  </si>
  <si>
    <t xml:space="preserve">JARDINES DE CERRO GORDO </t>
  </si>
  <si>
    <t xml:space="preserve">ZOCLO </t>
  </si>
  <si>
    <t xml:space="preserve">JOSE ARISTA </t>
  </si>
  <si>
    <t xml:space="preserve">TABACALERA </t>
  </si>
  <si>
    <t>IMPORTE TOTAL</t>
  </si>
  <si>
    <t>TOTAL PEDIDOS</t>
  </si>
  <si>
    <t>MOVIMIENTOS</t>
  </si>
  <si>
    <t>TULIPAN</t>
  </si>
  <si>
    <t>SAGIATRIO</t>
  </si>
  <si>
    <t>ANTIGUO CAMINO A LOMA DEL CARMEN</t>
  </si>
  <si>
    <t>CUCHILLA</t>
  </si>
  <si>
    <t>CALLE 7</t>
  </si>
  <si>
    <t>VALLE ARAGON</t>
  </si>
  <si>
    <t>JOSE LOPEZ PORTILLO 156</t>
  </si>
  <si>
    <t>ROMA NORTE</t>
  </si>
  <si>
    <t>SANTA ISABEL</t>
  </si>
  <si>
    <t>SAN CARLOS CANTERA</t>
  </si>
  <si>
    <t>ALTLAMPA</t>
  </si>
  <si>
    <t>SAN PEDRO ZACATENCO</t>
  </si>
  <si>
    <t>INDUSTRIAL VALLEJO</t>
  </si>
  <si>
    <t>EJIDOS TULPETLAC</t>
  </si>
  <si>
    <t>S/DIRECCION</t>
  </si>
  <si>
    <t>MOCTEZUMA</t>
  </si>
  <si>
    <t>AMPLIACION CASTILLO</t>
  </si>
  <si>
    <t>DIVICION DEL NORTE</t>
  </si>
  <si>
    <t>LA ESMERALDA</t>
  </si>
  <si>
    <t>JARDINES DE STA CLARA</t>
  </si>
  <si>
    <t>PROGRESO DE LA UNION</t>
  </si>
  <si>
    <t>SAN PABLO TEAALCO</t>
  </si>
  <si>
    <t>SAN PABLO TECALCO</t>
  </si>
  <si>
    <t>LA LAGUNA CHICONAUTLA</t>
  </si>
  <si>
    <t>ALMARCIGO SUR</t>
  </si>
  <si>
    <t>LOPEZ PORTILLO</t>
  </si>
  <si>
    <t>GRANJAS POPULARES</t>
  </si>
  <si>
    <t>VILLA DE GUADALUPE XALOSTOC</t>
  </si>
  <si>
    <t>enero 2026</t>
  </si>
  <si>
    <t>febrero 2026</t>
  </si>
  <si>
    <t>marzo 2026</t>
  </si>
  <si>
    <t>abril 2026</t>
  </si>
  <si>
    <t>julio 2026</t>
  </si>
  <si>
    <t>mayo 2026</t>
  </si>
  <si>
    <t>TABACALERA</t>
  </si>
  <si>
    <t>JOSEFA ORTIZ</t>
  </si>
  <si>
    <t>enero</t>
  </si>
  <si>
    <t>febrero</t>
  </si>
  <si>
    <t xml:space="preserve">marzo </t>
  </si>
  <si>
    <t>Etiquetas de fila</t>
  </si>
  <si>
    <t>Suma de MOVIMIENTOS</t>
  </si>
  <si>
    <t>Total general</t>
  </si>
  <si>
    <t xml:space="preserve">WENCESLAO </t>
  </si>
  <si>
    <t xml:space="preserve">EDUAREDO PEÑA </t>
  </si>
  <si>
    <t xml:space="preserve">JARDINBES DEL TEPEYAC </t>
  </si>
  <si>
    <t>ATZACODILCO</t>
  </si>
  <si>
    <t>JULI CESAR RODRIGUEZ</t>
  </si>
  <si>
    <t xml:space="preserve">CAMPESTRE ARAGON </t>
  </si>
  <si>
    <t xml:space="preserve">GILBERTO CASTREJON </t>
  </si>
  <si>
    <t xml:space="preserve">LINDAVISTA </t>
  </si>
  <si>
    <t xml:space="preserve">RAMSES </t>
  </si>
  <si>
    <t xml:space="preserve">STA. MARIA LA RIVERA </t>
  </si>
  <si>
    <t>ISMAEL RAMIREZ LOPEZ</t>
  </si>
  <si>
    <t>SAGITARIO X</t>
  </si>
  <si>
    <t xml:space="preserve">ANGEL RANGEL </t>
  </si>
  <si>
    <t>PATRICIA ISLAS</t>
  </si>
  <si>
    <t xml:space="preserve">ZUMPANGO </t>
  </si>
  <si>
    <t xml:space="preserve">PERFIL JALADERA </t>
  </si>
  <si>
    <t xml:space="preserve">FLORE JUAN MANUEL </t>
  </si>
  <si>
    <t>SAN JUAN IXHUASTEPEC</t>
  </si>
  <si>
    <t xml:space="preserve">TELLO CASTILLO JESUS </t>
  </si>
  <si>
    <t xml:space="preserve">JOSE MORENO </t>
  </si>
  <si>
    <t>CUAUTEMOC</t>
  </si>
  <si>
    <t xml:space="preserve">JOSE LUIS GARCIA </t>
  </si>
  <si>
    <t xml:space="preserve">TABLAS DEL POSO </t>
  </si>
  <si>
    <t>DAVID GUTIERREZ</t>
  </si>
  <si>
    <t xml:space="preserve">LOMAS DEL TEPEYAC </t>
  </si>
  <si>
    <t>NANCI ALEJANDRA JUAREZ</t>
  </si>
  <si>
    <t xml:space="preserve">LAZARO CARDENAS </t>
  </si>
  <si>
    <t xml:space="preserve">JUAN CARLOS GUERRERO </t>
  </si>
  <si>
    <t>ELMIRADOR</t>
  </si>
  <si>
    <t>2 ADHESIVOS</t>
  </si>
  <si>
    <t xml:space="preserve">MIGUEL DE GUILLERMO </t>
  </si>
  <si>
    <t xml:space="preserve">VIVEROS DE TULPETLAC </t>
  </si>
  <si>
    <t>JUAN MANUEL FLORES</t>
  </si>
  <si>
    <t xml:space="preserve">HERRAJE </t>
  </si>
  <si>
    <t xml:space="preserve">JULIO SORIANO </t>
  </si>
  <si>
    <t xml:space="preserve">CASAS ALEMAN </t>
  </si>
  <si>
    <t xml:space="preserve">CUBRECANTO </t>
  </si>
  <si>
    <t xml:space="preserve">JOSE ALVAREZ LOZANO </t>
  </si>
  <si>
    <t>ALBERTO ELEVAÑO</t>
  </si>
  <si>
    <t xml:space="preserve">ARAGON </t>
  </si>
  <si>
    <t xml:space="preserve">PLAZAS DE ARAGON </t>
  </si>
  <si>
    <t xml:space="preserve">MARIO ALBERTO RODRIGUEZ/RAAL EDIFICACIONES </t>
  </si>
  <si>
    <t xml:space="preserve">ANGEL CALDERON </t>
  </si>
  <si>
    <t>AMPLEASOON CODICE</t>
  </si>
  <si>
    <t xml:space="preserve">JESUS  </t>
  </si>
  <si>
    <t>OMAR SANTAMARIA/GUPO SNAGOV</t>
  </si>
  <si>
    <t xml:space="preserve">JUAN MANUEL LARA </t>
  </si>
  <si>
    <t>SAN AGUSTIN 1 SECC</t>
  </si>
  <si>
    <t>VIRIDIANA SANCHEZ</t>
  </si>
  <si>
    <t xml:space="preserve">MARCOS BAUTISTA </t>
  </si>
  <si>
    <t xml:space="preserve">MIGUEL HIDALGO </t>
  </si>
  <si>
    <t>MANUEL SANCHEZ</t>
  </si>
  <si>
    <t>JARDINBES DEL TEPEYAC</t>
  </si>
  <si>
    <t>STA. MARIA LA RIVERA</t>
  </si>
  <si>
    <t>TABLAS DEL POSO</t>
  </si>
  <si>
    <t>LOMAS DEL TEPEYAC</t>
  </si>
  <si>
    <t xml:space="preserve">JORGA AVILA </t>
  </si>
  <si>
    <t>KEN SERENO</t>
  </si>
  <si>
    <t>VIBOULEVARD DE LOS TEOALLIS</t>
  </si>
  <si>
    <t xml:space="preserve">MARIO CORREA </t>
  </si>
  <si>
    <t xml:space="preserve">KELY CAPITAL </t>
  </si>
  <si>
    <t xml:space="preserve">ACULCO </t>
  </si>
  <si>
    <t xml:space="preserve">JAVIER </t>
  </si>
  <si>
    <t xml:space="preserve">CARLOS COBARRUBIAS </t>
  </si>
  <si>
    <t>EDUARDO HERNANDEZ</t>
  </si>
  <si>
    <t xml:space="preserve">VERGEL DE GUADALUPE </t>
  </si>
  <si>
    <t>MARIO EMILIO LOPEZ</t>
  </si>
  <si>
    <t>MARTA RODRIGUEZ GARCIA</t>
  </si>
  <si>
    <t>DANIEL OLVERA</t>
  </si>
  <si>
    <t>VALLE DE ARAGON 3A SECC</t>
  </si>
  <si>
    <t>VALLE DE ARAGON 2A SECC</t>
  </si>
  <si>
    <t xml:space="preserve">ANGEL RAMON MORENO </t>
  </si>
  <si>
    <t>VALLE DE ARAGON 1A SECC</t>
  </si>
  <si>
    <t>SERGIO SANCHEZ</t>
  </si>
  <si>
    <t>LA GLORIETA</t>
  </si>
  <si>
    <t>SERVICIOS ARENA</t>
  </si>
  <si>
    <t xml:space="preserve">VALLE DEL DON </t>
  </si>
  <si>
    <t xml:space="preserve">JORGE/ISRAEL </t>
  </si>
  <si>
    <t xml:space="preserve">SR HURTADO0 </t>
  </si>
  <si>
    <t xml:space="preserve">SN FELIPE </t>
  </si>
  <si>
    <t>SANTOS RAMIREZ</t>
  </si>
  <si>
    <t xml:space="preserve">SA FELIPE DE JESUS </t>
  </si>
  <si>
    <t xml:space="preserve">RAFAEL SENTENO </t>
  </si>
  <si>
    <t xml:space="preserve">SAUSES COACALCO </t>
  </si>
  <si>
    <t>ALVARADO MENDEZ</t>
  </si>
  <si>
    <t>YOBANY</t>
  </si>
  <si>
    <t xml:space="preserve">JULIO CHAVEZ </t>
  </si>
  <si>
    <t>ASTRID SANCHEZ</t>
  </si>
  <si>
    <t xml:space="preserve">ENRIQUE LOZANO </t>
  </si>
  <si>
    <t>GUILLERMO DEL RIO MORALEZ</t>
  </si>
  <si>
    <t>RAFAEL RAMIREZ</t>
  </si>
  <si>
    <t>AMPEACION GABRIEL HERNANDEZ</t>
  </si>
  <si>
    <t xml:space="preserve">DAVID OLVERA </t>
  </si>
  <si>
    <t xml:space="preserve">SANTA ISABEL TOLA </t>
  </si>
  <si>
    <t>SERGIO MARTINEZ</t>
  </si>
  <si>
    <t xml:space="preserve">STA MARIA LA RIBERA </t>
  </si>
  <si>
    <t xml:space="preserve">ALEJANDRO SALAZAR </t>
  </si>
  <si>
    <t xml:space="preserve">AMLEACION CASTILLO </t>
  </si>
  <si>
    <t>JESICA CEDILLO SEGURA</t>
  </si>
  <si>
    <t xml:space="preserve">GASOLINA </t>
  </si>
  <si>
    <t>SAGITARIO 6</t>
  </si>
  <si>
    <t xml:space="preserve">JOSE ALONSO </t>
  </si>
  <si>
    <t xml:space="preserve">ERNESTO ABUNDIS </t>
  </si>
  <si>
    <t>PROLONGACION 2 DE MARZO</t>
  </si>
  <si>
    <t xml:space="preserve">SN PABLO TEXCOCO </t>
  </si>
  <si>
    <t xml:space="preserve">JUAN ANTONIO DIAS </t>
  </si>
  <si>
    <t>VILLA DEL FRESNO</t>
  </si>
  <si>
    <t xml:space="preserve">EVERARDO MALDONANDO </t>
  </si>
  <si>
    <t xml:space="preserve">PLAZA DE ARAGON </t>
  </si>
  <si>
    <t>SULE</t>
  </si>
  <si>
    <t>RAUL GALLEGOS GARCIA</t>
  </si>
  <si>
    <t xml:space="preserve">EL CARACOL </t>
  </si>
  <si>
    <t xml:space="preserve">TEXCOCO </t>
  </si>
  <si>
    <t>MOBILIARIO Y DISEÑO DMO</t>
  </si>
  <si>
    <t>LUIS M ANUEL SARABIA</t>
  </si>
  <si>
    <t xml:space="preserve">NUEVA ARAGON </t>
  </si>
  <si>
    <t xml:space="preserve">ANGEL RODRIGUEZ VALENCIA </t>
  </si>
  <si>
    <t xml:space="preserve">LA IMPULSORA </t>
  </si>
  <si>
    <t>JOSE RODRIGUEZ VAZQUEZ</t>
  </si>
  <si>
    <t xml:space="preserve">ALTAVILLA </t>
  </si>
  <si>
    <t xml:space="preserve">JULIO MORA </t>
  </si>
  <si>
    <t>ALFREDO CHAVEZ</t>
  </si>
  <si>
    <t xml:space="preserve">SAN ANDRES DE LA CAÑADA </t>
  </si>
  <si>
    <t xml:space="preserve">2 CUBIERTAS </t>
  </si>
  <si>
    <t xml:space="preserve">1 BARRA </t>
  </si>
  <si>
    <t xml:space="preserve">SOLUZZIONA ECO TECNICA </t>
  </si>
  <si>
    <t xml:space="preserve">CAPATLI ALCAZAR </t>
  </si>
  <si>
    <t xml:space="preserve">DAVID GONZALEZ DELGADO </t>
  </si>
  <si>
    <t>RAFAEL MARTINES CERECEDO</t>
  </si>
  <si>
    <t xml:space="preserve">ARMANDO VELASCO </t>
  </si>
  <si>
    <t xml:space="preserve">TEPEXPAN </t>
  </si>
  <si>
    <t>MARIO GARCIA HERNANDEZ</t>
  </si>
  <si>
    <t xml:space="preserve">CAMPESTRE DE GUADALUPE </t>
  </si>
  <si>
    <t>AMPLIACION TULPETLAC</t>
  </si>
  <si>
    <t>ESTEBAN BUITON VENECES</t>
  </si>
  <si>
    <t xml:space="preserve">JULIO CESAR RODRIGUEZ LARA </t>
  </si>
  <si>
    <t xml:space="preserve">LEO </t>
  </si>
  <si>
    <t xml:space="preserve">PLAZA ARAGON </t>
  </si>
  <si>
    <t>CESAR LICONA HERNANDEZ</t>
  </si>
  <si>
    <t xml:space="preserve">OSCAR FIGUEROA </t>
  </si>
  <si>
    <t>RICARDO EUDAVE VALDES</t>
  </si>
  <si>
    <t xml:space="preserve">CD AZTECA 2 SECCION </t>
  </si>
  <si>
    <t xml:space="preserve">DANIEL MARCIAL </t>
  </si>
  <si>
    <t xml:space="preserve">PRIMERO DE MAYO </t>
  </si>
  <si>
    <t xml:space="preserve">JUAN EULOPA MENDOZA </t>
  </si>
  <si>
    <t xml:space="preserve">LAZARO CARDENAS 3 SECCION </t>
  </si>
  <si>
    <t xml:space="preserve">DANIEL CASTRO RENDON </t>
  </si>
  <si>
    <t>BANCA</t>
  </si>
  <si>
    <t>MESA</t>
  </si>
  <si>
    <t xml:space="preserve">LUIS ALBERTO </t>
  </si>
  <si>
    <t xml:space="preserve">SAN AGUSTIN 2 SECCION </t>
  </si>
  <si>
    <t>FEDERICO ROJAS ALVAREZ</t>
  </si>
  <si>
    <t xml:space="preserve">MARTA MALDONADO </t>
  </si>
  <si>
    <t xml:space="preserve">ISRAEL COLIN </t>
  </si>
  <si>
    <t xml:space="preserve">EL SOL </t>
  </si>
  <si>
    <t xml:space="preserve">JUAN MARTINEZ </t>
  </si>
  <si>
    <t>MODELOS FRAMES</t>
  </si>
  <si>
    <t xml:space="preserve">PAQUETE DE LIJA </t>
  </si>
  <si>
    <t xml:space="preserve">MARIA ELENA SILVA </t>
  </si>
  <si>
    <t xml:space="preserve">1 CUBIERTA </t>
  </si>
  <si>
    <t xml:space="preserve">CUATEPEC </t>
  </si>
  <si>
    <t xml:space="preserve">REFUJIO SOTO </t>
  </si>
  <si>
    <t xml:space="preserve">JUAN CARLOS SANTIAGO DOMINGO </t>
  </si>
  <si>
    <t>1 CUBIERTA</t>
  </si>
  <si>
    <t xml:space="preserve">LOS HEROES 4 SECCION </t>
  </si>
  <si>
    <t xml:space="preserve">C/CANTO </t>
  </si>
  <si>
    <t xml:space="preserve">VICTOR OGEDA </t>
  </si>
  <si>
    <t>CESAR CHAVEZ</t>
  </si>
  <si>
    <t xml:space="preserve">TACUBAYA </t>
  </si>
  <si>
    <t>ARTURO CABRERA MONTIEL</t>
  </si>
  <si>
    <t xml:space="preserve">PARAISO </t>
  </si>
  <si>
    <t>LOURDES</t>
  </si>
  <si>
    <t xml:space="preserve">CHURUBUSCO </t>
  </si>
  <si>
    <t xml:space="preserve">JORGE JIMENEZ CANTU </t>
  </si>
  <si>
    <t xml:space="preserve">CITLALLI ARELLANO </t>
  </si>
  <si>
    <t xml:space="preserve">CARLOS BALTAZAR </t>
  </si>
  <si>
    <t xml:space="preserve">BUENAVISTA </t>
  </si>
  <si>
    <t xml:space="preserve">EJERCITO DEL TRABAJO </t>
  </si>
  <si>
    <t xml:space="preserve">CRISTIAN ANGEL </t>
  </si>
  <si>
    <t xml:space="preserve">ALEJANDRO MONTIEL </t>
  </si>
  <si>
    <t>ARON FLORES</t>
  </si>
  <si>
    <t>MAURICIO RENDON</t>
  </si>
  <si>
    <t xml:space="preserve">PROVIDENCIA </t>
  </si>
  <si>
    <t xml:space="preserve">LILIAN VIRIDIANA MARIN </t>
  </si>
  <si>
    <t>FEDERICO CRUZ</t>
  </si>
  <si>
    <t xml:space="preserve">JUAN MOLINA </t>
  </si>
  <si>
    <t xml:space="preserve">SANTA CALARA </t>
  </si>
  <si>
    <t>EDUARDO DIAZ</t>
  </si>
  <si>
    <t>LA JOYA</t>
  </si>
  <si>
    <t xml:space="preserve">MARGARITA QUEBEDO </t>
  </si>
  <si>
    <t>LOS LAURELES</t>
  </si>
  <si>
    <t xml:space="preserve">FAJA DE ORO </t>
  </si>
  <si>
    <t xml:space="preserve">MARTIN ISMAEL APOLINAR </t>
  </si>
  <si>
    <t xml:space="preserve">RUBEN CASTELLANOS </t>
  </si>
  <si>
    <t xml:space="preserve">ALEJANDRO MALDONADO </t>
  </si>
  <si>
    <t xml:space="preserve">DIVISION DEL NORTE </t>
  </si>
  <si>
    <t>LUIS ROJAS</t>
  </si>
  <si>
    <t xml:space="preserve">NORMA SANCHEZ REBOLLAR </t>
  </si>
  <si>
    <t>ESTEBAN BUITRON VENECES</t>
  </si>
  <si>
    <t>DGLON SANTIBAÑEZ</t>
  </si>
  <si>
    <t>HILDA BALTAZAR</t>
  </si>
  <si>
    <t>JESUS BRAYAN PEREZ</t>
  </si>
  <si>
    <t xml:space="preserve">SAUCES COACALCO </t>
  </si>
  <si>
    <t>ESTEBAN BAUTISTA VENECES</t>
  </si>
  <si>
    <t xml:space="preserve">JESUS MORENO </t>
  </si>
  <si>
    <t xml:space="preserve">CUAHUTEMOC ECATEPEC </t>
  </si>
  <si>
    <t xml:space="preserve">OSCAR GAYTAN </t>
  </si>
  <si>
    <t>CD AZTECA 3 SECC</t>
  </si>
  <si>
    <t xml:space="preserve">RINCONADA DE ARAGON </t>
  </si>
  <si>
    <t xml:space="preserve">DEMESIO DUARTE </t>
  </si>
  <si>
    <t xml:space="preserve">CHRISTOPHER GUERRERO </t>
  </si>
  <si>
    <t xml:space="preserve">IZTAPALAPA </t>
  </si>
  <si>
    <t>JUAN CARLOS COLMECHARES</t>
  </si>
  <si>
    <t xml:space="preserve">EMILIO BAUTISTA </t>
  </si>
  <si>
    <t xml:space="preserve">EJIDOS DE SAN CRISTOBAL </t>
  </si>
  <si>
    <t xml:space="preserve">PUERTO SAN JOSE </t>
  </si>
  <si>
    <t xml:space="preserve">ORLANDO ALEXIS </t>
  </si>
  <si>
    <t xml:space="preserve">JOSE LUIS MARTINEZ RAMOS </t>
  </si>
  <si>
    <t xml:space="preserve">JORGE TORRES ROSAS </t>
  </si>
  <si>
    <t xml:space="preserve">ANTONIO ALVARADO </t>
  </si>
  <si>
    <t xml:space="preserve">BRUNO IBARRA </t>
  </si>
  <si>
    <t xml:space="preserve">CTM EL RISCO </t>
  </si>
  <si>
    <t>IVAN DELGADO VAZQUEZ</t>
  </si>
  <si>
    <t>VERONICA LOPEZ</t>
  </si>
  <si>
    <t xml:space="preserve">NOE ALARCON </t>
  </si>
  <si>
    <t>ENRIQUE MENESESE</t>
  </si>
  <si>
    <t xml:space="preserve">ALBERTO CHARLES </t>
  </si>
  <si>
    <t xml:space="preserve">LOS LAURELES </t>
  </si>
  <si>
    <t xml:space="preserve">ARISTEO SANTOS </t>
  </si>
  <si>
    <t xml:space="preserve">IVAN SANTIAGO </t>
  </si>
  <si>
    <t xml:space="preserve">MARINA SOLEDAD BRISEÑO </t>
  </si>
  <si>
    <t>ALFONSO HERNANDES BARRAZA</t>
  </si>
  <si>
    <t>AZTECA 3 SECC</t>
  </si>
  <si>
    <t>ARMANDO LOPEZ</t>
  </si>
  <si>
    <t xml:space="preserve">POLIGONOS 3 </t>
  </si>
  <si>
    <t xml:space="preserve">JOEL VILLASEÑOR </t>
  </si>
  <si>
    <t xml:space="preserve">LOMAS DE LINDAVISTA </t>
  </si>
  <si>
    <t>AMPLIACION GABRIEL HERNANDEZ</t>
  </si>
  <si>
    <t>ARTURO CALDERON SAAVEDRA</t>
  </si>
  <si>
    <t xml:space="preserve">JUAN GONZALEZ ROMERO </t>
  </si>
  <si>
    <t>XIMENA VAZQUEZ</t>
  </si>
  <si>
    <t xml:space="preserve">DEL OBRERO </t>
  </si>
  <si>
    <t xml:space="preserve">ADAN CASTRO </t>
  </si>
  <si>
    <t>JULIO MARTINEZ</t>
  </si>
  <si>
    <t xml:space="preserve">DAVID RAMIREZ MENDIETA </t>
  </si>
  <si>
    <t xml:space="preserve">JOSE VALTIERRA </t>
  </si>
  <si>
    <t>JORGE VICENTE DIAZ</t>
  </si>
  <si>
    <t>SAN AGUSTIN 3 SCC</t>
  </si>
  <si>
    <t xml:space="preserve">JOSE JUAN SIAS </t>
  </si>
  <si>
    <t xml:space="preserve">ARBOLEDAS DE ARAGON </t>
  </si>
  <si>
    <t xml:space="preserve">CUBIERTAS </t>
  </si>
  <si>
    <t>ROBERTO RAMIREZ</t>
  </si>
  <si>
    <t>ADRIANA CERVANTES SANCHEZ</t>
  </si>
  <si>
    <t xml:space="preserve">JESUS ESCOBAR </t>
  </si>
  <si>
    <t xml:space="preserve">JOEL/ISRAEL </t>
  </si>
  <si>
    <t xml:space="preserve">MIGUEL ANGEL VARGAS </t>
  </si>
  <si>
    <t xml:space="preserve">MARIO ESCOBAR CASIMIRO </t>
  </si>
  <si>
    <t>JULIO CESAR CRUZ MARTINEZ</t>
  </si>
  <si>
    <t xml:space="preserve">SAGITARIO 8 </t>
  </si>
  <si>
    <t xml:space="preserve">SUSANA GABRIELA VILLASEÑOR </t>
  </si>
  <si>
    <t xml:space="preserve">JOSE JUAN MARTINEZ </t>
  </si>
  <si>
    <t xml:space="preserve">AMPLIACION TLATEMPA </t>
  </si>
  <si>
    <t xml:space="preserve">CAMPESTRE GUADALUPANA </t>
  </si>
  <si>
    <t xml:space="preserve">NICOLAS  </t>
  </si>
  <si>
    <t>ARMANDO REYES</t>
  </si>
  <si>
    <t>JOSUE RODRIGUEZ</t>
  </si>
  <si>
    <t xml:space="preserve">ALEJANDRO DELGADO </t>
  </si>
  <si>
    <t xml:space="preserve">DAVID MONTES </t>
  </si>
  <si>
    <t>MIGUEL A. SANCHEZ</t>
  </si>
  <si>
    <t xml:space="preserve">BENITO JUAREZ XALOSTOC </t>
  </si>
  <si>
    <t xml:space="preserve">JAVIER GRANADOS CRUZ </t>
  </si>
  <si>
    <t xml:space="preserve">LA PURISIMA TICOMAN </t>
  </si>
  <si>
    <t xml:space="preserve">DIEGO ARMANDO </t>
  </si>
  <si>
    <t>RICARDO GONZALEZ</t>
  </si>
  <si>
    <t xml:space="preserve">VALLE DE ANAHUAC </t>
  </si>
  <si>
    <t xml:space="preserve">ANTONIO ALVARAN </t>
  </si>
  <si>
    <t>JORGE ANTONIO MELENDEZ</t>
  </si>
  <si>
    <t>EMILIANO ZAPATA 1 SECC</t>
  </si>
  <si>
    <t xml:space="preserve">RAMON BRENA BARCENAS </t>
  </si>
  <si>
    <t xml:space="preserve">DIAS MIRON </t>
  </si>
  <si>
    <t>GIBRAN MORALES</t>
  </si>
  <si>
    <t xml:space="preserve">VICTOR BUENDIA </t>
  </si>
  <si>
    <t xml:space="preserve">APATLACO </t>
  </si>
  <si>
    <t>PAULA ORTIZ</t>
  </si>
  <si>
    <t xml:space="preserve">ARACELI LUGO </t>
  </si>
  <si>
    <t xml:space="preserve">TENOCHTITLAN </t>
  </si>
  <si>
    <t>JOSUE RODRIGUEZ VAZQUEZ</t>
  </si>
  <si>
    <t xml:space="preserve">HUGO URRUTIA MACIAS </t>
  </si>
  <si>
    <t>INMOBILIARIA REYNOLDS</t>
  </si>
  <si>
    <t xml:space="preserve">IVAN FERNANDEZ MINO </t>
  </si>
  <si>
    <t xml:space="preserve">VALLE DE ECATEPEC </t>
  </si>
  <si>
    <t xml:space="preserve">MIGUEL A. CARRILLO </t>
  </si>
  <si>
    <t xml:space="preserve">MARIO SERNA </t>
  </si>
  <si>
    <t xml:space="preserve">ACOLMAN CENTRO </t>
  </si>
  <si>
    <t xml:space="preserve">KARLA GARCIA </t>
  </si>
  <si>
    <t xml:space="preserve">HUGO VERA </t>
  </si>
  <si>
    <t xml:space="preserve">IXTLAHUACA </t>
  </si>
  <si>
    <t>HUMBERTO CRUZ RODRIGUEZ</t>
  </si>
  <si>
    <t xml:space="preserve">SOLIDARIDAD NACIONAL </t>
  </si>
  <si>
    <t xml:space="preserve">ALAN COLIN SANTIAGO </t>
  </si>
  <si>
    <t xml:space="preserve">TABLAS </t>
  </si>
  <si>
    <t>ARTURO VASQUEZ</t>
  </si>
  <si>
    <t xml:space="preserve">GONSALO TORIJOS </t>
  </si>
  <si>
    <t xml:space="preserve">LAMBRIN </t>
  </si>
  <si>
    <t xml:space="preserve">JESUS BARCENAS </t>
  </si>
  <si>
    <t xml:space="preserve">STA ISABEL TOLA </t>
  </si>
  <si>
    <t xml:space="preserve">TUBOS </t>
  </si>
  <si>
    <t>LUIS ALFONSO MALAVEZ</t>
  </si>
  <si>
    <t xml:space="preserve">SANTIAGO ATZACOALCO </t>
  </si>
  <si>
    <t xml:space="preserve">SANTIAGO GARCIA </t>
  </si>
  <si>
    <t>JUAN ANGELES</t>
  </si>
  <si>
    <t xml:space="preserve">URBANA IXHUATEPEC </t>
  </si>
  <si>
    <t xml:space="preserve">GONZALO TORRIJOS </t>
  </si>
  <si>
    <t xml:space="preserve">LA VELETA </t>
  </si>
  <si>
    <t>SERGIO OLVERA</t>
  </si>
  <si>
    <t xml:space="preserve">FRANCISCO VILLA </t>
  </si>
  <si>
    <t xml:space="preserve">PUNTO MAZATLAN </t>
  </si>
  <si>
    <t>ESTEBAN GOMES</t>
  </si>
  <si>
    <t>ANALILIA ALVAREZ</t>
  </si>
  <si>
    <t>JUAN M. JIMENEZ</t>
  </si>
  <si>
    <t>DANIEL UGALDE GONZALEZ</t>
  </si>
  <si>
    <t xml:space="preserve">TLALNEPANTLA </t>
  </si>
  <si>
    <t>DANIEL PEREZ LEUS</t>
  </si>
  <si>
    <t>HERIBERTO TORRES BENITEZ</t>
  </si>
  <si>
    <t>CD AZTECA 1 SECC</t>
  </si>
  <si>
    <t>CUAUHTEMOC XALOSTOC</t>
  </si>
  <si>
    <t xml:space="preserve">URBANA IXUHATEPEC </t>
  </si>
  <si>
    <t>MIGUEL MENDOZA</t>
  </si>
  <si>
    <t xml:space="preserve">EDWALA GIMENEZ GARCIA </t>
  </si>
  <si>
    <t>16 DE SEPTIEMBRE</t>
  </si>
  <si>
    <t xml:space="preserve">TRABAJADORES DE HIERRO </t>
  </si>
  <si>
    <t xml:space="preserve">EL CARACOLO </t>
  </si>
  <si>
    <t>AYDE GONZALEZ</t>
  </si>
  <si>
    <t xml:space="preserve">INSURGENTES </t>
  </si>
  <si>
    <t>ANTONIO LICONA</t>
  </si>
  <si>
    <t xml:space="preserve">ERNESTO ARREOLA </t>
  </si>
  <si>
    <t xml:space="preserve">LA FLORIDA </t>
  </si>
  <si>
    <t>OMAR SANTELICES</t>
  </si>
  <si>
    <t>ROSALIO RODRIGUEZ</t>
  </si>
  <si>
    <t xml:space="preserve">HEROES JARDINES </t>
  </si>
  <si>
    <t xml:space="preserve">ESTEBAN DOMINGO </t>
  </si>
  <si>
    <t xml:space="preserve">TEXALPA </t>
  </si>
  <si>
    <t xml:space="preserve">SAN PABLO DE LAS SALINAS </t>
  </si>
  <si>
    <t xml:space="preserve">JOEL  </t>
  </si>
  <si>
    <t xml:space="preserve">MEXICO PREHISPANICO </t>
  </si>
  <si>
    <t>ALEJANDRO PEREZ</t>
  </si>
  <si>
    <t xml:space="preserve">SISTEMAS INTEGRALES </t>
  </si>
  <si>
    <t>ANTONIO VILCHIS</t>
  </si>
  <si>
    <t>MOISES RODRIGUEZ</t>
  </si>
  <si>
    <t>SAN JUAN 1V</t>
  </si>
  <si>
    <t xml:space="preserve">JUAN </t>
  </si>
  <si>
    <t xml:space="preserve">CASAS ALEMN </t>
  </si>
  <si>
    <t>GUSTAVO DIAZ</t>
  </si>
  <si>
    <t>TABLAS</t>
  </si>
  <si>
    <t xml:space="preserve">LA LAGUNA </t>
  </si>
  <si>
    <t xml:space="preserve">VCTOR AMAYA </t>
  </si>
  <si>
    <t xml:space="preserve">RAYMUNDO NIETO </t>
  </si>
  <si>
    <t xml:space="preserve">JORGE PAQUE BARREIRO </t>
  </si>
  <si>
    <t xml:space="preserve">STA MARIA TULPETLAC </t>
  </si>
  <si>
    <t>GUSTAVO SILVA</t>
  </si>
  <si>
    <t>LOMAS ATZOLCO</t>
  </si>
  <si>
    <t xml:space="preserve">STA CLARA COATITLA </t>
  </si>
  <si>
    <t xml:space="preserve">ALEJANDRO MIRAMONTES </t>
  </si>
  <si>
    <t xml:space="preserve">LOS BORDOS </t>
  </si>
  <si>
    <t>GUILLERMO ISRAEL TORRES</t>
  </si>
  <si>
    <t>IXHUATEPEC</t>
  </si>
  <si>
    <t xml:space="preserve">JOSE MANUEL RANGEL </t>
  </si>
  <si>
    <t xml:space="preserve">JAVIER  </t>
  </si>
  <si>
    <t>INGRID XIMENA VAZQUEZ</t>
  </si>
  <si>
    <t>JAVIER MARTINEZ</t>
  </si>
  <si>
    <t xml:space="preserve">ADRIAN ARREDONDO </t>
  </si>
  <si>
    <t xml:space="preserve">VASCO DE QUIROGA </t>
  </si>
  <si>
    <t>BEATRIS GONZALEZ</t>
  </si>
  <si>
    <t>SAUL RODRIGUEZ</t>
  </si>
  <si>
    <t xml:space="preserve">ALEJANDRA AURORA </t>
  </si>
  <si>
    <t xml:space="preserve">ALONSO </t>
  </si>
  <si>
    <t>MARIO A, RODRIIGUEZ</t>
  </si>
  <si>
    <t xml:space="preserve">LUIS MANUEL </t>
  </si>
  <si>
    <t xml:space="preserve">JARDINES DE GUADALUPE </t>
  </si>
  <si>
    <t xml:space="preserve">DAVID CAUITE </t>
  </si>
  <si>
    <t>PEDRI LOPEZ</t>
  </si>
  <si>
    <t xml:space="preserve">SAGITARIO 10 </t>
  </si>
  <si>
    <t>LUIS ALBERTO MARTINEZ</t>
  </si>
  <si>
    <t>DIEGO HORTIZ</t>
  </si>
  <si>
    <t xml:space="preserve">JUAN DE LOS SANTOS </t>
  </si>
  <si>
    <t>ARBOLITOS XALOSTOC</t>
  </si>
  <si>
    <t>JOSE LUIS RAMIREZ</t>
  </si>
  <si>
    <t>REYNALDO VERA MENDOZA</t>
  </si>
  <si>
    <t xml:space="preserve">ALPINO MONTENEGRO </t>
  </si>
  <si>
    <t xml:space="preserve">ELMIRADOR </t>
  </si>
  <si>
    <t xml:space="preserve">JUAN PORFIRIO </t>
  </si>
  <si>
    <t>25 DE JUNIO</t>
  </si>
  <si>
    <t xml:space="preserve">PEDRO ESCOBAR </t>
  </si>
  <si>
    <t xml:space="preserve">VICTOR GUSMAN </t>
  </si>
  <si>
    <t xml:space="preserve">JOSE LUIS PUEBLA </t>
  </si>
  <si>
    <t xml:space="preserve">ILIANA VIRIDIANA </t>
  </si>
  <si>
    <t>SALVADOR MARTINEZ</t>
  </si>
  <si>
    <t xml:space="preserve">CONSTITUCION DE LA REPUBLICA </t>
  </si>
  <si>
    <t xml:space="preserve">MIGUEL ANGEL MOYA </t>
  </si>
  <si>
    <t xml:space="preserve">ESTEBAN CALDERON </t>
  </si>
  <si>
    <t>CTM ATZACOALCO</t>
  </si>
  <si>
    <t xml:space="preserve">ISRAEL/JAVIER </t>
  </si>
  <si>
    <t xml:space="preserve">KELI CAPITAL </t>
  </si>
  <si>
    <t xml:space="preserve">1 POAQUETE DE 58 OJAS </t>
  </si>
  <si>
    <t>JAVIER NUÑEZ ALVAREZ</t>
  </si>
  <si>
    <t xml:space="preserve">GRANJAS ARENAL </t>
  </si>
  <si>
    <t xml:space="preserve">LAS BRISAS </t>
  </si>
  <si>
    <t xml:space="preserve">LUIS </t>
  </si>
  <si>
    <t xml:space="preserve">HECTOR </t>
  </si>
  <si>
    <t xml:space="preserve">FEDERICO LEDESMA </t>
  </si>
  <si>
    <t>LAS VEGAS XALOSTOC</t>
  </si>
  <si>
    <t xml:space="preserve">ADRIANA ROSAS </t>
  </si>
  <si>
    <t xml:space="preserve">3 PAQUETES Y 32 PZ CNC </t>
  </si>
  <si>
    <t xml:space="preserve">MARIA ELVIRA AGUILAR  </t>
  </si>
  <si>
    <t xml:space="preserve">SAN MARTIN TULTEPEC </t>
  </si>
  <si>
    <t xml:space="preserve">OSVALDO CAMACHO </t>
  </si>
  <si>
    <t xml:space="preserve">RECURSOS HIDRAULICOS </t>
  </si>
  <si>
    <t xml:space="preserve">ADRIAN OLIVARES </t>
  </si>
  <si>
    <t xml:space="preserve">SERGIO MENDEZ ACEO </t>
  </si>
  <si>
    <t xml:space="preserve">ARMANDO ALTRAMIRANO </t>
  </si>
  <si>
    <t xml:space="preserve">AMP . TULPETLAC </t>
  </si>
  <si>
    <t xml:space="preserve">ANTONIO SANTIAGO </t>
  </si>
  <si>
    <t>ROGELIO RAMIREZ</t>
  </si>
  <si>
    <t>LUIS ALBERTO AZUARA</t>
  </si>
  <si>
    <t xml:space="preserve">JARDINES DE MORELOS SECC PLAYAS </t>
  </si>
  <si>
    <t xml:space="preserve">CUAUHTEMOC XALOSTOC </t>
  </si>
  <si>
    <t xml:space="preserve">7 TABLAS </t>
  </si>
  <si>
    <t>SERGIO FERNANDES</t>
  </si>
  <si>
    <t xml:space="preserve">VALLE DE GUADALUPE </t>
  </si>
  <si>
    <t xml:space="preserve">JULIO CESAR BECERRIL </t>
  </si>
  <si>
    <t xml:space="preserve">ESTRELLA </t>
  </si>
  <si>
    <t xml:space="preserve">ULISES ENRIQUE VENEGAS </t>
  </si>
  <si>
    <t xml:space="preserve">IMPULSORA </t>
  </si>
  <si>
    <t xml:space="preserve">EDUARDO CARBAJAL </t>
  </si>
  <si>
    <t xml:space="preserve">RAUL GABRIEL GARCIA </t>
  </si>
  <si>
    <t xml:space="preserve">SAGITARIO 1 </t>
  </si>
  <si>
    <t xml:space="preserve">TOMAS SANTILLAN ALAMILLA </t>
  </si>
  <si>
    <t>SAN PABLO XALOSTOC</t>
  </si>
  <si>
    <t xml:space="preserve">JULIO CESAR SANTOS </t>
  </si>
  <si>
    <t>LAZARO CARDENAZ</t>
  </si>
  <si>
    <t xml:space="preserve">EDGAR MAURICIO CAPILLA </t>
  </si>
  <si>
    <t>LA PASTORA</t>
  </si>
  <si>
    <t xml:space="preserve">ROSA </t>
  </si>
  <si>
    <t xml:space="preserve">HUMBERTO ESTRADA </t>
  </si>
  <si>
    <t xml:space="preserve">EXPLORADORES  DE MEXICO </t>
  </si>
  <si>
    <t>MIGUEL ANGEL VARGAS</t>
  </si>
  <si>
    <t xml:space="preserve">MARTIN GUMZMAN </t>
  </si>
  <si>
    <t xml:space="preserve">8 SILLAS </t>
  </si>
  <si>
    <t xml:space="preserve">VICTOR NAVARRO </t>
  </si>
  <si>
    <t xml:space="preserve">JUAN MARTINEZ FUENTES </t>
  </si>
  <si>
    <t xml:space="preserve">CLAUDIA GARCIA </t>
  </si>
  <si>
    <t xml:space="preserve">LUIS ALBERTO VALDERRAMA GARCIA </t>
  </si>
  <si>
    <t xml:space="preserve">AMPLIACION LAZARO CARDENAS </t>
  </si>
  <si>
    <t xml:space="preserve">JOSE LUIS RIOS </t>
  </si>
  <si>
    <t xml:space="preserve">GRANJAS INDEPENDENCIA </t>
  </si>
  <si>
    <t>ESTEBAN GOMES ORTIZ</t>
  </si>
  <si>
    <t>OSVALDO GONZALEZ</t>
  </si>
  <si>
    <t>SAN AGUSTIN 2 SECC</t>
  </si>
  <si>
    <t xml:space="preserve">EDUARDO MURILLO </t>
  </si>
  <si>
    <t xml:space="preserve">CD AZTEC SECC ORIENTE </t>
  </si>
  <si>
    <t xml:space="preserve">LA FLORIDA CD AZTECA </t>
  </si>
  <si>
    <t xml:space="preserve">PLAZA LAS AMERICAS </t>
  </si>
  <si>
    <t>LUIS MANUEL SERABIA</t>
  </si>
  <si>
    <t>PEDRO RIVERA</t>
  </si>
  <si>
    <t xml:space="preserve">LAS ANTENAS </t>
  </si>
  <si>
    <t xml:space="preserve">JESUS DUARTE </t>
  </si>
  <si>
    <t>JONATHAN ISAI ORTEGA</t>
  </si>
  <si>
    <t>TLALNEPANTLA DE BAZ</t>
  </si>
  <si>
    <t xml:space="preserve">LEOPOLDO ALEMAN </t>
  </si>
  <si>
    <t xml:space="preserve">VICTOR NABARRO </t>
  </si>
  <si>
    <t xml:space="preserve">VICTOR OJEDA LOZANO </t>
  </si>
  <si>
    <t xml:space="preserve">JORGE GARCIA </t>
  </si>
  <si>
    <t>MADERA</t>
  </si>
  <si>
    <t xml:space="preserve">VICENTE GUERRERO </t>
  </si>
  <si>
    <t>MEXIHUILOYA</t>
  </si>
  <si>
    <t xml:space="preserve">ADRIANA ESTRADA </t>
  </si>
  <si>
    <t>MARIO ALBERTO RODIGUEZ</t>
  </si>
  <si>
    <t xml:space="preserve">REINALDO VERA </t>
  </si>
  <si>
    <t>MIGUEL ANGEL ALVAREZ</t>
  </si>
  <si>
    <t>BENJAMIN CASTILLO</t>
  </si>
  <si>
    <t xml:space="preserve">DAVID CASTRO </t>
  </si>
  <si>
    <t xml:space="preserve">JAJALPA </t>
  </si>
  <si>
    <t xml:space="preserve">POLIGONOS </t>
  </si>
  <si>
    <t xml:space="preserve">JUAN CARLOS SANTOS </t>
  </si>
  <si>
    <t xml:space="preserve">PLAZAS DE SANTACLATA </t>
  </si>
  <si>
    <t>ANGEL GOMEZ</t>
  </si>
  <si>
    <t>GUSTAVO DIAS ORDAZ</t>
  </si>
  <si>
    <t xml:space="preserve">ULISES GALVAN </t>
  </si>
  <si>
    <t xml:space="preserve">POPULAR </t>
  </si>
  <si>
    <t xml:space="preserve">HECTOR MORALES BECERRA </t>
  </si>
  <si>
    <t xml:space="preserve">ALVARO OBREGON </t>
  </si>
  <si>
    <t xml:space="preserve">ADOLFO OLIVO </t>
  </si>
  <si>
    <t xml:space="preserve">JAIME DIAS </t>
  </si>
  <si>
    <t xml:space="preserve">ARTURO OSORIO </t>
  </si>
  <si>
    <t>JONATHAN JIMENES</t>
  </si>
  <si>
    <t xml:space="preserve">LAGUNA DE TICOMAN </t>
  </si>
  <si>
    <t xml:space="preserve">ING JOEL </t>
  </si>
  <si>
    <t xml:space="preserve">JOYA </t>
  </si>
  <si>
    <t xml:space="preserve">JARDINES DE CASA NUEVA </t>
  </si>
  <si>
    <t xml:space="preserve">MADERA </t>
  </si>
  <si>
    <t>RAFAEL VACA RAMIREZ</t>
  </si>
  <si>
    <t xml:space="preserve">VALLE DE SANTIAGO </t>
  </si>
  <si>
    <t xml:space="preserve">MAURICIO DOMINGUEZ </t>
  </si>
  <si>
    <t xml:space="preserve">SAGITARIO 5 </t>
  </si>
  <si>
    <t xml:space="preserve">HECTOR FIERRO </t>
  </si>
  <si>
    <t>JOSE ANGEL GONZALEZ</t>
  </si>
  <si>
    <t>CARLOS MORALES</t>
  </si>
  <si>
    <t xml:space="preserve">OSWALDO CAMACHO RANGEL </t>
  </si>
  <si>
    <t xml:space="preserve">LUIS MIGUEL </t>
  </si>
  <si>
    <t>CD AZTECA 2 SECC</t>
  </si>
  <si>
    <t xml:space="preserve">GABRIELA TORNERO LERA </t>
  </si>
  <si>
    <t xml:space="preserve">LA ESTRELLA </t>
  </si>
  <si>
    <t xml:space="preserve">EDUARDO </t>
  </si>
  <si>
    <t xml:space="preserve">TEQUISISTLAN  </t>
  </si>
  <si>
    <t xml:space="preserve">CATALINA ROJAS </t>
  </si>
  <si>
    <t xml:space="preserve">EL RANCHITO </t>
  </si>
  <si>
    <t xml:space="preserve">GERARDO GARCIA MORA </t>
  </si>
  <si>
    <t xml:space="preserve">ARAGON 4 SECC </t>
  </si>
  <si>
    <t xml:space="preserve">SALVADOR </t>
  </si>
  <si>
    <t xml:space="preserve">ARTURO BUTIA </t>
  </si>
  <si>
    <t>SALVADOR  SANCHEZ</t>
  </si>
  <si>
    <t xml:space="preserve">VALLE DE GUADALUPÉ </t>
  </si>
  <si>
    <t>JAIME MONROY</t>
  </si>
  <si>
    <t xml:space="preserve">CTM RISCO </t>
  </si>
  <si>
    <t xml:space="preserve">JONATHAN ISAI  ORTEGA </t>
  </si>
  <si>
    <t xml:space="preserve">FFCC CONCEPCION ZEPEDA </t>
  </si>
  <si>
    <t>LUIS ALFONSO MALVAEZ</t>
  </si>
  <si>
    <t>VALLE DE ARAGON 1 SECC</t>
  </si>
  <si>
    <t xml:space="preserve">MARTIN GAONA </t>
  </si>
  <si>
    <t xml:space="preserve">ELVIRA ARELLANO </t>
  </si>
  <si>
    <t xml:space="preserve">OSCAR GARCIA ZAMORA </t>
  </si>
  <si>
    <t>SIRO PEREZ</t>
  </si>
  <si>
    <t xml:space="preserve">NANCY RAMOS ACOSTA </t>
  </si>
  <si>
    <t>CARDONAL XALOSTOC</t>
  </si>
  <si>
    <t>CLAUDIA GOMEZ</t>
  </si>
  <si>
    <t xml:space="preserve">PRIZO 1 </t>
  </si>
  <si>
    <t>JUAN VASQUEZ</t>
  </si>
  <si>
    <t xml:space="preserve">LAURA BAUTISTA </t>
  </si>
  <si>
    <t xml:space="preserve">ERIC ARTURO BARRAGAN </t>
  </si>
  <si>
    <t xml:space="preserve">SERGIO MENDES </t>
  </si>
  <si>
    <t xml:space="preserve">ROBERTO BAUTISTA </t>
  </si>
  <si>
    <t xml:space="preserve">VALLA DE GUADALUPE </t>
  </si>
  <si>
    <t xml:space="preserve">JESUS CANALES </t>
  </si>
  <si>
    <t xml:space="preserve">MALINCHE </t>
  </si>
  <si>
    <t xml:space="preserve">AZAEL CABRERA </t>
  </si>
  <si>
    <t xml:space="preserve">CENTRO </t>
  </si>
  <si>
    <t>NOE FLORES</t>
  </si>
  <si>
    <t xml:space="preserve">OMAR SANTAMARIA </t>
  </si>
  <si>
    <t xml:space="preserve">ALBERTO ARTURO BUTIA </t>
  </si>
  <si>
    <t xml:space="preserve">HACIENDA DEL PEÑON </t>
  </si>
  <si>
    <t xml:space="preserve">SUSANA VALENCIA </t>
  </si>
  <si>
    <t>VICENTE AVALOS FLORES</t>
  </si>
  <si>
    <t xml:space="preserve">AMPLIACION CODICE MENDOCINO </t>
  </si>
  <si>
    <t xml:space="preserve">LORENA CHAVEZ </t>
  </si>
  <si>
    <t xml:space="preserve">ENRIQUETA LOZANO </t>
  </si>
  <si>
    <t xml:space="preserve">JORGE NEGRETE </t>
  </si>
  <si>
    <t xml:space="preserve">ELIEL LUEVANOS </t>
  </si>
  <si>
    <t>JULIO CESAR RAMIREZ</t>
  </si>
  <si>
    <t>COANALCO</t>
  </si>
  <si>
    <t xml:space="preserve">JOSE LUIS MENDOZA </t>
  </si>
  <si>
    <t xml:space="preserve">TULPETLAC </t>
  </si>
  <si>
    <t xml:space="preserve">RICARDO EUDAVE </t>
  </si>
  <si>
    <t>MIGUEL TORRES</t>
  </si>
  <si>
    <t xml:space="preserve">CD AZTECA SECCION ORIENTE </t>
  </si>
  <si>
    <t xml:space="preserve">EL SALADO XALOSTOC </t>
  </si>
  <si>
    <t xml:space="preserve">LA BRECHA </t>
  </si>
  <si>
    <t xml:space="preserve">RICARDO SALAZAR MALAGA </t>
  </si>
  <si>
    <t>PROVEDORA INTERNACIONAL PROSER</t>
  </si>
  <si>
    <t xml:space="preserve">ISACC BONILLA </t>
  </si>
  <si>
    <t>SAN LORENZO TETLIXTAC</t>
  </si>
  <si>
    <t>HANK GONZALES</t>
  </si>
  <si>
    <t>Tetlixtac</t>
  </si>
  <si>
    <t>ISRAEL MONTES DE OCA</t>
  </si>
  <si>
    <t xml:space="preserve">LUCIANO LUGO </t>
  </si>
  <si>
    <t>SYLVIA SELENE HERNABDEZ</t>
  </si>
  <si>
    <t xml:space="preserve">EL OBRERO </t>
  </si>
  <si>
    <t>CESAR GOMEZ MARTINEZ</t>
  </si>
  <si>
    <t xml:space="preserve">ANGEL DE GUADALUPE </t>
  </si>
  <si>
    <t>LUIS ALFREDO</t>
  </si>
  <si>
    <t xml:space="preserve"> VILLA DE GUADALUPE </t>
  </si>
  <si>
    <t>JONATHAN PEREZ MENDEZ</t>
  </si>
  <si>
    <t>SAGITARIO 2</t>
  </si>
  <si>
    <t>YANELI</t>
  </si>
  <si>
    <t xml:space="preserve">JUAN HACHA </t>
  </si>
  <si>
    <t xml:space="preserve">VILLA DE LAS FLORES COACALCO </t>
  </si>
  <si>
    <t xml:space="preserve">NELLY ROMERO SANTOS </t>
  </si>
  <si>
    <t>EDGAR MANUEL TELLEZ</t>
  </si>
  <si>
    <t xml:space="preserve">JAVIER/ISRAEL </t>
  </si>
  <si>
    <t xml:space="preserve">BOSQUE DE ARAGON </t>
  </si>
  <si>
    <t xml:space="preserve">SAMUEL BARRERA </t>
  </si>
  <si>
    <t>CARLOS JAVIER VELASCO ORTIZ</t>
  </si>
  <si>
    <t>JUAN SOSA CHAPOL</t>
  </si>
  <si>
    <t>SAN MIGUEL XALOSTOC</t>
  </si>
  <si>
    <t xml:space="preserve">VICTOR HUGO VALENCIA </t>
  </si>
  <si>
    <t xml:space="preserve">JUAN JOSE </t>
  </si>
  <si>
    <t>SYLVIA SELENE HERNANDEZ</t>
  </si>
  <si>
    <t xml:space="preserve">ACUITLAPILCO </t>
  </si>
  <si>
    <t xml:space="preserve">LUISA PELAYO </t>
  </si>
  <si>
    <t>ALAN HERNANDEZ</t>
  </si>
  <si>
    <t xml:space="preserve">SAN FELIPE DE JESUS </t>
  </si>
  <si>
    <t>JULIO CESAR RODRIGUEZ</t>
  </si>
  <si>
    <t xml:space="preserve">CAMPESTRE DE ARAGON </t>
  </si>
  <si>
    <t xml:space="preserve">MIGUEL FLORES </t>
  </si>
  <si>
    <t>ROGELIO ORTIZ</t>
  </si>
  <si>
    <t xml:space="preserve">DANIEL GARCIA </t>
  </si>
  <si>
    <t xml:space="preserve">EDGAR DAVID GARCIA </t>
  </si>
  <si>
    <t xml:space="preserve">ALEJANDRO PONCE </t>
  </si>
  <si>
    <t xml:space="preserve">JARDINES DEL MEDITERRANEO </t>
  </si>
  <si>
    <t xml:space="preserve">ARTURO RIVERA </t>
  </si>
  <si>
    <t xml:space="preserve">TENAYUCA </t>
  </si>
  <si>
    <t xml:space="preserve">JUAN CARLOS GALLEGOS </t>
  </si>
  <si>
    <t xml:space="preserve">EL MIRADOR </t>
  </si>
  <si>
    <t>MIGUEL A. CARRILLO</t>
  </si>
  <si>
    <t xml:space="preserve">RICARDO RANGEL </t>
  </si>
  <si>
    <t xml:space="preserve">TEPEOLULCO </t>
  </si>
  <si>
    <t xml:space="preserve">JOSE MARTIN GARCIA </t>
  </si>
  <si>
    <t xml:space="preserve">PENDIENTE ENTREGAR CUBRECANTO </t>
  </si>
  <si>
    <t xml:space="preserve">ISIDRO ROSALES </t>
  </si>
  <si>
    <t xml:space="preserve">MARGARITA QUEVEDO </t>
  </si>
  <si>
    <t xml:space="preserve">JULIO CHAVEZ TEJEDA </t>
  </si>
  <si>
    <t xml:space="preserve">SERGIO PINEDA </t>
  </si>
  <si>
    <t xml:space="preserve">CARLOS GORDILLO </t>
  </si>
  <si>
    <t xml:space="preserve">OSCAR GAITAN </t>
  </si>
  <si>
    <t xml:space="preserve">JOSE ARTURO GÜERO </t>
  </si>
  <si>
    <t>SAN AGUSTIN 3 SECC</t>
  </si>
  <si>
    <t xml:space="preserve">JAIME CALLADO </t>
  </si>
  <si>
    <t xml:space="preserve">SE CIERRA LA FACTURA CON 1 PAQ 49 TABLEROS </t>
  </si>
  <si>
    <t xml:space="preserve">SE INICIA LA FACTURA CON 1 PAQUETE </t>
  </si>
  <si>
    <t xml:space="preserve">GABRIEL BAUTISTA </t>
  </si>
  <si>
    <t xml:space="preserve">JUAN CARLOS DOMINGO </t>
  </si>
  <si>
    <t>MARIO HERNANDEZ</t>
  </si>
  <si>
    <t xml:space="preserve">HEROES TECAMAC </t>
  </si>
  <si>
    <t xml:space="preserve">BERNA </t>
  </si>
  <si>
    <t xml:space="preserve">EL ARBOL </t>
  </si>
  <si>
    <t xml:space="preserve">SE CIERRA LA FACT CON 2 PAQUETES 1FROSTY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</si>
</sst>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dd/mm/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8"/>
      <name val="Calibri"/>
      <family val="2"/>
      <scheme val="minor"/>
    </font>
    <font>
      <b/>
      <sz val="11"/>
      <color theme="0"/>
      <name val="Century Gothic"/>
      <family val="2"/>
    </font>
    <font>
      <sz val="11"/>
      <color theme="1"/>
      <name val="Calibri"/>
      <family val="2"/>
      <scheme val="minor"/>
    </font>
    <font>
      <sz val="18"/>
      <color theme="1"/>
      <name val="Arial Narrow"/>
      <family val="2"/>
    </font>
    <font>
      <b/>
      <sz val="28"/>
      <color theme="1"/>
      <name val="Arial Narrow"/>
      <family val="2"/>
    </font>
    <font>
      <b/>
      <sz val="14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entury Gothic"/>
      <family val="2"/>
    </font>
    <font>
      <sz val="12"/>
      <color theme="1"/>
      <name val="Century Gothic"/>
      <family val="2"/>
    </font>
    <font>
      <b/>
      <sz val="12"/>
      <color theme="1"/>
      <name val="Century Gothic"/>
      <family val="2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28"/>
      <color theme="1"/>
      <name val="Calibri"/>
      <family val="2"/>
      <scheme val="minor"/>
    </font>
    <font>
      <sz val="12"/>
      <color rgb="FFFF0000"/>
      <name val="Century Gothic"/>
      <family val="2"/>
    </font>
    <font>
      <sz val="12"/>
      <name val="Century Gothic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66">
    <xf numFmtId="0" fontId="0" fillId="0" borderId="0" xfId="0"/>
    <xf numFmtId="0" fontId="1" fillId="0" borderId="0" xfId="0" applyFont="1"/>
    <xf numFmtId="164" fontId="1" fillId="0" borderId="0" xfId="0" applyNumberFormat="1" applyFont="1" applyAlignment="1">
      <alignment horizontal="left"/>
    </xf>
    <xf numFmtId="0" fontId="1" fillId="2" borderId="0" xfId="0" applyFont="1" applyFill="1"/>
    <xf numFmtId="164" fontId="1" fillId="2" borderId="0" xfId="0" applyNumberFormat="1" applyFont="1" applyFill="1" applyAlignment="1">
      <alignment horizontal="left"/>
    </xf>
    <xf numFmtId="0" fontId="1" fillId="3" borderId="0" xfId="0" applyFont="1" applyFill="1"/>
    <xf numFmtId="165" fontId="1" fillId="0" borderId="0" xfId="0" applyNumberFormat="1" applyFont="1"/>
    <xf numFmtId="165" fontId="1" fillId="2" borderId="0" xfId="0" applyNumberFormat="1" applyFont="1" applyFill="1"/>
    <xf numFmtId="164" fontId="1" fillId="0" borderId="0" xfId="0" applyNumberFormat="1" applyFont="1"/>
    <xf numFmtId="164" fontId="1" fillId="0" borderId="0" xfId="0" quotePrefix="1" applyNumberFormat="1" applyFont="1" applyAlignment="1">
      <alignment horizontal="left"/>
    </xf>
    <xf numFmtId="164" fontId="1" fillId="3" borderId="0" xfId="0" applyNumberFormat="1" applyFont="1" applyFill="1" applyAlignment="1">
      <alignment horizontal="left"/>
    </xf>
    <xf numFmtId="165" fontId="1" fillId="3" borderId="0" xfId="0" applyNumberFormat="1" applyFont="1" applyFill="1"/>
    <xf numFmtId="0" fontId="1" fillId="4" borderId="0" xfId="0" applyFont="1" applyFill="1"/>
    <xf numFmtId="164" fontId="1" fillId="4" borderId="0" xfId="0" applyNumberFormat="1" applyFont="1" applyFill="1" applyAlignment="1">
      <alignment horizontal="left"/>
    </xf>
    <xf numFmtId="165" fontId="1" fillId="4" borderId="0" xfId="0" applyNumberFormat="1" applyFont="1" applyFill="1"/>
    <xf numFmtId="0" fontId="1" fillId="5" borderId="0" xfId="0" applyFont="1" applyFill="1"/>
    <xf numFmtId="164" fontId="1" fillId="5" borderId="0" xfId="0" applyNumberFormat="1" applyFont="1" applyFill="1" applyAlignment="1">
      <alignment horizontal="left"/>
    </xf>
    <xf numFmtId="165" fontId="1" fillId="5" borderId="0" xfId="0" applyNumberFormat="1" applyFont="1" applyFill="1"/>
    <xf numFmtId="0" fontId="1" fillId="6" borderId="0" xfId="0" applyFont="1" applyFill="1"/>
    <xf numFmtId="164" fontId="1" fillId="6" borderId="0" xfId="0" applyNumberFormat="1" applyFont="1" applyFill="1" applyAlignment="1">
      <alignment horizontal="left"/>
    </xf>
    <xf numFmtId="165" fontId="1" fillId="6" borderId="0" xfId="0" applyNumberFormat="1" applyFont="1" applyFill="1"/>
    <xf numFmtId="0" fontId="1" fillId="7" borderId="0" xfId="0" applyFont="1" applyFill="1"/>
    <xf numFmtId="164" fontId="1" fillId="7" borderId="0" xfId="0" applyNumberFormat="1" applyFont="1" applyFill="1" applyAlignment="1">
      <alignment horizontal="left"/>
    </xf>
    <xf numFmtId="165" fontId="1" fillId="7" borderId="0" xfId="0" applyNumberFormat="1" applyFont="1" applyFill="1"/>
    <xf numFmtId="0" fontId="1" fillId="8" borderId="0" xfId="0" applyFont="1" applyFill="1"/>
    <xf numFmtId="164" fontId="1" fillId="8" borderId="0" xfId="0" applyNumberFormat="1" applyFont="1" applyFill="1" applyAlignment="1">
      <alignment horizontal="left"/>
    </xf>
    <xf numFmtId="165" fontId="1" fillId="8" borderId="0" xfId="0" applyNumberFormat="1" applyFont="1" applyFill="1"/>
    <xf numFmtId="0" fontId="1" fillId="9" borderId="0" xfId="0" applyFont="1" applyFill="1"/>
    <xf numFmtId="164" fontId="1" fillId="9" borderId="0" xfId="0" applyNumberFormat="1" applyFont="1" applyFill="1" applyAlignment="1">
      <alignment horizontal="left"/>
    </xf>
    <xf numFmtId="165" fontId="1" fillId="9" borderId="0" xfId="0" applyNumberFormat="1" applyFont="1" applyFill="1"/>
    <xf numFmtId="0" fontId="1" fillId="10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3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7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 wrapText="1"/>
    </xf>
    <xf numFmtId="0" fontId="9" fillId="13" borderId="0" xfId="0" applyFont="1" applyFill="1" applyAlignment="1">
      <alignment horizontal="center" vertical="center"/>
    </xf>
    <xf numFmtId="165" fontId="9" fillId="13" borderId="0" xfId="0" applyNumberFormat="1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4" borderId="0" xfId="0" applyFont="1" applyFill="1"/>
    <xf numFmtId="165" fontId="10" fillId="4" borderId="0" xfId="0" applyNumberFormat="1" applyFont="1" applyFill="1"/>
    <xf numFmtId="0" fontId="10" fillId="0" borderId="0" xfId="0" applyFont="1"/>
    <xf numFmtId="164" fontId="10" fillId="0" borderId="0" xfId="0" applyNumberFormat="1" applyFont="1" applyAlignment="1">
      <alignment horizontal="left"/>
    </xf>
    <xf numFmtId="165" fontId="10" fillId="0" borderId="0" xfId="0" applyNumberFormat="1" applyFont="1"/>
    <xf numFmtId="0" fontId="10" fillId="3" borderId="0" xfId="0" applyFont="1" applyFill="1"/>
    <xf numFmtId="0" fontId="10" fillId="9" borderId="0" xfId="0" applyFont="1" applyFill="1"/>
    <xf numFmtId="164" fontId="10" fillId="9" borderId="0" xfId="0" applyNumberFormat="1" applyFont="1" applyFill="1" applyAlignment="1">
      <alignment horizontal="left"/>
    </xf>
    <xf numFmtId="165" fontId="10" fillId="9" borderId="0" xfId="0" applyNumberFormat="1" applyFont="1" applyFill="1"/>
    <xf numFmtId="0" fontId="10" fillId="7" borderId="0" xfId="0" applyFont="1" applyFill="1"/>
    <xf numFmtId="165" fontId="10" fillId="7" borderId="0" xfId="0" applyNumberFormat="1" applyFont="1" applyFill="1"/>
    <xf numFmtId="165" fontId="10" fillId="3" borderId="0" xfId="0" applyNumberFormat="1" applyFont="1" applyFill="1"/>
    <xf numFmtId="0" fontId="10" fillId="2" borderId="0" xfId="0" applyFont="1" applyFill="1"/>
    <xf numFmtId="165" fontId="11" fillId="4" borderId="0" xfId="0" applyNumberFormat="1" applyFont="1" applyFill="1"/>
    <xf numFmtId="165" fontId="11" fillId="0" borderId="0" xfId="0" applyNumberFormat="1" applyFont="1"/>
    <xf numFmtId="0" fontId="10" fillId="10" borderId="0" xfId="0" applyFont="1" applyFill="1"/>
    <xf numFmtId="165" fontId="10" fillId="10" borderId="0" xfId="0" applyNumberFormat="1" applyFont="1" applyFill="1"/>
    <xf numFmtId="0" fontId="10" fillId="11" borderId="0" xfId="0" applyFont="1" applyFill="1"/>
    <xf numFmtId="0" fontId="10" fillId="8" borderId="0" xfId="0" applyFont="1" applyFill="1"/>
    <xf numFmtId="164" fontId="10" fillId="8" borderId="0" xfId="0" applyNumberFormat="1" applyFont="1" applyFill="1" applyAlignment="1">
      <alignment horizontal="left"/>
    </xf>
    <xf numFmtId="165" fontId="11" fillId="8" borderId="0" xfId="0" applyNumberFormat="1" applyFont="1" applyFill="1"/>
    <xf numFmtId="165" fontId="11" fillId="9" borderId="0" xfId="0" applyNumberFormat="1" applyFont="1" applyFill="1"/>
    <xf numFmtId="0" fontId="10" fillId="12" borderId="0" xfId="0" applyFont="1" applyFill="1"/>
    <xf numFmtId="165" fontId="11" fillId="12" borderId="0" xfId="0" applyNumberFormat="1" applyFont="1" applyFill="1"/>
    <xf numFmtId="0" fontId="10" fillId="14" borderId="0" xfId="0" applyFont="1" applyFill="1"/>
    <xf numFmtId="165" fontId="10" fillId="14" borderId="0" xfId="0" applyNumberFormat="1" applyFont="1" applyFill="1"/>
    <xf numFmtId="44" fontId="10" fillId="7" borderId="0" xfId="1" applyFont="1" applyFill="1" applyAlignment="1">
      <alignment horizontal="left"/>
    </xf>
    <xf numFmtId="165" fontId="10" fillId="8" borderId="0" xfId="0" applyNumberFormat="1" applyFont="1" applyFill="1"/>
    <xf numFmtId="44" fontId="10" fillId="3" borderId="0" xfId="1" applyFont="1" applyFill="1" applyAlignment="1">
      <alignment horizontal="left"/>
    </xf>
    <xf numFmtId="16" fontId="10" fillId="0" borderId="0" xfId="0" applyNumberFormat="1" applyFont="1"/>
    <xf numFmtId="0" fontId="10" fillId="15" borderId="0" xfId="0" applyFont="1" applyFill="1"/>
    <xf numFmtId="165" fontId="10" fillId="15" borderId="0" xfId="0" applyNumberFormat="1" applyFont="1" applyFill="1"/>
    <xf numFmtId="0" fontId="10" fillId="16" borderId="0" xfId="0" applyFont="1" applyFill="1"/>
    <xf numFmtId="165" fontId="10" fillId="16" borderId="0" xfId="0" applyNumberFormat="1" applyFont="1" applyFill="1"/>
    <xf numFmtId="0" fontId="10" fillId="6" borderId="0" xfId="0" applyFont="1" applyFill="1"/>
    <xf numFmtId="165" fontId="10" fillId="6" borderId="0" xfId="0" applyNumberFormat="1" applyFont="1" applyFill="1"/>
    <xf numFmtId="2" fontId="10" fillId="7" borderId="0" xfId="0" applyNumberFormat="1" applyFont="1" applyFill="1"/>
    <xf numFmtId="44" fontId="10" fillId="8" borderId="0" xfId="1" applyFont="1" applyFill="1" applyAlignment="1">
      <alignment horizontal="left"/>
    </xf>
    <xf numFmtId="0" fontId="10" fillId="5" borderId="0" xfId="0" applyFont="1" applyFill="1"/>
    <xf numFmtId="165" fontId="10" fillId="5" borderId="0" xfId="0" applyNumberFormat="1" applyFont="1" applyFill="1"/>
    <xf numFmtId="165" fontId="10" fillId="12" borderId="0" xfId="0" applyNumberFormat="1" applyFont="1" applyFill="1"/>
    <xf numFmtId="0" fontId="10" fillId="17" borderId="0" xfId="0" applyFont="1" applyFill="1"/>
    <xf numFmtId="165" fontId="10" fillId="17" borderId="0" xfId="0" applyNumberFormat="1" applyFont="1" applyFill="1"/>
    <xf numFmtId="44" fontId="10" fillId="0" borderId="0" xfId="1" applyFont="1" applyFill="1" applyAlignment="1">
      <alignment horizontal="left"/>
    </xf>
    <xf numFmtId="44" fontId="10" fillId="4" borderId="0" xfId="1" applyFont="1" applyFill="1" applyAlignment="1">
      <alignment horizontal="left"/>
    </xf>
    <xf numFmtId="44" fontId="10" fillId="0" borderId="0" xfId="1" applyFont="1" applyAlignment="1">
      <alignment horizontal="left"/>
    </xf>
    <xf numFmtId="44" fontId="10" fillId="9" borderId="0" xfId="1" applyFont="1" applyFill="1" applyAlignment="1">
      <alignment horizontal="left"/>
    </xf>
    <xf numFmtId="44" fontId="10" fillId="0" borderId="0" xfId="1" quotePrefix="1" applyFont="1" applyAlignment="1">
      <alignment horizontal="left"/>
    </xf>
    <xf numFmtId="44" fontId="10" fillId="10" borderId="0" xfId="1" applyFont="1" applyFill="1" applyAlignment="1">
      <alignment horizontal="left"/>
    </xf>
    <xf numFmtId="44" fontId="10" fillId="12" borderId="0" xfId="1" applyFont="1" applyFill="1" applyAlignment="1">
      <alignment horizontal="left"/>
    </xf>
    <xf numFmtId="44" fontId="10" fillId="14" borderId="0" xfId="1" applyFont="1" applyFill="1" applyAlignment="1">
      <alignment horizontal="left"/>
    </xf>
    <xf numFmtId="44" fontId="10" fillId="15" borderId="0" xfId="1" applyFont="1" applyFill="1" applyAlignment="1">
      <alignment horizontal="left"/>
    </xf>
    <xf numFmtId="44" fontId="10" fillId="16" borderId="0" xfId="1" applyFont="1" applyFill="1" applyAlignment="1">
      <alignment horizontal="left"/>
    </xf>
    <xf numFmtId="44" fontId="10" fillId="6" borderId="0" xfId="1" applyFont="1" applyFill="1" applyAlignment="1">
      <alignment horizontal="left"/>
    </xf>
    <xf numFmtId="44" fontId="10" fillId="5" borderId="0" xfId="1" applyFont="1" applyFill="1" applyAlignment="1">
      <alignment horizontal="left"/>
    </xf>
    <xf numFmtId="44" fontId="10" fillId="17" borderId="0" xfId="1" applyFont="1" applyFill="1" applyAlignment="1">
      <alignment horizontal="left"/>
    </xf>
    <xf numFmtId="44" fontId="9" fillId="13" borderId="0" xfId="1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10" fillId="19" borderId="0" xfId="0" applyFont="1" applyFill="1"/>
    <xf numFmtId="44" fontId="10" fillId="19" borderId="0" xfId="1" applyFont="1" applyFill="1" applyAlignment="1">
      <alignment horizontal="left"/>
    </xf>
    <xf numFmtId="165" fontId="10" fillId="19" borderId="0" xfId="0" applyNumberFormat="1" applyFont="1" applyFill="1"/>
    <xf numFmtId="0" fontId="10" fillId="20" borderId="0" xfId="0" applyFont="1" applyFill="1"/>
    <xf numFmtId="44" fontId="10" fillId="20" borderId="0" xfId="1" applyFont="1" applyFill="1" applyAlignment="1">
      <alignment horizontal="left"/>
    </xf>
    <xf numFmtId="165" fontId="10" fillId="20" borderId="0" xfId="0" applyNumberFormat="1" applyFont="1" applyFill="1"/>
    <xf numFmtId="44" fontId="10" fillId="7" borderId="0" xfId="1" applyFont="1" applyFill="1"/>
    <xf numFmtId="44" fontId="10" fillId="9" borderId="0" xfId="1" applyFont="1" applyFill="1"/>
    <xf numFmtId="44" fontId="10" fillId="0" borderId="0" xfId="1" applyFont="1"/>
    <xf numFmtId="0" fontId="10" fillId="21" borderId="0" xfId="0" applyFont="1" applyFill="1"/>
    <xf numFmtId="44" fontId="10" fillId="21" borderId="0" xfId="1" applyFont="1" applyFill="1" applyAlignment="1">
      <alignment horizontal="left"/>
    </xf>
    <xf numFmtId="165" fontId="10" fillId="21" borderId="0" xfId="0" applyNumberFormat="1" applyFont="1" applyFill="1"/>
    <xf numFmtId="0" fontId="10" fillId="22" borderId="0" xfId="0" applyFont="1" applyFill="1"/>
    <xf numFmtId="44" fontId="10" fillId="22" borderId="0" xfId="1" applyFont="1" applyFill="1" applyAlignment="1">
      <alignment horizontal="left"/>
    </xf>
    <xf numFmtId="165" fontId="10" fillId="22" borderId="0" xfId="0" applyNumberFormat="1" applyFont="1" applyFill="1"/>
    <xf numFmtId="0" fontId="10" fillId="23" borderId="0" xfId="0" applyFont="1" applyFill="1"/>
    <xf numFmtId="44" fontId="10" fillId="23" borderId="0" xfId="1" applyFont="1" applyFill="1" applyAlignment="1">
      <alignment horizontal="left"/>
    </xf>
    <xf numFmtId="165" fontId="10" fillId="23" borderId="0" xfId="0" applyNumberFormat="1" applyFont="1" applyFill="1"/>
    <xf numFmtId="0" fontId="12" fillId="0" borderId="0" xfId="0" applyFont="1"/>
    <xf numFmtId="0" fontId="12" fillId="0" borderId="0" xfId="0" applyFont="1" applyAlignment="1">
      <alignment horizontal="center"/>
    </xf>
    <xf numFmtId="0" fontId="13" fillId="24" borderId="0" xfId="0" applyFont="1" applyFill="1"/>
    <xf numFmtId="0" fontId="0" fillId="24" borderId="0" xfId="0" applyFill="1"/>
    <xf numFmtId="0" fontId="14" fillId="0" borderId="0" xfId="0" applyFont="1"/>
    <xf numFmtId="44" fontId="0" fillId="0" borderId="0" xfId="1" applyFont="1"/>
    <xf numFmtId="44" fontId="12" fillId="0" borderId="0" xfId="1" applyFont="1"/>
    <xf numFmtId="44" fontId="0" fillId="0" borderId="0" xfId="0" applyNumberFormat="1"/>
    <xf numFmtId="0" fontId="8" fillId="0" borderId="0" xfId="0" applyFont="1"/>
    <xf numFmtId="164" fontId="8" fillId="0" borderId="0" xfId="0" applyNumberFormat="1" applyFont="1"/>
    <xf numFmtId="164" fontId="0" fillId="0" borderId="0" xfId="0" applyNumberFormat="1"/>
    <xf numFmtId="0" fontId="8" fillId="0" borderId="1" xfId="0" applyFont="1" applyBorder="1"/>
    <xf numFmtId="164" fontId="8" fillId="0" borderId="1" xfId="0" applyNumberFormat="1" applyFont="1" applyBorder="1"/>
    <xf numFmtId="0" fontId="0" fillId="0" borderId="1" xfId="0" applyBorder="1"/>
    <xf numFmtId="164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6" fillId="0" borderId="0" xfId="0" applyFont="1"/>
    <xf numFmtId="0" fontId="17" fillId="0" borderId="0" xfId="0" applyFont="1"/>
    <xf numFmtId="0" fontId="17" fillId="17" borderId="0" xfId="0" applyFont="1" applyFill="1"/>
    <xf numFmtId="0" fontId="16" fillId="17" borderId="0" xfId="0" applyFont="1" applyFill="1"/>
    <xf numFmtId="14" fontId="10" fillId="0" borderId="0" xfId="0" applyNumberFormat="1" applyFont="1"/>
    <xf numFmtId="165" fontId="10" fillId="23" borderId="0" xfId="0" applyNumberFormat="1" applyFont="1" applyFill="1" applyAlignment="1">
      <alignment horizontal="right"/>
    </xf>
    <xf numFmtId="44" fontId="10" fillId="6" borderId="0" xfId="1" applyFont="1" applyFill="1"/>
    <xf numFmtId="0" fontId="10" fillId="25" borderId="0" xfId="0" applyFont="1" applyFill="1"/>
    <xf numFmtId="44" fontId="10" fillId="25" borderId="0" xfId="1" applyFont="1" applyFill="1" applyAlignment="1">
      <alignment horizontal="left"/>
    </xf>
    <xf numFmtId="165" fontId="10" fillId="25" borderId="0" xfId="0" applyNumberFormat="1" applyFont="1" applyFill="1"/>
    <xf numFmtId="0" fontId="10" fillId="4" borderId="0" xfId="0" applyFont="1" applyFill="1" applyAlignment="1">
      <alignment horizontal="center"/>
    </xf>
    <xf numFmtId="0" fontId="10" fillId="26" borderId="0" xfId="0" applyFont="1" applyFill="1"/>
    <xf numFmtId="44" fontId="10" fillId="26" borderId="0" xfId="1" applyFont="1" applyFill="1" applyAlignment="1">
      <alignment horizontal="left"/>
    </xf>
    <xf numFmtId="165" fontId="10" fillId="26" borderId="0" xfId="0" applyNumberFormat="1" applyFont="1" applyFill="1"/>
    <xf numFmtId="0" fontId="10" fillId="27" borderId="0" xfId="0" applyFont="1" applyFill="1"/>
    <xf numFmtId="44" fontId="10" fillId="27" borderId="0" xfId="1" applyFont="1" applyFill="1" applyAlignment="1">
      <alignment horizontal="left"/>
    </xf>
    <xf numFmtId="165" fontId="10" fillId="27" borderId="0" xfId="0" applyNumberFormat="1" applyFont="1" applyFill="1"/>
    <xf numFmtId="0" fontId="10" fillId="27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21" borderId="0" xfId="0" applyFont="1" applyFill="1" applyAlignment="1">
      <alignment horizontal="center"/>
    </xf>
    <xf numFmtId="44" fontId="10" fillId="5" borderId="0" xfId="1" applyFont="1" applyFill="1"/>
    <xf numFmtId="0" fontId="10" fillId="27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15" borderId="1" xfId="0" applyFont="1" applyFill="1" applyBorder="1" applyAlignment="1">
      <alignment horizontal="center" vertical="center"/>
    </xf>
    <xf numFmtId="0" fontId="6" fillId="15" borderId="0" xfId="0" applyFont="1" applyFill="1" applyAlignment="1">
      <alignment horizontal="center" vertical="center" wrapText="1"/>
    </xf>
    <xf numFmtId="0" fontId="7" fillId="15" borderId="2" xfId="0" applyFont="1" applyFill="1" applyBorder="1" applyAlignment="1">
      <alignment horizontal="center" vertical="center"/>
    </xf>
    <xf numFmtId="0" fontId="7" fillId="15" borderId="3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</cellXfs>
  <cellStyles count="2">
    <cellStyle name="Moneda" xfId="1" builtinId="4"/>
    <cellStyle name="Normal" xfId="0" builtinId="0"/>
  </cellStyles>
  <dxfs count="1"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Hoja8!$A$3:$B$7</c:f>
              <c:multiLvlStrCache>
                <c:ptCount val="5"/>
                <c:lvl>
                  <c:pt idx="0">
                    <c:v>enero 2026</c:v>
                  </c:pt>
                  <c:pt idx="1">
                    <c:v>enero 2026</c:v>
                  </c:pt>
                  <c:pt idx="2">
                    <c:v>enero 2026</c:v>
                  </c:pt>
                  <c:pt idx="3">
                    <c:v>enero 2026</c:v>
                  </c:pt>
                  <c:pt idx="4">
                    <c:v>enero 2026</c:v>
                  </c:pt>
                </c:lvl>
                <c:lvl>
                  <c:pt idx="0">
                    <c:v>JOEL</c:v>
                  </c:pt>
                  <c:pt idx="1">
                    <c:v>JAVIER</c:v>
                  </c:pt>
                  <c:pt idx="2">
                    <c:v>JORGE</c:v>
                  </c:pt>
                  <c:pt idx="3">
                    <c:v>ISRAEL</c:v>
                  </c:pt>
                  <c:pt idx="4">
                    <c:v>JOEL/JAVIER</c:v>
                  </c:pt>
                </c:lvl>
              </c:multiLvlStrCache>
            </c:multiLvlStrRef>
          </c:cat>
          <c:val>
            <c:numRef>
              <c:f>Hoja8!$C$3:$C$7</c:f>
              <c:numCache>
                <c:formatCode>General</c:formatCode>
                <c:ptCount val="5"/>
                <c:pt idx="0">
                  <c:v>153</c:v>
                </c:pt>
                <c:pt idx="1">
                  <c:v>136</c:v>
                </c:pt>
                <c:pt idx="2">
                  <c:v>108</c:v>
                </c:pt>
                <c:pt idx="3">
                  <c:v>73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2-4B2B-85F5-19EDA875791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Hoja8!$A$3:$B$7</c:f>
              <c:multiLvlStrCache>
                <c:ptCount val="5"/>
                <c:lvl>
                  <c:pt idx="0">
                    <c:v>enero 2026</c:v>
                  </c:pt>
                  <c:pt idx="1">
                    <c:v>enero 2026</c:v>
                  </c:pt>
                  <c:pt idx="2">
                    <c:v>enero 2026</c:v>
                  </c:pt>
                  <c:pt idx="3">
                    <c:v>enero 2026</c:v>
                  </c:pt>
                  <c:pt idx="4">
                    <c:v>enero 2026</c:v>
                  </c:pt>
                </c:lvl>
                <c:lvl>
                  <c:pt idx="0">
                    <c:v>JOEL</c:v>
                  </c:pt>
                  <c:pt idx="1">
                    <c:v>JAVIER</c:v>
                  </c:pt>
                  <c:pt idx="2">
                    <c:v>JORGE</c:v>
                  </c:pt>
                  <c:pt idx="3">
                    <c:v>ISRAEL</c:v>
                  </c:pt>
                  <c:pt idx="4">
                    <c:v>JOEL/JAVIER</c:v>
                  </c:pt>
                </c:lvl>
              </c:multiLvlStrCache>
            </c:multiLvlStrRef>
          </c:cat>
          <c:val>
            <c:numRef>
              <c:f>Hoja8!$D$3:$D$7</c:f>
              <c:numCache>
                <c:formatCode>"$"#,##0.00</c:formatCode>
                <c:ptCount val="5"/>
                <c:pt idx="0">
                  <c:v>787853.30999999982</c:v>
                </c:pt>
                <c:pt idx="1">
                  <c:v>688148.39</c:v>
                </c:pt>
                <c:pt idx="2">
                  <c:v>1216228.7000000002</c:v>
                </c:pt>
                <c:pt idx="3">
                  <c:v>377225.54</c:v>
                </c:pt>
                <c:pt idx="4">
                  <c:v>82521.56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82-4B2B-85F5-19EDA8757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3225471"/>
        <c:axId val="1753226431"/>
      </c:barChart>
      <c:catAx>
        <c:axId val="1753225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6431"/>
        <c:crosses val="autoZero"/>
        <c:auto val="1"/>
        <c:lblAlgn val="ctr"/>
        <c:lblOffset val="100"/>
        <c:noMultiLvlLbl val="0"/>
      </c:catAx>
      <c:valAx>
        <c:axId val="175322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5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Hoja8!$A$10:$B$17</c15:sqref>
                  </c15:fullRef>
                  <c15:levelRef>
                    <c15:sqref>Hoja8!$A$10:$A$17</c15:sqref>
                  </c15:levelRef>
                </c:ext>
              </c:extLst>
              <c:f>Hoja8!$A$10:$A$17</c:f>
              <c:strCache>
                <c:ptCount val="8"/>
                <c:pt idx="0">
                  <c:v>JOEL</c:v>
                </c:pt>
                <c:pt idx="1">
                  <c:v>JAVIER</c:v>
                </c:pt>
                <c:pt idx="2">
                  <c:v>JORGE</c:v>
                </c:pt>
                <c:pt idx="3">
                  <c:v>ISRAEL</c:v>
                </c:pt>
                <c:pt idx="4">
                  <c:v>JORGE / ISRAEL</c:v>
                </c:pt>
                <c:pt idx="5">
                  <c:v>JORGE/ JAVIER</c:v>
                </c:pt>
                <c:pt idx="6">
                  <c:v>JOSE LUIS</c:v>
                </c:pt>
                <c:pt idx="7">
                  <c:v>JOEL/ ISRAEL</c:v>
                </c:pt>
              </c:strCache>
            </c:strRef>
          </c:cat>
          <c:val>
            <c:numRef>
              <c:f>Hoja8!$C$10:$C$17</c:f>
              <c:numCache>
                <c:formatCode>General</c:formatCode>
                <c:ptCount val="8"/>
                <c:pt idx="0">
                  <c:v>132</c:v>
                </c:pt>
                <c:pt idx="1">
                  <c:v>130</c:v>
                </c:pt>
                <c:pt idx="2">
                  <c:v>93</c:v>
                </c:pt>
                <c:pt idx="3">
                  <c:v>72</c:v>
                </c:pt>
                <c:pt idx="4">
                  <c:v>1</c:v>
                </c:pt>
                <c:pt idx="5">
                  <c:v>6</c:v>
                </c:pt>
                <c:pt idx="6">
                  <c:v>4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E7-4818-A749-9826D4F8D7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Hoja8!$A$10:$B$17</c15:sqref>
                  </c15:fullRef>
                  <c15:levelRef>
                    <c15:sqref>Hoja8!$A$10:$A$17</c15:sqref>
                  </c15:levelRef>
                </c:ext>
              </c:extLst>
              <c:f>Hoja8!$A$10:$A$17</c:f>
              <c:strCache>
                <c:ptCount val="8"/>
                <c:pt idx="0">
                  <c:v>JOEL</c:v>
                </c:pt>
                <c:pt idx="1">
                  <c:v>JAVIER</c:v>
                </c:pt>
                <c:pt idx="2">
                  <c:v>JORGE</c:v>
                </c:pt>
                <c:pt idx="3">
                  <c:v>ISRAEL</c:v>
                </c:pt>
                <c:pt idx="4">
                  <c:v>JORGE / ISRAEL</c:v>
                </c:pt>
                <c:pt idx="5">
                  <c:v>JORGE/ JAVIER</c:v>
                </c:pt>
                <c:pt idx="6">
                  <c:v>JOSE LUIS</c:v>
                </c:pt>
                <c:pt idx="7">
                  <c:v>JOEL/ ISRAEL</c:v>
                </c:pt>
              </c:strCache>
            </c:strRef>
          </c:cat>
          <c:val>
            <c:numRef>
              <c:f>Hoja8!$D$10:$D$17</c:f>
              <c:numCache>
                <c:formatCode>"$"#,##0.00</c:formatCode>
                <c:ptCount val="8"/>
                <c:pt idx="0">
                  <c:v>717771.96</c:v>
                </c:pt>
                <c:pt idx="1">
                  <c:v>708143.82000000007</c:v>
                </c:pt>
                <c:pt idx="2">
                  <c:v>1437395.1129999994</c:v>
                </c:pt>
                <c:pt idx="3">
                  <c:v>486128.93000000017</c:v>
                </c:pt>
                <c:pt idx="4">
                  <c:v>95140</c:v>
                </c:pt>
                <c:pt idx="5">
                  <c:v>91938.059999999983</c:v>
                </c:pt>
                <c:pt idx="6">
                  <c:v>11227.3</c:v>
                </c:pt>
                <c:pt idx="7">
                  <c:v>382711.36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E7-4818-A749-9826D4F8D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53228831"/>
        <c:axId val="1753232671"/>
      </c:barChart>
      <c:catAx>
        <c:axId val="17532288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32671"/>
        <c:crosses val="autoZero"/>
        <c:auto val="1"/>
        <c:lblAlgn val="ctr"/>
        <c:lblOffset val="100"/>
        <c:noMultiLvlLbl val="0"/>
      </c:catAx>
      <c:valAx>
        <c:axId val="17532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8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53-4ECB-9D18-F0DD1474C2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53-4ECB-9D18-F0DD1474C2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53-4ECB-9D18-F0DD1474C227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843-44A7-9F14-EC77DACCBC3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A53-4ECB-9D18-F0DD1474C2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A53-4ECB-9D18-F0DD1474C227}"/>
              </c:ext>
            </c:extLst>
          </c:dPt>
          <c:cat>
            <c:multiLvlStrRef>
              <c:f>Hoja8!$A$20:$B$25</c:f>
              <c:multiLvlStrCache>
                <c:ptCount val="6"/>
                <c:lvl>
                  <c:pt idx="0">
                    <c:v>marzo 2026</c:v>
                  </c:pt>
                  <c:pt idx="1">
                    <c:v>marzo 2026</c:v>
                  </c:pt>
                  <c:pt idx="2">
                    <c:v>marzo 2026</c:v>
                  </c:pt>
                  <c:pt idx="3">
                    <c:v>marzo 2026</c:v>
                  </c:pt>
                  <c:pt idx="4">
                    <c:v>marzo 2026</c:v>
                  </c:pt>
                  <c:pt idx="5">
                    <c:v>marzo 2026</c:v>
                  </c:pt>
                </c:lvl>
                <c:lvl>
                  <c:pt idx="0">
                    <c:v>JAVIER</c:v>
                  </c:pt>
                  <c:pt idx="1">
                    <c:v>JORGE</c:v>
                  </c:pt>
                  <c:pt idx="2">
                    <c:v>ISRAEL</c:v>
                  </c:pt>
                  <c:pt idx="3">
                    <c:v>JOEL</c:v>
                  </c:pt>
                  <c:pt idx="4">
                    <c:v>JOEL/ISRAEL</c:v>
                  </c:pt>
                  <c:pt idx="5">
                    <c:v>JORGE / ISRAEL</c:v>
                  </c:pt>
                </c:lvl>
              </c:multiLvlStrCache>
            </c:multiLvlStrRef>
          </c:cat>
          <c:val>
            <c:numRef>
              <c:f>Hoja8!$C$20:$C$25</c:f>
              <c:numCache>
                <c:formatCode>General</c:formatCode>
                <c:ptCount val="6"/>
                <c:pt idx="0">
                  <c:v>141</c:v>
                </c:pt>
                <c:pt idx="1">
                  <c:v>102</c:v>
                </c:pt>
                <c:pt idx="2">
                  <c:v>92</c:v>
                </c:pt>
                <c:pt idx="3">
                  <c:v>145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43-44A7-9F14-EC77DACCBC3D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A53-4ECB-9D18-F0DD1474C2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A53-4ECB-9D18-F0DD1474C2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A53-4ECB-9D18-F0DD1474C2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A53-4ECB-9D18-F0DD1474C2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A53-4ECB-9D18-F0DD1474C2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A53-4ECB-9D18-F0DD1474C227}"/>
              </c:ext>
            </c:extLst>
          </c:dPt>
          <c:cat>
            <c:multiLvlStrRef>
              <c:f>Hoja8!$A$20:$B$25</c:f>
              <c:multiLvlStrCache>
                <c:ptCount val="6"/>
                <c:lvl>
                  <c:pt idx="0">
                    <c:v>marzo 2026</c:v>
                  </c:pt>
                  <c:pt idx="1">
                    <c:v>marzo 2026</c:v>
                  </c:pt>
                  <c:pt idx="2">
                    <c:v>marzo 2026</c:v>
                  </c:pt>
                  <c:pt idx="3">
                    <c:v>marzo 2026</c:v>
                  </c:pt>
                  <c:pt idx="4">
                    <c:v>marzo 2026</c:v>
                  </c:pt>
                  <c:pt idx="5">
                    <c:v>marzo 2026</c:v>
                  </c:pt>
                </c:lvl>
                <c:lvl>
                  <c:pt idx="0">
                    <c:v>JAVIER</c:v>
                  </c:pt>
                  <c:pt idx="1">
                    <c:v>JORGE</c:v>
                  </c:pt>
                  <c:pt idx="2">
                    <c:v>ISRAEL</c:v>
                  </c:pt>
                  <c:pt idx="3">
                    <c:v>JOEL</c:v>
                  </c:pt>
                  <c:pt idx="4">
                    <c:v>JOEL/ISRAEL</c:v>
                  </c:pt>
                  <c:pt idx="5">
                    <c:v>JORGE / ISRAEL</c:v>
                  </c:pt>
                </c:lvl>
              </c:multiLvlStrCache>
            </c:multiLvlStrRef>
          </c:cat>
          <c:val>
            <c:numRef>
              <c:f>Hoja8!$D$20:$D$25</c:f>
              <c:numCache>
                <c:formatCode>"$"#,##0.00</c:formatCode>
                <c:ptCount val="6"/>
                <c:pt idx="0">
                  <c:v>803515.42999999993</c:v>
                </c:pt>
                <c:pt idx="1">
                  <c:v>854357.97000000009</c:v>
                </c:pt>
                <c:pt idx="2">
                  <c:v>492479.1399999999</c:v>
                </c:pt>
                <c:pt idx="3">
                  <c:v>725831.08999999973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43-44A7-9F14-EC77DACCB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76199</xdr:colOff>
      <xdr:row>1</xdr:row>
      <xdr:rowOff>100012</xdr:rowOff>
    </xdr:from>
    <xdr:to>
      <xdr:col>11</xdr:col>
      <xdr:colOff>542924</xdr:colOff>
      <xdr:row>16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F44D1E-342A-9F3F-F318-6C8ACE944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295275</xdr:colOff>
      <xdr:row>16</xdr:row>
      <xdr:rowOff>138112</xdr:rowOff>
    </xdr:from>
    <xdr:to>
      <xdr:col>11</xdr:col>
      <xdr:colOff>295275</xdr:colOff>
      <xdr:row>31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F1ED2E2-58C9-DEEC-A83A-5D0CC1454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666750</xdr:colOff>
      <xdr:row>31</xdr:row>
      <xdr:rowOff>185737</xdr:rowOff>
    </xdr:from>
    <xdr:to>
      <xdr:col>11</xdr:col>
      <xdr:colOff>447675</xdr:colOff>
      <xdr:row>43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3655D1B-08EC-517C-C6D5-69F9B8629A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963706</xdr:colOff>
      <xdr:row>2210</xdr:row>
      <xdr:rowOff>168089</xdr:rowOff>
    </xdr:from>
    <xdr:to>
      <xdr:col>9</xdr:col>
      <xdr:colOff>442676</xdr:colOff>
      <xdr:row>2213</xdr:row>
      <xdr:rowOff>67235</xdr:rowOff>
    </xdr:to>
    <xdr:sp macro="[0]!GenerarReporteChoferes" textlink="">
      <xdr:nvSpPr>
        <xdr:cNvPr id="2" name="CuadroTexto 1">
          <a:extLst>
            <a:ext uri="{FF2B5EF4-FFF2-40B4-BE49-F238E27FC236}">
              <a16:creationId xmlns:a16="http://schemas.microsoft.com/office/drawing/2014/main" id="{FE1842F7-4895-474D-A5C4-8F5327DC035A}"/>
            </a:ext>
          </a:extLst>
        </xdr:cNvPr>
        <xdr:cNvSpPr txBox="1"/>
      </xdr:nvSpPr>
      <xdr:spPr>
        <a:xfrm>
          <a:off x="11788588" y="499961648"/>
          <a:ext cx="1440000" cy="571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tablas5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83343</xdr:colOff>
      <xdr:row>0</xdr:row>
      <xdr:rowOff>190500</xdr:rowOff>
    </xdr:from>
    <xdr:to>
      <xdr:col>2</xdr:col>
      <xdr:colOff>1404936</xdr:colOff>
      <xdr:row>1</xdr:row>
      <xdr:rowOff>190499</xdr:rowOff>
    </xdr:to>
    <xdr:sp macro="[0]!Buscar_Combinado" textlink="">
      <xdr:nvSpPr>
        <xdr:cNvPr id="9" name="CuadroTexto 8">
          <a:extLst>
            <a:ext uri="{FF2B5EF4-FFF2-40B4-BE49-F238E27FC236}">
              <a16:creationId xmlns:a16="http://schemas.microsoft.com/office/drawing/2014/main" id="{7722512F-64B3-4618-A1FA-F492AD7E5016}"/>
            </a:ext>
          </a:extLst>
        </xdr:cNvPr>
        <xdr:cNvSpPr txBox="1"/>
      </xdr:nvSpPr>
      <xdr:spPr>
        <a:xfrm>
          <a:off x="4679156" y="190500"/>
          <a:ext cx="1321593" cy="309562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200">
              <a:latin typeface="Arial Narrow" panose="020B0606020202030204" pitchFamily="34" charset="0"/>
            </a:rPr>
            <a:t>BUSCAR</a:t>
          </a:r>
        </a:p>
      </xdr:txBody>
    </xdr:sp>
    <xdr:clientData/>
  </xdr:twoCellAnchor>
  <xdr:twoCellAnchor>
    <xdr:from>
      <xdr:col>2</xdr:col>
      <xdr:colOff>178594</xdr:colOff>
      <xdr:row>1</xdr:row>
      <xdr:rowOff>273844</xdr:rowOff>
    </xdr:from>
    <xdr:to>
      <xdr:col>2</xdr:col>
      <xdr:colOff>1321595</xdr:colOff>
      <xdr:row>2</xdr:row>
      <xdr:rowOff>261938</xdr:rowOff>
    </xdr:to>
    <xdr:sp macro="[0]!Limpiar_Buscador" textlink="">
      <xdr:nvSpPr>
        <xdr:cNvPr id="11" name="CuadroTexto 10">
          <a:extLst>
            <a:ext uri="{FF2B5EF4-FFF2-40B4-BE49-F238E27FC236}">
              <a16:creationId xmlns:a16="http://schemas.microsoft.com/office/drawing/2014/main" id="{42DBFBE5-668E-43C8-BE6C-61E42A46C6D7}"/>
            </a:ext>
          </a:extLst>
        </xdr:cNvPr>
        <xdr:cNvSpPr txBox="1"/>
      </xdr:nvSpPr>
      <xdr:spPr>
        <a:xfrm>
          <a:off x="4774407" y="583407"/>
          <a:ext cx="1143001" cy="297656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200">
              <a:latin typeface="Arial Narrow" panose="020B0606020202030204" pitchFamily="34" charset="0"/>
            </a:rPr>
            <a:t>BORRAR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9525</xdr:rowOff>
    </xdr:from>
    <xdr:to>
      <xdr:col>5</xdr:col>
      <xdr:colOff>781050</xdr:colOff>
      <xdr:row>2</xdr:row>
      <xdr:rowOff>57150</xdr:rowOff>
    </xdr:to>
    <xdr:sp macro="[0]!CrearDashboard" textlink="">
      <xdr:nvSpPr>
        <xdr:cNvPr id="2" name="CuadroTexto 1">
          <a:extLst>
            <a:ext uri="{FF2B5EF4-FFF2-40B4-BE49-F238E27FC236}">
              <a16:creationId xmlns:a16="http://schemas.microsoft.com/office/drawing/2014/main" id="{EFA92B49-AFB1-3B44-D7DE-A32F8F043BDE}"/>
            </a:ext>
          </a:extLst>
        </xdr:cNvPr>
        <xdr:cNvSpPr txBox="1"/>
      </xdr:nvSpPr>
      <xdr:spPr>
        <a:xfrm>
          <a:off x="9648825" y="200025"/>
          <a:ext cx="7810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DASH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YSTEM/ADMINS/CORP" refreshedDate="46161.505625694444" createdVersion="8" refreshedVersion="8" minRefreshableVersion="3" recordCount="885" xr:uid="{424CCE31-5E73-429D-9630-9589051366DF}">
  <cacheSource type="worksheet">
    <worksheetSource ref="A49:C934" sheet="Hoja8"/>
  </cacheSource>
  <cacheFields count="3">
    <cacheField name="LOCALIDAD" numFmtId="0">
      <sharedItems containsBlank="1" containsMixedTypes="1" containsNumber="1" containsInteger="1" minValue="0" maxValue="6" count="477">
        <s v="SAN AGUSTIN"/>
        <s v="LAZARO CARDENAS"/>
        <s v="CD AZTECA"/>
        <s v="XALOSTOC"/>
        <s v="SAN JUAN DE ARAGON"/>
        <s v="EJIDOS DE SAN CRISTOBAL"/>
        <s v="CASAS ALEMAN"/>
        <s v="JARDINES DE SANTA CLARA"/>
        <s v="PLAZAS DE ARAGON"/>
        <s v="CODICE MENDOCINO"/>
        <s v="JARDINES DE MORELOS"/>
        <s v="SAGITARIO"/>
        <s v="TOLOTZIN"/>
        <s v="VALLE DE ARAGON"/>
        <s v="EJE 8"/>
        <s v="JUAN GONZALEZ ROMERO"/>
        <s v="JORGE JIMENEZ CANTU"/>
        <s v="EL SOL"/>
        <s v="GRANJAS VALLE"/>
        <s v="SANTA ISABEL TOLA"/>
        <s v="SAN PEDRO XALOSTOC"/>
        <s v="SAN FELIPE DE JESUS"/>
        <s v="JOSE LUIS ZOLORZANO"/>
        <s v="TEXALPA"/>
        <s v="LOMAS DE SAN CARLOS"/>
        <s v="SANTA CLARA"/>
        <s v="RIO DE LUZ"/>
        <s v="JARDINES DE CERRO GORDO"/>
        <s v="PRIZO"/>
        <s v="TLALNEPANTLA"/>
        <s v="SAN JUAN IXHUATEPEC"/>
        <s v="CERRO GORDO"/>
        <s v="S/DIRECCION"/>
        <s v="PEDRO OJEDA"/>
        <s v="CHAMIZALITO"/>
        <s v="VASCO DE QUIROGA"/>
        <s v="TEOTIHUACAN"/>
        <s v="ALTAVILLA"/>
        <s v="BELLAVISTA"/>
        <s v="CHAMIZAL"/>
        <s v="PROVIDENCIA"/>
        <s v="ETEN"/>
        <s v="TULPETLAC"/>
        <s v="HEROES TECAMAC"/>
        <s v="MARTIN CARRERA"/>
        <s v="SAN PEDRO XALPA"/>
        <s v="IMPULSORA OLIVO"/>
        <s v="GUADALUPE VICTORIA"/>
        <s v="TEPALCATES"/>
        <s v="TONATITLA"/>
        <s v="PUERTA GRANDE"/>
        <s v="SAUCES"/>
        <s v="TABLAS DEL POZO"/>
        <s v="LA FLORIDA"/>
        <s v="LINDAVISTA"/>
        <s v="NEZAHUALCOYOTL"/>
        <s v="FRANCISCO VILLA"/>
        <s v="JARDINES DEL TEPEYAC"/>
        <s v="EMILIANO ZAPATA"/>
        <s v="CEGOR"/>
        <s v="ZUMPANGO"/>
        <s v="DIVISION DEL NORTE"/>
        <s v="PRADOS DE ARAGON"/>
        <s v="ACULCO"/>
        <s v="RIO DE LOS REMEDIOS"/>
        <s v="NUEVA ATZACOALCO"/>
        <s v="MEXICO INSURGENTE"/>
        <s v="CTM"/>
        <s v="PERIFERICO SUR"/>
        <s v="AMP BUENAVISTA"/>
        <s v="SANTIAGO ATZACOALCO"/>
        <s v="JARDINES DE GUADALUPE"/>
        <s v="EL SALADO"/>
        <s v="COACALCO"/>
        <s v="SAN JUAN ALCAHUACAN"/>
        <s v="LA FRAGUA"/>
        <s v="ADOLFO LOPEZ MATEOS"/>
        <s v="AMPLIACION CASTILLO"/>
        <s v="URBANA IXHUATEPEC"/>
        <s v="EL RANCHITO"/>
        <s v="XALPA"/>
        <s v="COLONIA INDUSTRIAL"/>
        <s v="CONSTITUCION DE 1917"/>
        <s v="CONSTITUCION DE 1918"/>
        <s v="LAS FUENTES"/>
        <s v="TEXCOCO"/>
        <s v="VILLA DE LAS FLORES"/>
        <s v="TEPEYAC INSURGENTE"/>
        <s v="MANUEL RINCON"/>
        <s v="CARLOS HANK GONZALEZ"/>
        <s v="MUZQUIZ"/>
        <s v="GRANJAS VALLE DE GUADALUPE"/>
        <s v="CTM ECATEPEC"/>
        <s v="HEROES DE INDEPENDENCIA"/>
        <s v="ARAGON"/>
        <s v="VERGEL DE GUADALUPE"/>
        <s v="SAN PABLO DE LAS SALINAS TULTITLAN"/>
        <s v="CAMPIÑA DE ARAGON"/>
        <s v="EL TESORO TULTITLAN"/>
        <s v="ZACUAUTITLAN"/>
        <s v="TLATEMPA"/>
        <s v="ARBOLEDAS DE ARAGON"/>
        <s v="TULTITLAN"/>
        <s v="CONSTITUCION"/>
        <s v="PLAZAS DE SANTA CLARA"/>
        <s v="ALMARCINGO SUR"/>
        <s v="MODELO"/>
        <s v="VERONICA ANZURES"/>
        <s v="LOMAS DE TEPEOLULCO"/>
        <s v="IZTAPALAPA"/>
        <s v="LA LAGUNA"/>
        <s v="CONSTITUCION DE LA REPUBLICA"/>
        <s v="VALLE DE ANAHUAC"/>
        <s v="LAS VEGAS"/>
        <s v="JORGE NEGRETE"/>
        <s v="IMPULSORA"/>
        <s v="VIVEROS XALOSTOC"/>
        <s v="NUEVO LAREDO"/>
        <s v="OLIMPICA"/>
        <s v="VIDRIO PLANO"/>
        <s v="ZACATENCO"/>
        <s v="SANTIAGO ZACUALUCA"/>
        <s v="HEROES DE LA INDEPENDENCIA"/>
        <s v="LA PRADERA"/>
        <s v="CONTITUCION DE 1917"/>
        <s v="CONTITUCION DE 1918"/>
        <s v="GALICIA"/>
        <s v="CAMPESTRE GUADALUPANA"/>
        <s v="POTRRO DEL REY"/>
        <s v="FUENTES DE ECATEPEC"/>
        <s v="LOS BORDOS"/>
        <s v="PRADERA"/>
        <s v="GUSTAVO BAZ"/>
        <s v="DIVISON DEL NORTE"/>
        <s v="TULIPAN"/>
        <s v="SAN CARLOS"/>
        <s v="TECAMAC"/>
        <s v="VILLAS DE GUADALUPE"/>
        <s v="POLIGONO"/>
        <s v="MEXICO COLONIAL"/>
        <s v="TULTEPEC"/>
        <s v="ACOLMAN"/>
        <s v="MARINA NACINAL"/>
        <s v="LAS AMERICAS"/>
        <s v="MELCHOR OCAMPO"/>
        <s v="JOSE LOPEZ PORTILLO 156"/>
        <s v="VICENTE GUERRERO"/>
        <s v="BUENAVISTA"/>
        <s v="PRADOS DE EUCALIPTO"/>
        <s v="TULPETLAC TEXALPA"/>
        <s v="NUEVA ARAGON"/>
        <s v="JARDINES DE ARAGON"/>
        <s v="RIO BLANCO"/>
        <s v="VIVEROS TULPETLAC"/>
        <s v="MIGUEL HIDALGO"/>
        <s v="POTRERO DEL REY"/>
        <s v="ATZACOALCO"/>
        <s v="LA PROVIDENCIA"/>
        <s v="ARAGON 4TA SECCION"/>
        <s v="SAN FELIPE"/>
        <s v="GERTRDIS SANCHEZ"/>
        <s v="GRANJAS INDEPENCDENCIA"/>
        <s v="EL SALADO XALOSTOC"/>
        <s v="TERMOELECTRICA"/>
        <s v="AZCAPOTZALCO"/>
        <s v="VILLA DE GUADALUPE"/>
        <s v="LA PALMA"/>
        <s v="MAGDALENA CONTRERAS"/>
        <s v="CARACOLES"/>
        <s v="AV CENTRAL"/>
        <s v="SEGOR"/>
        <s v="SAN PABLO TEXCOCO"/>
        <s v="ALMARCINGO"/>
        <s v="SANTA CLARA ECATEPEC"/>
        <s v="NOVELA MEXICANA"/>
        <s v="POESIA MEXICANA"/>
        <s v="ANTIGUO CAMINO A LOMA DEL CARMEN"/>
        <s v="POLIGONO 5"/>
        <s v="GERTRUDIS SANCHEZ"/>
        <s v="PIEDRA GRANDE"/>
        <s v="CAMPESTRE ARAGON"/>
        <s v="GRANJAS INDEPENDENCIA"/>
        <s v="CHICONAUTLA"/>
        <s v="VILLA DE ARAGON"/>
        <s v="BOULEVARD DE LOS AZTECAS"/>
        <s v="NVA ATZACOALCO"/>
        <s v="TLANEPANTLA"/>
        <s v="LA PRESA"/>
        <s v="VALLE DE GUADIANA"/>
        <s v="REAL DEL VALLE"/>
        <s v="SAN PEDRO EL CHICO"/>
        <s v="HANK GONZALEZ"/>
        <s v="VENUSTIANO CARRANZA"/>
        <s v="BENITO JUAREZ NEZA"/>
        <s v="BENITO JUAREZ"/>
        <s v="GABRIEL HERNANDEZ"/>
        <s v="VALLE DE ECATEPEC"/>
        <s v="HUIXQUILUCAN"/>
        <s v="NVA TENOCHTITLAN"/>
        <s v="MALINCHE"/>
        <s v="PROGRESO NACIONAL"/>
        <s v="SANTO TOMAS CHICONAUTLA"/>
        <s v="SAN PEDRO ATZOMPA"/>
        <s v="HEROES DE INDEPENCDEIA"/>
        <s v="JARDINES DE SAN GABRIEL"/>
        <s v="INDUSTRIAS TULPETLAC"/>
        <s v="SANTA CLARA COATITLA"/>
        <s v="SANTA MARIA XALOSTOC"/>
        <s v="ALVARO OBREGON"/>
        <s v="AMPLIACION MENDOCINO"/>
        <s v="SAGIATRIO"/>
        <s v="BUENAVISTA ECATEPEC"/>
        <s v="CERRO MARIANA"/>
        <s v="VALLE  DE ARGON"/>
        <s v="OTUMBA"/>
        <s v="EL SEGOR"/>
        <s v="EJIDOS DE TULPETLAC"/>
        <s v="EL TENAYO"/>
        <s v="SAN JOSE TEXOPA"/>
        <s v="DEFENSORES DE LA REPUBLICA"/>
        <s v="JORGE  JIMENEZ CANTU"/>
        <s v="EL CHAMIZAL"/>
        <s v="CUAUTITLAN IZCALLI"/>
        <s v="INDUSTRIAS ECATEPEC"/>
        <s v="ZAPATA"/>
        <s v="CAMPRESTRE GUADALUPANA"/>
        <s v="SANTA CATARINA"/>
        <s v="PRO HOGAR"/>
        <s v="LOMAS DE LINDAVISTA"/>
        <s v="JIMENEZ CANTU"/>
        <s v="RUSTICA XALOSTOC"/>
        <s v="JOSE ANTOINIO TORRES"/>
        <s v="OLIVIA CABRERA"/>
        <s v="PLAZA ARAGON"/>
        <n v="0"/>
        <s v="SAN JOSE XALOSTOC"/>
        <s v="ZONA ESCOLAR"/>
        <s v="IMPÚLSORA"/>
        <s v="OTTONIEL"/>
        <s v="SAN PABLO DE LAS SALINAS"/>
        <s v="XALPA IZTAPALAPA"/>
        <s v="SANTA MARIA LA RIBERA"/>
        <s v="EJIDOS DE SAN ANDRES"/>
        <s v="LINDA VISTA"/>
        <s v="EDUARDO MOLINA"/>
        <s v="SALVADOR DIAZ MIRON"/>
        <s v="CERRO PRIETO"/>
        <s v="ESTRELLA"/>
        <s v="VILLA DE GUADALUPE  XALOSTOC"/>
        <s v="AMPLIACION PROVIDENCIA"/>
        <s v="STA CLARA"/>
        <s v="COSTITUCION DE 1917"/>
        <s v="VALLE DE TEPEYAC"/>
        <s v="VALLE DE GUADALUPE"/>
        <s v="SAUCES COALICION"/>
        <s v="GAM"/>
        <s v="EJE 9"/>
        <s v="LOMAS DE SANTA CLARA"/>
        <s v="JARDINES DE TEPEYAC"/>
        <s v="TAXQUEÑA"/>
        <s v="LA ESPERANZA"/>
        <s v="AMPLIACION CODICE"/>
        <s v="PENON VIEJO"/>
        <s v="SALVADOR SANCHEZ"/>
        <s v="VILLA HERMOSA"/>
        <s v="COLONIA 23"/>
        <s v="COLONIA 24"/>
        <s v="LOS REYES IZTACALA"/>
        <s v="COSNTITUCION DE 1917"/>
        <s v="GRANJAS MEXICO AZCAPOTZALCO"/>
        <s v="JOSEFA ORTIZ DE DOMINGUEZ"/>
        <s v="NEZA"/>
        <s v="JUAN ESCUTIA IZTAPALAPA"/>
        <s v="CERRO DE LA CALAVERA"/>
        <s v="JARDINES DE CASA NUEVA"/>
        <s v="VALLE DE RAGON"/>
        <s v="POLIGONO 3"/>
        <s v="SAGITARIO 4"/>
        <s v="CUAUHTEMOC"/>
        <s v="MARINA NACIONAL"/>
        <s v="CADONAL XALOSTOC"/>
        <s v="CHAMIZAL ECATEPEC"/>
        <s v="CAMPESTRE"/>
        <s v="SANTA MARIA TULPETLAC"/>
        <s v="POPÚLAR"/>
        <s v="CHIMALPOPOCA"/>
        <s v="FAJA DE ORO"/>
        <s v="EMIIANO ZAPATA"/>
        <s v="LOS HEROES TECAMAC"/>
        <s v="LA CHIRIPA SAN CRISTOBAL"/>
        <s v="TEPEOLULCO"/>
        <s v="HUEXOTLA"/>
        <s v="POLANCO"/>
        <s v="LOPEZ PORTILLO"/>
        <s v="SAN CRISTOBAL"/>
        <s v="GERTRUDIZ SANCHEZ"/>
        <s v="SAN MARTIN TULTEPEC"/>
        <s v="GUERRERO"/>
        <s v="GUSTAVO A MADERO"/>
        <s v="SAN JUAN IXUHATEPEC"/>
        <s v="GEOVILLAS DE TERRANOVA"/>
        <s v="HACIENDA DE MAYRAZGO"/>
        <s v="PRIMERO DE MAYO"/>
        <s v="LAS FUENTES ECATEPEC"/>
        <s v="LOMAS DE TLALNEPANTLA"/>
        <m/>
        <s v="SAN AGUSTIN 2DA"/>
        <s v="CUANALAN ACOLMAN"/>
        <s v="BOSQUES DE ARAGON"/>
        <s v="COLONIA CHAMIZAL"/>
        <s v="TULPTETLAC"/>
        <s v="EL GALLITO"/>
        <s v="EJIDOS DE SAN CRSITOBAL"/>
        <s v="CUCHILLA"/>
        <s v="GRANJAS DE ECATEPEC"/>
        <s v="SAN SALVADOR XOCHIMANCA"/>
        <s v="AMPLIACION BENITO JUAREZ"/>
        <s v="LUIS DOALDO COLOSIO"/>
        <s v="COSMOPOL"/>
        <s v="MOCTEZUMA V CARRANZA"/>
        <s v="AGUITA"/>
        <s v="PASEOS DEL BOSQUE"/>
        <s v="LLANO DE LOS BAEZ"/>
        <s v="GABRIEL HERNANEZ"/>
        <s v="MEXICO COLONIA"/>
        <s v="VALLE DE HUDSON"/>
        <s v="AMPLIACION TESORO"/>
        <s v="AV MEXICO"/>
        <s v="SATA MARIA TULPETLAC"/>
        <s v="ATEPEHUACAN GAM"/>
        <s v="TEOCALLIS"/>
        <s v="RANCHO LA PALMA"/>
        <s v="SAN AGUSTIN SUR"/>
        <s v="JARDINES TEPEYAC"/>
        <s v="CALLE 7"/>
        <s v="CALLE CENTRAL"/>
        <s v="TEXOPA TEXCOCO"/>
        <s v="JARINES DE GUADSLUPE"/>
        <s v="ZACUALUCA"/>
        <s v="JORGE JIMENEZ CANRU"/>
        <s v="SANTA PRISCA"/>
        <s v="PRO REVOLUCION"/>
        <s v="CAPULTITLAN"/>
        <s v="LA PURISIMA TICOMAN"/>
        <s v="ETEN LINDAVISTA"/>
        <s v="MERCADO LAS FUENTES"/>
        <s v="POPULAR ECATEPEC"/>
        <s v="LAURELES"/>
        <s v="PLAZAS DESANTA CLARA"/>
        <s v="JULIA MARIN"/>
        <s v="BARRIO SANTA CRUZ"/>
        <s v="SAUCES 1"/>
        <s v="VALLE ARAGON"/>
        <s v="PROVIDENCA"/>
        <s v="JARDINES DE CERRO GRODO"/>
        <s v="SAN JUAN HIXHUTEPEC"/>
        <s v="FUENTES DE ARAGON"/>
        <s v="PEÑON DE LOS BAÑOS"/>
        <s v="MOCTEZUMA 2 DA SECCION"/>
        <s v="RECURSOS HIDRAHULICOS"/>
        <s v="SANTA MARIA TULANTONGO"/>
        <s v="VIENTO NUEVO"/>
        <s v="SAN JOSE DE LA ESCALERA"/>
        <s v="MOCTEZUMA"/>
        <s v="EL ARBOL"/>
        <s v="CALLE VENUSTIANO CARRANZA"/>
        <s v="FORESTAL"/>
        <s v="CAMPESTE ARAGON"/>
        <s v="25 DE JULIO"/>
        <s v="VIVEROS DE  TULPETLAC"/>
        <s v="SAN ANDRES DE LA CAÑADA"/>
        <s v="NIÑO JESUS"/>
        <s v="SAN FRANCISCO"/>
        <s v="LUIS DONALDO COLOSIO"/>
        <s v="SAGITARIO 8"/>
        <s v="TEXALPA ECATEPEC"/>
        <s v="ZACUATLITLA COACALCO"/>
        <s v="JOAQUIN GARCIA LUNA"/>
        <s v="CENTRO HISTORICO"/>
        <s v="OJO DE AGUA"/>
        <s v="OBRERO"/>
        <s v="ATIZAPAN DE ZARAGOZA"/>
        <s v="LA JOYA ECATEPEC"/>
        <s v="JAJALPA"/>
        <n v="6"/>
        <s v="ESTRELLA DE ORIENTE"/>
        <s v="POLIGONOS"/>
        <s v="VILLAS DE XALOSTOC"/>
        <s v="ATLAMPA"/>
        <s v="SAN ISIDRO IXHUATEPEC"/>
        <s v="CANAL DEL DESFOGUE"/>
        <s v="LA JOYITA"/>
        <s v="PURISIMA"/>
        <s v="EL CHARCO"/>
        <s v="METRO CARRERA"/>
        <s v="LOS ALAMOS"/>
        <s v="EUZKADI"/>
        <s v="SAN FRANCISCO XALOSTOC"/>
        <s v="LA ESTRELLA"/>
        <s v="CHICONCUAC"/>
        <s v="PEÑON TEXCOCO"/>
        <s v="BOSQUES DE LAS LOMAS"/>
        <s v="MEXICO PREHISPANICO"/>
        <s v="CERRADA DE INDEPENDENCIA"/>
        <s v="LA LAGUNA TICOMAN"/>
        <s v="CASTILLO GRANDE"/>
        <s v="LAS ANTENAS"/>
        <s v="TICOMAN"/>
        <s v="SOLIDARIDAD 90"/>
        <s v="MELCHOR MUZQUIZ"/>
        <s v="VALLE DE SANTIAGO"/>
        <s v="LA CRUZ IZTACALCO"/>
        <s v="GUADALQUIVIR"/>
        <s v="CUITLAHUAC"/>
        <s v="RESIDENCIAL ACUEDUCTO"/>
        <s v="SAGITARIO 10"/>
        <s v="JOSE ANTONIO TORRES"/>
        <s v="GRANJAS MODERNAS"/>
        <s v="LA FRAGUA COLONIA TABACALERA"/>
        <s v="PASEOS DE CHURUBUSCO"/>
        <s v="PURISIMA TICOMAN"/>
        <s v="COCOYOTES"/>
        <s v="ROMA NORTE"/>
        <s v="LOMAS DE SAN JUAN IXHUATEPEC"/>
        <s v="ZONA ECOLAR CUAUTEPEC"/>
        <s v="LOMAS DE SAN JUAN IXHUASTEPEC"/>
        <s v="JARDINES DE CASANUEVA"/>
        <s v="ALFREDO DEL MAZO"/>
        <s v="CAPULITLAN"/>
        <s v="JUAN GONZALES ROMERO"/>
        <s v="NUEVO TULTITLAN"/>
        <s v="MARIO COLIN"/>
        <s v="VALLEJO"/>
        <s v="JARDINES DE XALOSTOC"/>
        <s v="AMPLIACION LAZARO CARDENAS"/>
        <s v="DIVICION DEL NORTE"/>
        <s v="HURBANA IXHUASTEPEC"/>
        <s v="ALMARCIGO SUR"/>
        <s v="VISTA HERMOSA TLALNEPANTLA"/>
        <s v="EJIDO DE TEQUISITLAN"/>
        <s v="EL RISCO"/>
        <s v="PRADOS DE XALOSTOC"/>
        <s v="VIVEROS DE TULPETLAC"/>
        <s v="COYUCA"/>
        <s v="PASEO DE SAN AGUSTIN"/>
        <s v="PROGRESO DE LA UNION"/>
        <s v="VALLE DEL NIÑO"/>
        <s v="XOCONTECATL"/>
        <s v="XICONTECATL"/>
        <s v="VILLA DE LAS FLORE"/>
        <s v="BOSQUES DEL VALLE"/>
        <s v="CHALMA DE GUADALUPE"/>
        <s v="LA ESMERALDA"/>
        <s v="BARRERA"/>
        <s v="SAN PABLO TECALCO"/>
        <s v="LA LAGUNA CHICONAUTLA"/>
        <s v="SANTA CLARA SUTERM"/>
        <s v="INDUSTRIAL VALLEJO"/>
        <s v="SAN PEDRO ZACATENCO"/>
        <s v="JARDINES DE GUEDALUPE"/>
        <s v="EJIDOS TULPETLAC"/>
        <s v="JARDINES DE STA CLARA"/>
        <s v="SAN PABLO TEAALCO"/>
        <s v="SANTA ISABEL"/>
        <s v="ALTLAMPA"/>
        <s v="VILLA DE GUADARQUIVIL"/>
        <s v="VILLA DE GUADALUPE XALOSTOC"/>
        <s v="GRANJAS POPULARES"/>
        <s v="HURBANIA IXHUASTEPEC"/>
        <s v="MEXIHUILUYA"/>
        <s v="SAN CARLOS CANTERA"/>
        <s v="AV JUAREZ"/>
        <s v="VALLE DE GIADALQUIVIL"/>
        <s v="SAGITARIO 1"/>
        <s v="POLIGONOS 5"/>
        <s v="TABACALERA"/>
        <s v="JOSEFA ORTIZ"/>
      </sharedItems>
    </cacheField>
    <cacheField name="MES" numFmtId="0">
      <sharedItems count="6">
        <s v="abril 2026"/>
        <s v="enero 2026"/>
        <s v="febrero 2026"/>
        <s v="julio 2026"/>
        <s v="marzo 2026"/>
        <s v="mayo 2026"/>
      </sharedItems>
    </cacheField>
    <cacheField name="MOVIMIENTOS" numFmtId="0">
      <sharedItems containsSemiMixedTypes="0" containsString="0" containsNumber="1" containsInteger="1" minValue="1" maxValue="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5">
  <r>
    <x v="0"/>
    <x v="0"/>
    <n v="22"/>
  </r>
  <r>
    <x v="1"/>
    <x v="0"/>
    <n v="17"/>
  </r>
  <r>
    <x v="2"/>
    <x v="0"/>
    <n v="16"/>
  </r>
  <r>
    <x v="3"/>
    <x v="0"/>
    <n v="16"/>
  </r>
  <r>
    <x v="4"/>
    <x v="0"/>
    <n v="12"/>
  </r>
  <r>
    <x v="5"/>
    <x v="0"/>
    <n v="12"/>
  </r>
  <r>
    <x v="6"/>
    <x v="0"/>
    <n v="11"/>
  </r>
  <r>
    <x v="7"/>
    <x v="0"/>
    <n v="9"/>
  </r>
  <r>
    <x v="8"/>
    <x v="0"/>
    <n v="9"/>
  </r>
  <r>
    <x v="9"/>
    <x v="0"/>
    <n v="9"/>
  </r>
  <r>
    <x v="10"/>
    <x v="0"/>
    <n v="8"/>
  </r>
  <r>
    <x v="11"/>
    <x v="0"/>
    <n v="8"/>
  </r>
  <r>
    <x v="12"/>
    <x v="0"/>
    <n v="8"/>
  </r>
  <r>
    <x v="13"/>
    <x v="0"/>
    <n v="8"/>
  </r>
  <r>
    <x v="14"/>
    <x v="0"/>
    <n v="8"/>
  </r>
  <r>
    <x v="15"/>
    <x v="0"/>
    <n v="8"/>
  </r>
  <r>
    <x v="16"/>
    <x v="0"/>
    <n v="7"/>
  </r>
  <r>
    <x v="17"/>
    <x v="0"/>
    <n v="7"/>
  </r>
  <r>
    <x v="18"/>
    <x v="0"/>
    <n v="6"/>
  </r>
  <r>
    <x v="19"/>
    <x v="0"/>
    <n v="6"/>
  </r>
  <r>
    <x v="20"/>
    <x v="0"/>
    <n v="6"/>
  </r>
  <r>
    <x v="21"/>
    <x v="0"/>
    <n v="6"/>
  </r>
  <r>
    <x v="22"/>
    <x v="0"/>
    <n v="6"/>
  </r>
  <r>
    <x v="23"/>
    <x v="0"/>
    <n v="6"/>
  </r>
  <r>
    <x v="24"/>
    <x v="0"/>
    <n v="6"/>
  </r>
  <r>
    <x v="25"/>
    <x v="0"/>
    <n v="5"/>
  </r>
  <r>
    <x v="26"/>
    <x v="0"/>
    <n v="5"/>
  </r>
  <r>
    <x v="27"/>
    <x v="0"/>
    <n v="5"/>
  </r>
  <r>
    <x v="28"/>
    <x v="0"/>
    <n v="5"/>
  </r>
  <r>
    <x v="29"/>
    <x v="0"/>
    <n v="5"/>
  </r>
  <r>
    <x v="30"/>
    <x v="0"/>
    <n v="5"/>
  </r>
  <r>
    <x v="31"/>
    <x v="0"/>
    <n v="5"/>
  </r>
  <r>
    <x v="32"/>
    <x v="0"/>
    <n v="5"/>
  </r>
  <r>
    <x v="33"/>
    <x v="0"/>
    <n v="5"/>
  </r>
  <r>
    <x v="34"/>
    <x v="0"/>
    <n v="4"/>
  </r>
  <r>
    <x v="35"/>
    <x v="0"/>
    <n v="4"/>
  </r>
  <r>
    <x v="36"/>
    <x v="0"/>
    <n v="4"/>
  </r>
  <r>
    <x v="37"/>
    <x v="0"/>
    <n v="4"/>
  </r>
  <r>
    <x v="38"/>
    <x v="0"/>
    <n v="4"/>
  </r>
  <r>
    <x v="39"/>
    <x v="0"/>
    <n v="4"/>
  </r>
  <r>
    <x v="40"/>
    <x v="0"/>
    <n v="4"/>
  </r>
  <r>
    <x v="41"/>
    <x v="0"/>
    <n v="4"/>
  </r>
  <r>
    <x v="42"/>
    <x v="0"/>
    <n v="4"/>
  </r>
  <r>
    <x v="43"/>
    <x v="0"/>
    <n v="4"/>
  </r>
  <r>
    <x v="44"/>
    <x v="0"/>
    <n v="4"/>
  </r>
  <r>
    <x v="45"/>
    <x v="0"/>
    <n v="4"/>
  </r>
  <r>
    <x v="46"/>
    <x v="0"/>
    <n v="4"/>
  </r>
  <r>
    <x v="47"/>
    <x v="0"/>
    <n v="4"/>
  </r>
  <r>
    <x v="48"/>
    <x v="0"/>
    <n v="4"/>
  </r>
  <r>
    <x v="49"/>
    <x v="0"/>
    <n v="4"/>
  </r>
  <r>
    <x v="50"/>
    <x v="0"/>
    <n v="4"/>
  </r>
  <r>
    <x v="51"/>
    <x v="0"/>
    <n v="3"/>
  </r>
  <r>
    <x v="52"/>
    <x v="0"/>
    <n v="3"/>
  </r>
  <r>
    <x v="53"/>
    <x v="0"/>
    <n v="3"/>
  </r>
  <r>
    <x v="54"/>
    <x v="0"/>
    <n v="3"/>
  </r>
  <r>
    <x v="55"/>
    <x v="0"/>
    <n v="3"/>
  </r>
  <r>
    <x v="56"/>
    <x v="0"/>
    <n v="3"/>
  </r>
  <r>
    <x v="57"/>
    <x v="0"/>
    <n v="3"/>
  </r>
  <r>
    <x v="58"/>
    <x v="0"/>
    <n v="3"/>
  </r>
  <r>
    <x v="59"/>
    <x v="0"/>
    <n v="3"/>
  </r>
  <r>
    <x v="60"/>
    <x v="0"/>
    <n v="3"/>
  </r>
  <r>
    <x v="61"/>
    <x v="0"/>
    <n v="3"/>
  </r>
  <r>
    <x v="62"/>
    <x v="0"/>
    <n v="3"/>
  </r>
  <r>
    <x v="63"/>
    <x v="0"/>
    <n v="2"/>
  </r>
  <r>
    <x v="64"/>
    <x v="0"/>
    <n v="2"/>
  </r>
  <r>
    <x v="65"/>
    <x v="0"/>
    <n v="2"/>
  </r>
  <r>
    <x v="66"/>
    <x v="0"/>
    <n v="2"/>
  </r>
  <r>
    <x v="67"/>
    <x v="0"/>
    <n v="2"/>
  </r>
  <r>
    <x v="68"/>
    <x v="0"/>
    <n v="2"/>
  </r>
  <r>
    <x v="69"/>
    <x v="0"/>
    <n v="2"/>
  </r>
  <r>
    <x v="70"/>
    <x v="0"/>
    <n v="2"/>
  </r>
  <r>
    <x v="71"/>
    <x v="0"/>
    <n v="2"/>
  </r>
  <r>
    <x v="72"/>
    <x v="0"/>
    <n v="2"/>
  </r>
  <r>
    <x v="73"/>
    <x v="0"/>
    <n v="2"/>
  </r>
  <r>
    <x v="74"/>
    <x v="0"/>
    <n v="2"/>
  </r>
  <r>
    <x v="75"/>
    <x v="0"/>
    <n v="2"/>
  </r>
  <r>
    <x v="76"/>
    <x v="0"/>
    <n v="2"/>
  </r>
  <r>
    <x v="77"/>
    <x v="0"/>
    <n v="2"/>
  </r>
  <r>
    <x v="78"/>
    <x v="0"/>
    <n v="2"/>
  </r>
  <r>
    <x v="79"/>
    <x v="0"/>
    <n v="2"/>
  </r>
  <r>
    <x v="80"/>
    <x v="0"/>
    <n v="2"/>
  </r>
  <r>
    <x v="81"/>
    <x v="0"/>
    <n v="2"/>
  </r>
  <r>
    <x v="82"/>
    <x v="0"/>
    <n v="2"/>
  </r>
  <r>
    <x v="83"/>
    <x v="0"/>
    <n v="2"/>
  </r>
  <r>
    <x v="84"/>
    <x v="0"/>
    <n v="2"/>
  </r>
  <r>
    <x v="85"/>
    <x v="0"/>
    <n v="2"/>
  </r>
  <r>
    <x v="86"/>
    <x v="0"/>
    <n v="2"/>
  </r>
  <r>
    <x v="87"/>
    <x v="0"/>
    <n v="2"/>
  </r>
  <r>
    <x v="88"/>
    <x v="0"/>
    <n v="2"/>
  </r>
  <r>
    <x v="89"/>
    <x v="0"/>
    <n v="2"/>
  </r>
  <r>
    <x v="90"/>
    <x v="0"/>
    <n v="2"/>
  </r>
  <r>
    <x v="91"/>
    <x v="0"/>
    <n v="2"/>
  </r>
  <r>
    <x v="92"/>
    <x v="0"/>
    <n v="2"/>
  </r>
  <r>
    <x v="93"/>
    <x v="0"/>
    <n v="2"/>
  </r>
  <r>
    <x v="94"/>
    <x v="0"/>
    <n v="2"/>
  </r>
  <r>
    <x v="95"/>
    <x v="0"/>
    <n v="2"/>
  </r>
  <r>
    <x v="96"/>
    <x v="0"/>
    <n v="2"/>
  </r>
  <r>
    <x v="97"/>
    <x v="0"/>
    <n v="2"/>
  </r>
  <r>
    <x v="98"/>
    <x v="0"/>
    <n v="2"/>
  </r>
  <r>
    <x v="99"/>
    <x v="0"/>
    <n v="2"/>
  </r>
  <r>
    <x v="100"/>
    <x v="0"/>
    <n v="2"/>
  </r>
  <r>
    <x v="101"/>
    <x v="0"/>
    <n v="2"/>
  </r>
  <r>
    <x v="102"/>
    <x v="0"/>
    <n v="2"/>
  </r>
  <r>
    <x v="103"/>
    <x v="0"/>
    <n v="1"/>
  </r>
  <r>
    <x v="104"/>
    <x v="0"/>
    <n v="1"/>
  </r>
  <r>
    <x v="105"/>
    <x v="0"/>
    <n v="1"/>
  </r>
  <r>
    <x v="106"/>
    <x v="0"/>
    <n v="1"/>
  </r>
  <r>
    <x v="107"/>
    <x v="0"/>
    <n v="1"/>
  </r>
  <r>
    <x v="108"/>
    <x v="0"/>
    <n v="1"/>
  </r>
  <r>
    <x v="109"/>
    <x v="0"/>
    <n v="1"/>
  </r>
  <r>
    <x v="110"/>
    <x v="0"/>
    <n v="1"/>
  </r>
  <r>
    <x v="111"/>
    <x v="0"/>
    <n v="1"/>
  </r>
  <r>
    <x v="112"/>
    <x v="0"/>
    <n v="1"/>
  </r>
  <r>
    <x v="113"/>
    <x v="0"/>
    <n v="1"/>
  </r>
  <r>
    <x v="114"/>
    <x v="0"/>
    <n v="1"/>
  </r>
  <r>
    <x v="115"/>
    <x v="0"/>
    <n v="1"/>
  </r>
  <r>
    <x v="116"/>
    <x v="0"/>
    <n v="1"/>
  </r>
  <r>
    <x v="117"/>
    <x v="0"/>
    <n v="1"/>
  </r>
  <r>
    <x v="118"/>
    <x v="0"/>
    <n v="1"/>
  </r>
  <r>
    <x v="119"/>
    <x v="0"/>
    <n v="1"/>
  </r>
  <r>
    <x v="120"/>
    <x v="0"/>
    <n v="1"/>
  </r>
  <r>
    <x v="121"/>
    <x v="0"/>
    <n v="1"/>
  </r>
  <r>
    <x v="122"/>
    <x v="0"/>
    <n v="1"/>
  </r>
  <r>
    <x v="123"/>
    <x v="0"/>
    <n v="1"/>
  </r>
  <r>
    <x v="124"/>
    <x v="0"/>
    <n v="1"/>
  </r>
  <r>
    <x v="125"/>
    <x v="0"/>
    <n v="1"/>
  </r>
  <r>
    <x v="126"/>
    <x v="0"/>
    <n v="1"/>
  </r>
  <r>
    <x v="127"/>
    <x v="0"/>
    <n v="1"/>
  </r>
  <r>
    <x v="128"/>
    <x v="0"/>
    <n v="1"/>
  </r>
  <r>
    <x v="129"/>
    <x v="0"/>
    <n v="1"/>
  </r>
  <r>
    <x v="130"/>
    <x v="0"/>
    <n v="1"/>
  </r>
  <r>
    <x v="131"/>
    <x v="0"/>
    <n v="1"/>
  </r>
  <r>
    <x v="132"/>
    <x v="0"/>
    <n v="1"/>
  </r>
  <r>
    <x v="133"/>
    <x v="0"/>
    <n v="1"/>
  </r>
  <r>
    <x v="134"/>
    <x v="0"/>
    <n v="1"/>
  </r>
  <r>
    <x v="135"/>
    <x v="0"/>
    <n v="1"/>
  </r>
  <r>
    <x v="136"/>
    <x v="0"/>
    <n v="1"/>
  </r>
  <r>
    <x v="137"/>
    <x v="0"/>
    <n v="1"/>
  </r>
  <r>
    <x v="138"/>
    <x v="0"/>
    <n v="1"/>
  </r>
  <r>
    <x v="139"/>
    <x v="0"/>
    <n v="1"/>
  </r>
  <r>
    <x v="140"/>
    <x v="0"/>
    <n v="1"/>
  </r>
  <r>
    <x v="141"/>
    <x v="0"/>
    <n v="1"/>
  </r>
  <r>
    <x v="142"/>
    <x v="0"/>
    <n v="1"/>
  </r>
  <r>
    <x v="143"/>
    <x v="0"/>
    <n v="1"/>
  </r>
  <r>
    <x v="144"/>
    <x v="0"/>
    <n v="1"/>
  </r>
  <r>
    <x v="145"/>
    <x v="0"/>
    <n v="1"/>
  </r>
  <r>
    <x v="146"/>
    <x v="0"/>
    <n v="1"/>
  </r>
  <r>
    <x v="147"/>
    <x v="0"/>
    <n v="1"/>
  </r>
  <r>
    <x v="148"/>
    <x v="0"/>
    <n v="1"/>
  </r>
  <r>
    <x v="149"/>
    <x v="0"/>
    <n v="1"/>
  </r>
  <r>
    <x v="150"/>
    <x v="0"/>
    <n v="1"/>
  </r>
  <r>
    <x v="151"/>
    <x v="0"/>
    <n v="1"/>
  </r>
  <r>
    <x v="152"/>
    <x v="0"/>
    <n v="1"/>
  </r>
  <r>
    <x v="153"/>
    <x v="0"/>
    <n v="1"/>
  </r>
  <r>
    <x v="154"/>
    <x v="0"/>
    <n v="1"/>
  </r>
  <r>
    <x v="155"/>
    <x v="0"/>
    <n v="1"/>
  </r>
  <r>
    <x v="156"/>
    <x v="0"/>
    <n v="1"/>
  </r>
  <r>
    <x v="157"/>
    <x v="0"/>
    <n v="1"/>
  </r>
  <r>
    <x v="158"/>
    <x v="0"/>
    <n v="1"/>
  </r>
  <r>
    <x v="159"/>
    <x v="0"/>
    <n v="1"/>
  </r>
  <r>
    <x v="160"/>
    <x v="0"/>
    <n v="1"/>
  </r>
  <r>
    <x v="161"/>
    <x v="0"/>
    <n v="1"/>
  </r>
  <r>
    <x v="1"/>
    <x v="1"/>
    <n v="20"/>
  </r>
  <r>
    <x v="10"/>
    <x v="1"/>
    <n v="11"/>
  </r>
  <r>
    <x v="2"/>
    <x v="1"/>
    <n v="10"/>
  </r>
  <r>
    <x v="162"/>
    <x v="1"/>
    <n v="10"/>
  </r>
  <r>
    <x v="13"/>
    <x v="1"/>
    <n v="9"/>
  </r>
  <r>
    <x v="85"/>
    <x v="1"/>
    <n v="9"/>
  </r>
  <r>
    <x v="163"/>
    <x v="1"/>
    <n v="7"/>
  </r>
  <r>
    <x v="164"/>
    <x v="1"/>
    <n v="7"/>
  </r>
  <r>
    <x v="91"/>
    <x v="1"/>
    <n v="7"/>
  </r>
  <r>
    <x v="41"/>
    <x v="1"/>
    <n v="6"/>
  </r>
  <r>
    <x v="8"/>
    <x v="1"/>
    <n v="6"/>
  </r>
  <r>
    <x v="27"/>
    <x v="1"/>
    <n v="6"/>
  </r>
  <r>
    <x v="12"/>
    <x v="1"/>
    <n v="6"/>
  </r>
  <r>
    <x v="42"/>
    <x v="1"/>
    <n v="6"/>
  </r>
  <r>
    <x v="5"/>
    <x v="1"/>
    <n v="6"/>
  </r>
  <r>
    <x v="57"/>
    <x v="1"/>
    <n v="5"/>
  </r>
  <r>
    <x v="165"/>
    <x v="1"/>
    <n v="5"/>
  </r>
  <r>
    <x v="166"/>
    <x v="1"/>
    <n v="5"/>
  </r>
  <r>
    <x v="167"/>
    <x v="1"/>
    <n v="5"/>
  </r>
  <r>
    <x v="95"/>
    <x v="1"/>
    <n v="5"/>
  </r>
  <r>
    <x v="86"/>
    <x v="1"/>
    <n v="5"/>
  </r>
  <r>
    <x v="168"/>
    <x v="1"/>
    <n v="5"/>
  </r>
  <r>
    <x v="15"/>
    <x v="1"/>
    <n v="5"/>
  </r>
  <r>
    <x v="49"/>
    <x v="1"/>
    <n v="5"/>
  </r>
  <r>
    <x v="25"/>
    <x v="1"/>
    <n v="5"/>
  </r>
  <r>
    <x v="112"/>
    <x v="1"/>
    <n v="4"/>
  </r>
  <r>
    <x v="30"/>
    <x v="1"/>
    <n v="4"/>
  </r>
  <r>
    <x v="11"/>
    <x v="1"/>
    <n v="4"/>
  </r>
  <r>
    <x v="169"/>
    <x v="1"/>
    <n v="4"/>
  </r>
  <r>
    <x v="3"/>
    <x v="1"/>
    <n v="4"/>
  </r>
  <r>
    <x v="140"/>
    <x v="1"/>
    <n v="4"/>
  </r>
  <r>
    <x v="170"/>
    <x v="1"/>
    <n v="4"/>
  </r>
  <r>
    <x v="19"/>
    <x v="1"/>
    <n v="4"/>
  </r>
  <r>
    <x v="16"/>
    <x v="1"/>
    <n v="4"/>
  </r>
  <r>
    <x v="171"/>
    <x v="1"/>
    <n v="4"/>
  </r>
  <r>
    <x v="172"/>
    <x v="1"/>
    <n v="4"/>
  </r>
  <r>
    <x v="173"/>
    <x v="1"/>
    <n v="4"/>
  </r>
  <r>
    <x v="174"/>
    <x v="1"/>
    <n v="4"/>
  </r>
  <r>
    <x v="32"/>
    <x v="1"/>
    <n v="4"/>
  </r>
  <r>
    <x v="114"/>
    <x v="1"/>
    <n v="3"/>
  </r>
  <r>
    <x v="39"/>
    <x v="1"/>
    <n v="3"/>
  </r>
  <r>
    <x v="175"/>
    <x v="1"/>
    <n v="3"/>
  </r>
  <r>
    <x v="18"/>
    <x v="1"/>
    <n v="3"/>
  </r>
  <r>
    <x v="6"/>
    <x v="1"/>
    <n v="3"/>
  </r>
  <r>
    <x v="176"/>
    <x v="1"/>
    <n v="3"/>
  </r>
  <r>
    <x v="28"/>
    <x v="1"/>
    <n v="3"/>
  </r>
  <r>
    <x v="177"/>
    <x v="1"/>
    <n v="3"/>
  </r>
  <r>
    <x v="65"/>
    <x v="1"/>
    <n v="3"/>
  </r>
  <r>
    <x v="178"/>
    <x v="1"/>
    <n v="3"/>
  </r>
  <r>
    <x v="154"/>
    <x v="1"/>
    <n v="3"/>
  </r>
  <r>
    <x v="179"/>
    <x v="1"/>
    <n v="3"/>
  </r>
  <r>
    <x v="180"/>
    <x v="1"/>
    <n v="3"/>
  </r>
  <r>
    <x v="34"/>
    <x v="1"/>
    <n v="3"/>
  </r>
  <r>
    <x v="181"/>
    <x v="1"/>
    <n v="3"/>
  </r>
  <r>
    <x v="7"/>
    <x v="1"/>
    <n v="3"/>
  </r>
  <r>
    <x v="182"/>
    <x v="1"/>
    <n v="3"/>
  </r>
  <r>
    <x v="61"/>
    <x v="1"/>
    <n v="3"/>
  </r>
  <r>
    <x v="40"/>
    <x v="1"/>
    <n v="3"/>
  </r>
  <r>
    <x v="183"/>
    <x v="1"/>
    <n v="3"/>
  </r>
  <r>
    <x v="184"/>
    <x v="1"/>
    <n v="2"/>
  </r>
  <r>
    <x v="104"/>
    <x v="1"/>
    <n v="2"/>
  </r>
  <r>
    <x v="185"/>
    <x v="1"/>
    <n v="2"/>
  </r>
  <r>
    <x v="21"/>
    <x v="1"/>
    <n v="2"/>
  </r>
  <r>
    <x v="78"/>
    <x v="1"/>
    <n v="2"/>
  </r>
  <r>
    <x v="150"/>
    <x v="1"/>
    <n v="2"/>
  </r>
  <r>
    <x v="20"/>
    <x v="1"/>
    <n v="2"/>
  </r>
  <r>
    <x v="186"/>
    <x v="1"/>
    <n v="2"/>
  </r>
  <r>
    <x v="187"/>
    <x v="1"/>
    <n v="2"/>
  </r>
  <r>
    <x v="52"/>
    <x v="1"/>
    <n v="2"/>
  </r>
  <r>
    <x v="101"/>
    <x v="1"/>
    <n v="2"/>
  </r>
  <r>
    <x v="188"/>
    <x v="1"/>
    <n v="2"/>
  </r>
  <r>
    <x v="189"/>
    <x v="1"/>
    <n v="2"/>
  </r>
  <r>
    <x v="190"/>
    <x v="1"/>
    <n v="2"/>
  </r>
  <r>
    <x v="191"/>
    <x v="1"/>
    <n v="2"/>
  </r>
  <r>
    <x v="192"/>
    <x v="1"/>
    <n v="2"/>
  </r>
  <r>
    <x v="193"/>
    <x v="1"/>
    <n v="2"/>
  </r>
  <r>
    <x v="9"/>
    <x v="1"/>
    <n v="2"/>
  </r>
  <r>
    <x v="194"/>
    <x v="1"/>
    <n v="2"/>
  </r>
  <r>
    <x v="35"/>
    <x v="1"/>
    <n v="2"/>
  </r>
  <r>
    <x v="195"/>
    <x v="1"/>
    <n v="2"/>
  </r>
  <r>
    <x v="14"/>
    <x v="1"/>
    <n v="2"/>
  </r>
  <r>
    <x v="196"/>
    <x v="1"/>
    <n v="2"/>
  </r>
  <r>
    <x v="197"/>
    <x v="1"/>
    <n v="2"/>
  </r>
  <r>
    <x v="198"/>
    <x v="1"/>
    <n v="2"/>
  </r>
  <r>
    <x v="199"/>
    <x v="1"/>
    <n v="2"/>
  </r>
  <r>
    <x v="99"/>
    <x v="1"/>
    <n v="2"/>
  </r>
  <r>
    <x v="0"/>
    <x v="1"/>
    <n v="2"/>
  </r>
  <r>
    <x v="76"/>
    <x v="1"/>
    <n v="2"/>
  </r>
  <r>
    <x v="200"/>
    <x v="1"/>
    <n v="2"/>
  </r>
  <r>
    <x v="201"/>
    <x v="1"/>
    <n v="2"/>
  </r>
  <r>
    <x v="202"/>
    <x v="1"/>
    <n v="2"/>
  </r>
  <r>
    <x v="203"/>
    <x v="1"/>
    <n v="1"/>
  </r>
  <r>
    <x v="204"/>
    <x v="1"/>
    <n v="1"/>
  </r>
  <r>
    <x v="205"/>
    <x v="1"/>
    <n v="1"/>
  </r>
  <r>
    <x v="206"/>
    <x v="1"/>
    <n v="1"/>
  </r>
  <r>
    <x v="207"/>
    <x v="1"/>
    <n v="1"/>
  </r>
  <r>
    <x v="208"/>
    <x v="1"/>
    <n v="1"/>
  </r>
  <r>
    <x v="92"/>
    <x v="1"/>
    <n v="1"/>
  </r>
  <r>
    <x v="209"/>
    <x v="1"/>
    <n v="1"/>
  </r>
  <r>
    <x v="210"/>
    <x v="1"/>
    <n v="1"/>
  </r>
  <r>
    <x v="211"/>
    <x v="1"/>
    <n v="1"/>
  </r>
  <r>
    <x v="212"/>
    <x v="1"/>
    <n v="1"/>
  </r>
  <r>
    <x v="213"/>
    <x v="1"/>
    <n v="1"/>
  </r>
  <r>
    <x v="214"/>
    <x v="1"/>
    <n v="1"/>
  </r>
  <r>
    <x v="215"/>
    <x v="1"/>
    <n v="1"/>
  </r>
  <r>
    <x v="216"/>
    <x v="1"/>
    <n v="1"/>
  </r>
  <r>
    <x v="144"/>
    <x v="1"/>
    <n v="1"/>
  </r>
  <r>
    <x v="217"/>
    <x v="1"/>
    <n v="1"/>
  </r>
  <r>
    <x v="129"/>
    <x v="1"/>
    <n v="1"/>
  </r>
  <r>
    <x v="93"/>
    <x v="1"/>
    <n v="1"/>
  </r>
  <r>
    <x v="218"/>
    <x v="1"/>
    <n v="1"/>
  </r>
  <r>
    <x v="44"/>
    <x v="1"/>
    <n v="1"/>
  </r>
  <r>
    <x v="219"/>
    <x v="1"/>
    <n v="1"/>
  </r>
  <r>
    <x v="220"/>
    <x v="1"/>
    <n v="1"/>
  </r>
  <r>
    <x v="221"/>
    <x v="1"/>
    <n v="1"/>
  </r>
  <r>
    <x v="62"/>
    <x v="1"/>
    <n v="1"/>
  </r>
  <r>
    <x v="222"/>
    <x v="1"/>
    <n v="1"/>
  </r>
  <r>
    <x v="223"/>
    <x v="1"/>
    <n v="1"/>
  </r>
  <r>
    <x v="161"/>
    <x v="1"/>
    <n v="1"/>
  </r>
  <r>
    <x v="224"/>
    <x v="1"/>
    <n v="1"/>
  </r>
  <r>
    <x v="225"/>
    <x v="1"/>
    <n v="1"/>
  </r>
  <r>
    <x v="226"/>
    <x v="1"/>
    <n v="1"/>
  </r>
  <r>
    <x v="227"/>
    <x v="1"/>
    <n v="1"/>
  </r>
  <r>
    <x v="228"/>
    <x v="1"/>
    <n v="1"/>
  </r>
  <r>
    <x v="229"/>
    <x v="1"/>
    <n v="1"/>
  </r>
  <r>
    <x v="230"/>
    <x v="1"/>
    <n v="1"/>
  </r>
  <r>
    <x v="231"/>
    <x v="1"/>
    <n v="1"/>
  </r>
  <r>
    <x v="232"/>
    <x v="1"/>
    <n v="1"/>
  </r>
  <r>
    <x v="4"/>
    <x v="1"/>
    <n v="1"/>
  </r>
  <r>
    <x v="84"/>
    <x v="1"/>
    <n v="1"/>
  </r>
  <r>
    <x v="233"/>
    <x v="1"/>
    <n v="1"/>
  </r>
  <r>
    <x v="234"/>
    <x v="1"/>
    <n v="1"/>
  </r>
  <r>
    <x v="235"/>
    <x v="1"/>
    <n v="1"/>
  </r>
  <r>
    <x v="120"/>
    <x v="1"/>
    <n v="1"/>
  </r>
  <r>
    <x v="236"/>
    <x v="1"/>
    <n v="1"/>
  </r>
  <r>
    <x v="139"/>
    <x v="1"/>
    <n v="1"/>
  </r>
  <r>
    <x v="237"/>
    <x v="1"/>
    <n v="1"/>
  </r>
  <r>
    <x v="138"/>
    <x v="1"/>
    <n v="1"/>
  </r>
  <r>
    <x v="238"/>
    <x v="1"/>
    <n v="1"/>
  </r>
  <r>
    <x v="239"/>
    <x v="1"/>
    <n v="1"/>
  </r>
  <r>
    <x v="56"/>
    <x v="1"/>
    <n v="1"/>
  </r>
  <r>
    <x v="100"/>
    <x v="1"/>
    <n v="1"/>
  </r>
  <r>
    <x v="240"/>
    <x v="1"/>
    <n v="1"/>
  </r>
  <r>
    <x v="43"/>
    <x v="1"/>
    <n v="1"/>
  </r>
  <r>
    <x v="121"/>
    <x v="1"/>
    <n v="1"/>
  </r>
  <r>
    <x v="241"/>
    <x v="1"/>
    <n v="1"/>
  </r>
  <r>
    <x v="242"/>
    <x v="1"/>
    <n v="1"/>
  </r>
  <r>
    <x v="243"/>
    <x v="1"/>
    <n v="1"/>
  </r>
  <r>
    <x v="244"/>
    <x v="1"/>
    <n v="1"/>
  </r>
  <r>
    <x v="245"/>
    <x v="1"/>
    <n v="1"/>
  </r>
  <r>
    <x v="246"/>
    <x v="1"/>
    <n v="1"/>
  </r>
  <r>
    <x v="157"/>
    <x v="1"/>
    <n v="1"/>
  </r>
  <r>
    <x v="247"/>
    <x v="1"/>
    <n v="1"/>
  </r>
  <r>
    <x v="248"/>
    <x v="1"/>
    <n v="1"/>
  </r>
  <r>
    <x v="249"/>
    <x v="1"/>
    <n v="1"/>
  </r>
  <r>
    <x v="250"/>
    <x v="1"/>
    <n v="1"/>
  </r>
  <r>
    <x v="136"/>
    <x v="1"/>
    <n v="1"/>
  </r>
  <r>
    <x v="251"/>
    <x v="1"/>
    <n v="1"/>
  </r>
  <r>
    <x v="252"/>
    <x v="1"/>
    <n v="1"/>
  </r>
  <r>
    <x v="58"/>
    <x v="1"/>
    <n v="1"/>
  </r>
  <r>
    <x v="253"/>
    <x v="1"/>
    <n v="1"/>
  </r>
  <r>
    <x v="254"/>
    <x v="1"/>
    <n v="1"/>
  </r>
  <r>
    <x v="255"/>
    <x v="1"/>
    <n v="1"/>
  </r>
  <r>
    <x v="256"/>
    <x v="1"/>
    <n v="1"/>
  </r>
  <r>
    <x v="257"/>
    <x v="1"/>
    <n v="1"/>
  </r>
  <r>
    <x v="258"/>
    <x v="1"/>
    <n v="1"/>
  </r>
  <r>
    <x v="259"/>
    <x v="1"/>
    <n v="1"/>
  </r>
  <r>
    <x v="54"/>
    <x v="1"/>
    <n v="1"/>
  </r>
  <r>
    <x v="260"/>
    <x v="1"/>
    <n v="1"/>
  </r>
  <r>
    <x v="261"/>
    <x v="1"/>
    <n v="1"/>
  </r>
  <r>
    <x v="262"/>
    <x v="1"/>
    <n v="1"/>
  </r>
  <r>
    <x v="64"/>
    <x v="1"/>
    <n v="1"/>
  </r>
  <r>
    <x v="263"/>
    <x v="1"/>
    <n v="1"/>
  </r>
  <r>
    <x v="264"/>
    <x v="1"/>
    <n v="1"/>
  </r>
  <r>
    <x v="265"/>
    <x v="1"/>
    <n v="1"/>
  </r>
  <r>
    <x v="266"/>
    <x v="1"/>
    <n v="1"/>
  </r>
  <r>
    <x v="59"/>
    <x v="1"/>
    <n v="1"/>
  </r>
  <r>
    <x v="267"/>
    <x v="1"/>
    <n v="1"/>
  </r>
  <r>
    <x v="268"/>
    <x v="1"/>
    <n v="1"/>
  </r>
  <r>
    <x v="269"/>
    <x v="1"/>
    <n v="1"/>
  </r>
  <r>
    <x v="270"/>
    <x v="1"/>
    <n v="1"/>
  </r>
  <r>
    <x v="134"/>
    <x v="1"/>
    <n v="1"/>
  </r>
  <r>
    <x v="89"/>
    <x v="1"/>
    <n v="1"/>
  </r>
  <r>
    <x v="271"/>
    <x v="1"/>
    <n v="1"/>
  </r>
  <r>
    <x v="272"/>
    <x v="1"/>
    <n v="1"/>
  </r>
  <r>
    <x v="273"/>
    <x v="1"/>
    <n v="1"/>
  </r>
  <r>
    <x v="117"/>
    <x v="1"/>
    <n v="1"/>
  </r>
  <r>
    <x v="274"/>
    <x v="1"/>
    <n v="1"/>
  </r>
  <r>
    <x v="111"/>
    <x v="1"/>
    <n v="1"/>
  </r>
  <r>
    <x v="26"/>
    <x v="1"/>
    <n v="1"/>
  </r>
  <r>
    <x v="275"/>
    <x v="1"/>
    <n v="1"/>
  </r>
  <r>
    <x v="29"/>
    <x v="1"/>
    <n v="1"/>
  </r>
  <r>
    <x v="276"/>
    <x v="1"/>
    <n v="1"/>
  </r>
  <r>
    <x v="277"/>
    <x v="1"/>
    <n v="1"/>
  </r>
  <r>
    <x v="278"/>
    <x v="1"/>
    <n v="1"/>
  </r>
  <r>
    <x v="279"/>
    <x v="1"/>
    <n v="1"/>
  </r>
  <r>
    <x v="82"/>
    <x v="1"/>
    <n v="1"/>
  </r>
  <r>
    <x v="280"/>
    <x v="1"/>
    <n v="1"/>
  </r>
  <r>
    <x v="281"/>
    <x v="1"/>
    <n v="1"/>
  </r>
  <r>
    <x v="282"/>
    <x v="1"/>
    <n v="1"/>
  </r>
  <r>
    <x v="283"/>
    <x v="1"/>
    <n v="1"/>
  </r>
  <r>
    <x v="31"/>
    <x v="1"/>
    <n v="1"/>
  </r>
  <r>
    <x v="284"/>
    <x v="1"/>
    <n v="1"/>
  </r>
  <r>
    <x v="285"/>
    <x v="1"/>
    <n v="1"/>
  </r>
  <r>
    <x v="286"/>
    <x v="1"/>
    <n v="1"/>
  </r>
  <r>
    <x v="287"/>
    <x v="1"/>
    <n v="1"/>
  </r>
  <r>
    <x v="288"/>
    <x v="1"/>
    <n v="1"/>
  </r>
  <r>
    <x v="1"/>
    <x v="2"/>
    <n v="20"/>
  </r>
  <r>
    <x v="2"/>
    <x v="2"/>
    <n v="14"/>
  </r>
  <r>
    <x v="3"/>
    <x v="2"/>
    <n v="13"/>
  </r>
  <r>
    <x v="63"/>
    <x v="2"/>
    <n v="13"/>
  </r>
  <r>
    <x v="289"/>
    <x v="2"/>
    <n v="9"/>
  </r>
  <r>
    <x v="0"/>
    <x v="2"/>
    <n v="9"/>
  </r>
  <r>
    <x v="8"/>
    <x v="2"/>
    <n v="8"/>
  </r>
  <r>
    <x v="6"/>
    <x v="2"/>
    <n v="7"/>
  </r>
  <r>
    <x v="78"/>
    <x v="2"/>
    <n v="7"/>
  </r>
  <r>
    <x v="29"/>
    <x v="2"/>
    <n v="7"/>
  </r>
  <r>
    <x v="19"/>
    <x v="2"/>
    <n v="7"/>
  </r>
  <r>
    <x v="180"/>
    <x v="2"/>
    <n v="7"/>
  </r>
  <r>
    <x v="7"/>
    <x v="2"/>
    <n v="6"/>
  </r>
  <r>
    <x v="164"/>
    <x v="2"/>
    <n v="5"/>
  </r>
  <r>
    <x v="12"/>
    <x v="2"/>
    <n v="5"/>
  </r>
  <r>
    <x v="52"/>
    <x v="2"/>
    <n v="5"/>
  </r>
  <r>
    <x v="13"/>
    <x v="2"/>
    <n v="5"/>
  </r>
  <r>
    <x v="187"/>
    <x v="2"/>
    <n v="5"/>
  </r>
  <r>
    <x v="184"/>
    <x v="2"/>
    <n v="5"/>
  </r>
  <r>
    <x v="11"/>
    <x v="2"/>
    <n v="5"/>
  </r>
  <r>
    <x v="10"/>
    <x v="2"/>
    <n v="5"/>
  </r>
  <r>
    <x v="290"/>
    <x v="2"/>
    <n v="5"/>
  </r>
  <r>
    <x v="159"/>
    <x v="2"/>
    <n v="4"/>
  </r>
  <r>
    <x v="291"/>
    <x v="2"/>
    <n v="4"/>
  </r>
  <r>
    <x v="57"/>
    <x v="2"/>
    <n v="4"/>
  </r>
  <r>
    <x v="292"/>
    <x v="2"/>
    <n v="4"/>
  </r>
  <r>
    <x v="247"/>
    <x v="2"/>
    <n v="4"/>
  </r>
  <r>
    <x v="85"/>
    <x v="2"/>
    <n v="4"/>
  </r>
  <r>
    <x v="163"/>
    <x v="2"/>
    <n v="4"/>
  </r>
  <r>
    <x v="21"/>
    <x v="2"/>
    <n v="4"/>
  </r>
  <r>
    <x v="176"/>
    <x v="2"/>
    <n v="4"/>
  </r>
  <r>
    <x v="4"/>
    <x v="2"/>
    <n v="3"/>
  </r>
  <r>
    <x v="56"/>
    <x v="2"/>
    <n v="3"/>
  </r>
  <r>
    <x v="293"/>
    <x v="2"/>
    <n v="3"/>
  </r>
  <r>
    <x v="168"/>
    <x v="2"/>
    <n v="3"/>
  </r>
  <r>
    <x v="111"/>
    <x v="2"/>
    <n v="3"/>
  </r>
  <r>
    <x v="14"/>
    <x v="2"/>
    <n v="3"/>
  </r>
  <r>
    <x v="177"/>
    <x v="2"/>
    <n v="3"/>
  </r>
  <r>
    <x v="162"/>
    <x v="2"/>
    <n v="3"/>
  </r>
  <r>
    <x v="171"/>
    <x v="2"/>
    <n v="3"/>
  </r>
  <r>
    <x v="34"/>
    <x v="2"/>
    <n v="3"/>
  </r>
  <r>
    <x v="239"/>
    <x v="2"/>
    <n v="3"/>
  </r>
  <r>
    <x v="294"/>
    <x v="2"/>
    <n v="3"/>
  </r>
  <r>
    <x v="295"/>
    <x v="2"/>
    <n v="3"/>
  </r>
  <r>
    <x v="54"/>
    <x v="2"/>
    <n v="3"/>
  </r>
  <r>
    <x v="40"/>
    <x v="2"/>
    <n v="3"/>
  </r>
  <r>
    <x v="166"/>
    <x v="2"/>
    <n v="3"/>
  </r>
  <r>
    <x v="296"/>
    <x v="2"/>
    <n v="3"/>
  </r>
  <r>
    <x v="150"/>
    <x v="2"/>
    <n v="3"/>
  </r>
  <r>
    <x v="37"/>
    <x v="2"/>
    <n v="3"/>
  </r>
  <r>
    <x v="154"/>
    <x v="2"/>
    <n v="3"/>
  </r>
  <r>
    <x v="297"/>
    <x v="2"/>
    <n v="3"/>
  </r>
  <r>
    <x v="49"/>
    <x v="2"/>
    <n v="3"/>
  </r>
  <r>
    <x v="298"/>
    <x v="2"/>
    <n v="2"/>
  </r>
  <r>
    <x v="299"/>
    <x v="2"/>
    <n v="2"/>
  </r>
  <r>
    <x v="71"/>
    <x v="2"/>
    <n v="2"/>
  </r>
  <r>
    <x v="146"/>
    <x v="2"/>
    <n v="2"/>
  </r>
  <r>
    <x v="245"/>
    <x v="2"/>
    <n v="2"/>
  </r>
  <r>
    <x v="15"/>
    <x v="2"/>
    <n v="2"/>
  </r>
  <r>
    <x v="156"/>
    <x v="2"/>
    <n v="2"/>
  </r>
  <r>
    <x v="86"/>
    <x v="2"/>
    <n v="2"/>
  </r>
  <r>
    <x v="30"/>
    <x v="2"/>
    <n v="2"/>
  </r>
  <r>
    <x v="174"/>
    <x v="2"/>
    <n v="2"/>
  </r>
  <r>
    <x v="191"/>
    <x v="2"/>
    <n v="2"/>
  </r>
  <r>
    <x v="172"/>
    <x v="2"/>
    <n v="2"/>
  </r>
  <r>
    <x v="114"/>
    <x v="2"/>
    <n v="2"/>
  </r>
  <r>
    <x v="223"/>
    <x v="2"/>
    <n v="2"/>
  </r>
  <r>
    <x v="300"/>
    <x v="2"/>
    <n v="2"/>
  </r>
  <r>
    <x v="301"/>
    <x v="2"/>
    <n v="2"/>
  </r>
  <r>
    <x v="115"/>
    <x v="2"/>
    <n v="2"/>
  </r>
  <r>
    <x v="229"/>
    <x v="2"/>
    <n v="2"/>
  </r>
  <r>
    <x v="27"/>
    <x v="2"/>
    <n v="2"/>
  </r>
  <r>
    <x v="200"/>
    <x v="2"/>
    <n v="2"/>
  </r>
  <r>
    <x v="198"/>
    <x v="2"/>
    <n v="2"/>
  </r>
  <r>
    <x v="302"/>
    <x v="2"/>
    <n v="2"/>
  </r>
  <r>
    <x v="253"/>
    <x v="2"/>
    <n v="2"/>
  </r>
  <r>
    <x v="303"/>
    <x v="2"/>
    <n v="2"/>
  </r>
  <r>
    <x v="304"/>
    <x v="2"/>
    <n v="2"/>
  </r>
  <r>
    <x v="190"/>
    <x v="2"/>
    <n v="2"/>
  </r>
  <r>
    <x v="193"/>
    <x v="2"/>
    <n v="2"/>
  </r>
  <r>
    <x v="123"/>
    <x v="2"/>
    <n v="2"/>
  </r>
  <r>
    <x v="167"/>
    <x v="2"/>
    <n v="2"/>
  </r>
  <r>
    <x v="141"/>
    <x v="2"/>
    <n v="2"/>
  </r>
  <r>
    <x v="195"/>
    <x v="2"/>
    <n v="2"/>
  </r>
  <r>
    <x v="91"/>
    <x v="2"/>
    <n v="2"/>
  </r>
  <r>
    <x v="42"/>
    <x v="2"/>
    <n v="2"/>
  </r>
  <r>
    <x v="305"/>
    <x v="2"/>
    <n v="2"/>
  </r>
  <r>
    <x v="306"/>
    <x v="2"/>
    <n v="2"/>
  </r>
  <r>
    <x v="221"/>
    <x v="2"/>
    <n v="2"/>
  </r>
  <r>
    <x v="307"/>
    <x v="2"/>
    <n v="2"/>
  </r>
  <r>
    <x v="50"/>
    <x v="2"/>
    <n v="2"/>
  </r>
  <r>
    <x v="308"/>
    <x v="2"/>
    <n v="1"/>
  </r>
  <r>
    <x v="258"/>
    <x v="2"/>
    <n v="1"/>
  </r>
  <r>
    <x v="309"/>
    <x v="2"/>
    <n v="1"/>
  </r>
  <r>
    <x v="310"/>
    <x v="2"/>
    <n v="1"/>
  </r>
  <r>
    <x v="311"/>
    <x v="2"/>
    <n v="1"/>
  </r>
  <r>
    <x v="312"/>
    <x v="2"/>
    <n v="1"/>
  </r>
  <r>
    <x v="41"/>
    <x v="2"/>
    <n v="1"/>
  </r>
  <r>
    <x v="282"/>
    <x v="2"/>
    <n v="1"/>
  </r>
  <r>
    <x v="313"/>
    <x v="2"/>
    <n v="1"/>
  </r>
  <r>
    <x v="16"/>
    <x v="2"/>
    <n v="1"/>
  </r>
  <r>
    <x v="130"/>
    <x v="2"/>
    <n v="1"/>
  </r>
  <r>
    <x v="53"/>
    <x v="2"/>
    <n v="1"/>
  </r>
  <r>
    <x v="94"/>
    <x v="2"/>
    <n v="1"/>
  </r>
  <r>
    <x v="64"/>
    <x v="2"/>
    <n v="1"/>
  </r>
  <r>
    <x v="314"/>
    <x v="2"/>
    <n v="1"/>
  </r>
  <r>
    <x v="5"/>
    <x v="2"/>
    <n v="1"/>
  </r>
  <r>
    <x v="315"/>
    <x v="2"/>
    <n v="1"/>
  </r>
  <r>
    <x v="192"/>
    <x v="2"/>
    <n v="1"/>
  </r>
  <r>
    <x v="72"/>
    <x v="2"/>
    <n v="1"/>
  </r>
  <r>
    <x v="316"/>
    <x v="2"/>
    <n v="1"/>
  </r>
  <r>
    <x v="317"/>
    <x v="2"/>
    <n v="1"/>
  </r>
  <r>
    <x v="318"/>
    <x v="2"/>
    <n v="1"/>
  </r>
  <r>
    <x v="319"/>
    <x v="2"/>
    <n v="1"/>
  </r>
  <r>
    <x v="100"/>
    <x v="2"/>
    <n v="1"/>
  </r>
  <r>
    <x v="320"/>
    <x v="2"/>
    <n v="1"/>
  </r>
  <r>
    <x v="321"/>
    <x v="2"/>
    <n v="1"/>
  </r>
  <r>
    <x v="20"/>
    <x v="2"/>
    <n v="1"/>
  </r>
  <r>
    <x v="322"/>
    <x v="2"/>
    <n v="1"/>
  </r>
  <r>
    <x v="323"/>
    <x v="2"/>
    <n v="1"/>
  </r>
  <r>
    <x v="194"/>
    <x v="2"/>
    <n v="1"/>
  </r>
  <r>
    <x v="324"/>
    <x v="2"/>
    <n v="1"/>
  </r>
  <r>
    <x v="325"/>
    <x v="2"/>
    <n v="1"/>
  </r>
  <r>
    <x v="326"/>
    <x v="2"/>
    <n v="1"/>
  </r>
  <r>
    <x v="58"/>
    <x v="2"/>
    <n v="1"/>
  </r>
  <r>
    <x v="185"/>
    <x v="2"/>
    <n v="1"/>
  </r>
  <r>
    <x v="243"/>
    <x v="2"/>
    <n v="1"/>
  </r>
  <r>
    <x v="241"/>
    <x v="2"/>
    <n v="1"/>
  </r>
  <r>
    <x v="327"/>
    <x v="2"/>
    <n v="1"/>
  </r>
  <r>
    <x v="170"/>
    <x v="2"/>
    <n v="1"/>
  </r>
  <r>
    <x v="328"/>
    <x v="2"/>
    <n v="1"/>
  </r>
  <r>
    <x v="329"/>
    <x v="2"/>
    <n v="1"/>
  </r>
  <r>
    <x v="219"/>
    <x v="2"/>
    <n v="1"/>
  </r>
  <r>
    <x v="330"/>
    <x v="2"/>
    <n v="1"/>
  </r>
  <r>
    <x v="331"/>
    <x v="2"/>
    <n v="1"/>
  </r>
  <r>
    <x v="332"/>
    <x v="2"/>
    <n v="1"/>
  </r>
  <r>
    <x v="333"/>
    <x v="2"/>
    <n v="1"/>
  </r>
  <r>
    <x v="334"/>
    <x v="2"/>
    <n v="1"/>
  </r>
  <r>
    <x v="25"/>
    <x v="2"/>
    <n v="1"/>
  </r>
  <r>
    <x v="65"/>
    <x v="2"/>
    <n v="1"/>
  </r>
  <r>
    <x v="119"/>
    <x v="2"/>
    <n v="1"/>
  </r>
  <r>
    <x v="335"/>
    <x v="2"/>
    <n v="1"/>
  </r>
  <r>
    <x v="336"/>
    <x v="2"/>
    <n v="1"/>
  </r>
  <r>
    <x v="9"/>
    <x v="2"/>
    <n v="1"/>
  </r>
  <r>
    <x v="337"/>
    <x v="2"/>
    <n v="1"/>
  </r>
  <r>
    <x v="338"/>
    <x v="2"/>
    <n v="1"/>
  </r>
  <r>
    <x v="93"/>
    <x v="2"/>
    <n v="1"/>
  </r>
  <r>
    <x v="339"/>
    <x v="2"/>
    <n v="1"/>
  </r>
  <r>
    <x v="340"/>
    <x v="2"/>
    <n v="1"/>
  </r>
  <r>
    <x v="204"/>
    <x v="2"/>
    <n v="1"/>
  </r>
  <r>
    <x v="157"/>
    <x v="2"/>
    <n v="1"/>
  </r>
  <r>
    <x v="182"/>
    <x v="2"/>
    <n v="1"/>
  </r>
  <r>
    <x v="43"/>
    <x v="2"/>
    <n v="1"/>
  </r>
  <r>
    <x v="81"/>
    <x v="2"/>
    <n v="1"/>
  </r>
  <r>
    <x v="66"/>
    <x v="2"/>
    <n v="1"/>
  </r>
  <r>
    <x v="143"/>
    <x v="2"/>
    <n v="1"/>
  </r>
  <r>
    <x v="341"/>
    <x v="2"/>
    <n v="1"/>
  </r>
  <r>
    <x v="342"/>
    <x v="2"/>
    <n v="1"/>
  </r>
  <r>
    <x v="343"/>
    <x v="2"/>
    <n v="1"/>
  </r>
  <r>
    <x v="344"/>
    <x v="2"/>
    <n v="1"/>
  </r>
  <r>
    <x v="101"/>
    <x v="2"/>
    <n v="1"/>
  </r>
  <r>
    <x v="31"/>
    <x v="2"/>
    <n v="1"/>
  </r>
  <r>
    <x v="345"/>
    <x v="2"/>
    <n v="1"/>
  </r>
  <r>
    <x v="95"/>
    <x v="2"/>
    <n v="1"/>
  </r>
  <r>
    <x v="346"/>
    <x v="2"/>
    <n v="1"/>
  </r>
  <r>
    <x v="347"/>
    <x v="2"/>
    <n v="1"/>
  </r>
  <r>
    <x v="228"/>
    <x v="2"/>
    <n v="1"/>
  </r>
  <r>
    <x v="165"/>
    <x v="2"/>
    <n v="1"/>
  </r>
  <r>
    <x v="348"/>
    <x v="2"/>
    <n v="1"/>
  </r>
  <r>
    <x v="112"/>
    <x v="2"/>
    <n v="1"/>
  </r>
  <r>
    <x v="349"/>
    <x v="2"/>
    <n v="1"/>
  </r>
  <r>
    <x v="129"/>
    <x v="2"/>
    <n v="1"/>
  </r>
  <r>
    <x v="350"/>
    <x v="2"/>
    <n v="1"/>
  </r>
  <r>
    <x v="199"/>
    <x v="2"/>
    <n v="1"/>
  </r>
  <r>
    <x v="351"/>
    <x v="2"/>
    <n v="1"/>
  </r>
  <r>
    <x v="352"/>
    <x v="2"/>
    <n v="1"/>
  </r>
  <r>
    <x v="80"/>
    <x v="2"/>
    <n v="1"/>
  </r>
  <r>
    <x v="104"/>
    <x v="2"/>
    <n v="1"/>
  </r>
  <r>
    <x v="271"/>
    <x v="2"/>
    <n v="1"/>
  </r>
  <r>
    <x v="353"/>
    <x v="2"/>
    <n v="1"/>
  </r>
  <r>
    <x v="28"/>
    <x v="2"/>
    <n v="1"/>
  </r>
  <r>
    <x v="354"/>
    <x v="2"/>
    <n v="1"/>
  </r>
  <r>
    <x v="355"/>
    <x v="2"/>
    <n v="1"/>
  </r>
  <r>
    <x v="144"/>
    <x v="3"/>
    <n v="1"/>
  </r>
  <r>
    <x v="1"/>
    <x v="4"/>
    <n v="23"/>
  </r>
  <r>
    <x v="13"/>
    <x v="4"/>
    <n v="13"/>
  </r>
  <r>
    <x v="49"/>
    <x v="4"/>
    <n v="13"/>
  </r>
  <r>
    <x v="8"/>
    <x v="4"/>
    <n v="10"/>
  </r>
  <r>
    <x v="0"/>
    <x v="4"/>
    <n v="10"/>
  </r>
  <r>
    <x v="2"/>
    <x v="4"/>
    <n v="10"/>
  </r>
  <r>
    <x v="356"/>
    <x v="4"/>
    <n v="10"/>
  </r>
  <r>
    <x v="4"/>
    <x v="4"/>
    <n v="9"/>
  </r>
  <r>
    <x v="5"/>
    <x v="4"/>
    <n v="9"/>
  </r>
  <r>
    <x v="6"/>
    <x v="4"/>
    <n v="8"/>
  </r>
  <r>
    <x v="95"/>
    <x v="4"/>
    <n v="8"/>
  </r>
  <r>
    <x v="29"/>
    <x v="4"/>
    <n v="7"/>
  </r>
  <r>
    <x v="21"/>
    <x v="4"/>
    <n v="7"/>
  </r>
  <r>
    <x v="10"/>
    <x v="4"/>
    <n v="7"/>
  </r>
  <r>
    <x v="7"/>
    <x v="4"/>
    <n v="7"/>
  </r>
  <r>
    <x v="16"/>
    <x v="4"/>
    <n v="7"/>
  </r>
  <r>
    <x v="14"/>
    <x v="4"/>
    <n v="6"/>
  </r>
  <r>
    <x v="57"/>
    <x v="4"/>
    <n v="6"/>
  </r>
  <r>
    <x v="52"/>
    <x v="4"/>
    <n v="6"/>
  </r>
  <r>
    <x v="28"/>
    <x v="4"/>
    <n v="5"/>
  </r>
  <r>
    <x v="85"/>
    <x v="4"/>
    <n v="5"/>
  </r>
  <r>
    <x v="271"/>
    <x v="4"/>
    <n v="5"/>
  </r>
  <r>
    <x v="91"/>
    <x v="4"/>
    <n v="5"/>
  </r>
  <r>
    <x v="195"/>
    <x v="4"/>
    <n v="4"/>
  </r>
  <r>
    <x v="162"/>
    <x v="4"/>
    <n v="4"/>
  </r>
  <r>
    <x v="11"/>
    <x v="4"/>
    <n v="4"/>
  </r>
  <r>
    <x v="247"/>
    <x v="4"/>
    <n v="4"/>
  </r>
  <r>
    <x v="3"/>
    <x v="4"/>
    <n v="4"/>
  </r>
  <r>
    <x v="84"/>
    <x v="4"/>
    <n v="4"/>
  </r>
  <r>
    <x v="171"/>
    <x v="4"/>
    <n v="4"/>
  </r>
  <r>
    <x v="178"/>
    <x v="4"/>
    <n v="4"/>
  </r>
  <r>
    <x v="41"/>
    <x v="4"/>
    <n v="4"/>
  </r>
  <r>
    <x v="196"/>
    <x v="4"/>
    <n v="4"/>
  </r>
  <r>
    <x v="12"/>
    <x v="4"/>
    <n v="4"/>
  </r>
  <r>
    <x v="42"/>
    <x v="4"/>
    <n v="4"/>
  </r>
  <r>
    <x v="30"/>
    <x v="4"/>
    <n v="4"/>
  </r>
  <r>
    <x v="27"/>
    <x v="4"/>
    <n v="4"/>
  </r>
  <r>
    <x v="279"/>
    <x v="4"/>
    <n v="4"/>
  </r>
  <r>
    <x v="357"/>
    <x v="4"/>
    <n v="4"/>
  </r>
  <r>
    <x v="358"/>
    <x v="4"/>
    <n v="4"/>
  </r>
  <r>
    <x v="359"/>
    <x v="4"/>
    <n v="4"/>
  </r>
  <r>
    <x v="44"/>
    <x v="4"/>
    <n v="4"/>
  </r>
  <r>
    <x v="111"/>
    <x v="4"/>
    <n v="3"/>
  </r>
  <r>
    <x v="199"/>
    <x v="4"/>
    <n v="3"/>
  </r>
  <r>
    <x v="166"/>
    <x v="4"/>
    <n v="3"/>
  </r>
  <r>
    <x v="360"/>
    <x v="4"/>
    <n v="3"/>
  </r>
  <r>
    <x v="308"/>
    <x v="4"/>
    <n v="3"/>
  </r>
  <r>
    <x v="66"/>
    <x v="4"/>
    <n v="3"/>
  </r>
  <r>
    <x v="101"/>
    <x v="4"/>
    <n v="3"/>
  </r>
  <r>
    <x v="65"/>
    <x v="4"/>
    <n v="3"/>
  </r>
  <r>
    <x v="58"/>
    <x v="4"/>
    <n v="3"/>
  </r>
  <r>
    <x v="140"/>
    <x v="4"/>
    <n v="3"/>
  </r>
  <r>
    <x v="114"/>
    <x v="4"/>
    <n v="3"/>
  </r>
  <r>
    <x v="78"/>
    <x v="4"/>
    <n v="3"/>
  </r>
  <r>
    <x v="63"/>
    <x v="4"/>
    <n v="3"/>
  </r>
  <r>
    <x v="56"/>
    <x v="4"/>
    <n v="3"/>
  </r>
  <r>
    <x v="112"/>
    <x v="4"/>
    <n v="3"/>
  </r>
  <r>
    <x v="258"/>
    <x v="4"/>
    <n v="3"/>
  </r>
  <r>
    <x v="138"/>
    <x v="4"/>
    <n v="3"/>
  </r>
  <r>
    <x v="115"/>
    <x v="4"/>
    <n v="3"/>
  </r>
  <r>
    <x v="18"/>
    <x v="4"/>
    <n v="3"/>
  </r>
  <r>
    <x v="361"/>
    <x v="4"/>
    <n v="3"/>
  </r>
  <r>
    <x v="342"/>
    <x v="4"/>
    <n v="2"/>
  </r>
  <r>
    <x v="362"/>
    <x v="4"/>
    <n v="2"/>
  </r>
  <r>
    <x v="363"/>
    <x v="4"/>
    <n v="2"/>
  </r>
  <r>
    <x v="168"/>
    <x v="4"/>
    <n v="2"/>
  </r>
  <r>
    <x v="364"/>
    <x v="4"/>
    <n v="2"/>
  </r>
  <r>
    <x v="170"/>
    <x v="4"/>
    <n v="2"/>
  </r>
  <r>
    <x v="365"/>
    <x v="4"/>
    <n v="2"/>
  </r>
  <r>
    <x v="236"/>
    <x v="4"/>
    <n v="2"/>
  </r>
  <r>
    <x v="165"/>
    <x v="4"/>
    <n v="2"/>
  </r>
  <r>
    <x v="64"/>
    <x v="4"/>
    <n v="2"/>
  </r>
  <r>
    <x v="366"/>
    <x v="4"/>
    <n v="2"/>
  </r>
  <r>
    <x v="367"/>
    <x v="4"/>
    <n v="2"/>
  </r>
  <r>
    <x v="169"/>
    <x v="4"/>
    <n v="2"/>
  </r>
  <r>
    <x v="154"/>
    <x v="4"/>
    <n v="2"/>
  </r>
  <r>
    <x v="109"/>
    <x v="4"/>
    <n v="2"/>
  </r>
  <r>
    <x v="253"/>
    <x v="4"/>
    <n v="2"/>
  </r>
  <r>
    <x v="177"/>
    <x v="4"/>
    <n v="2"/>
  </r>
  <r>
    <x v="294"/>
    <x v="4"/>
    <n v="2"/>
  </r>
  <r>
    <x v="61"/>
    <x v="4"/>
    <n v="2"/>
  </r>
  <r>
    <x v="20"/>
    <x v="4"/>
    <n v="2"/>
  </r>
  <r>
    <x v="338"/>
    <x v="4"/>
    <n v="2"/>
  </r>
  <r>
    <x v="86"/>
    <x v="4"/>
    <n v="2"/>
  </r>
  <r>
    <x v="15"/>
    <x v="4"/>
    <n v="2"/>
  </r>
  <r>
    <x v="51"/>
    <x v="4"/>
    <n v="2"/>
  </r>
  <r>
    <x v="368"/>
    <x v="4"/>
    <n v="2"/>
  </r>
  <r>
    <x v="369"/>
    <x v="4"/>
    <n v="2"/>
  </r>
  <r>
    <x v="71"/>
    <x v="4"/>
    <n v="2"/>
  </r>
  <r>
    <x v="370"/>
    <x v="4"/>
    <n v="2"/>
  </r>
  <r>
    <x v="371"/>
    <x v="4"/>
    <n v="2"/>
  </r>
  <r>
    <x v="372"/>
    <x v="4"/>
    <n v="2"/>
  </r>
  <r>
    <x v="144"/>
    <x v="4"/>
    <n v="2"/>
  </r>
  <r>
    <x v="373"/>
    <x v="4"/>
    <n v="2"/>
  </r>
  <r>
    <x v="374"/>
    <x v="4"/>
    <n v="2"/>
  </r>
  <r>
    <x v="19"/>
    <x v="4"/>
    <n v="1"/>
  </r>
  <r>
    <x v="375"/>
    <x v="4"/>
    <n v="1"/>
  </r>
  <r>
    <x v="239"/>
    <x v="4"/>
    <n v="1"/>
  </r>
  <r>
    <x v="376"/>
    <x v="4"/>
    <n v="1"/>
  </r>
  <r>
    <x v="377"/>
    <x v="4"/>
    <n v="1"/>
  </r>
  <r>
    <x v="139"/>
    <x v="4"/>
    <n v="1"/>
  </r>
  <r>
    <x v="190"/>
    <x v="4"/>
    <n v="1"/>
  </r>
  <r>
    <x v="245"/>
    <x v="4"/>
    <n v="1"/>
  </r>
  <r>
    <x v="378"/>
    <x v="4"/>
    <n v="1"/>
  </r>
  <r>
    <x v="187"/>
    <x v="4"/>
    <n v="1"/>
  </r>
  <r>
    <x v="93"/>
    <x v="4"/>
    <n v="1"/>
  </r>
  <r>
    <x v="379"/>
    <x v="4"/>
    <n v="1"/>
  </r>
  <r>
    <x v="82"/>
    <x v="4"/>
    <n v="1"/>
  </r>
  <r>
    <x v="301"/>
    <x v="4"/>
    <n v="1"/>
  </r>
  <r>
    <x v="156"/>
    <x v="4"/>
    <n v="1"/>
  </r>
  <r>
    <x v="9"/>
    <x v="4"/>
    <n v="1"/>
  </r>
  <r>
    <x v="25"/>
    <x v="4"/>
    <n v="1"/>
  </r>
  <r>
    <x v="123"/>
    <x v="4"/>
    <n v="1"/>
  </r>
  <r>
    <x v="380"/>
    <x v="4"/>
    <n v="1"/>
  </r>
  <r>
    <x v="191"/>
    <x v="4"/>
    <n v="1"/>
  </r>
  <r>
    <x v="322"/>
    <x v="4"/>
    <n v="1"/>
  </r>
  <r>
    <x v="104"/>
    <x v="4"/>
    <n v="1"/>
  </r>
  <r>
    <x v="381"/>
    <x v="4"/>
    <n v="1"/>
  </r>
  <r>
    <x v="73"/>
    <x v="4"/>
    <n v="1"/>
  </r>
  <r>
    <x v="382"/>
    <x v="4"/>
    <n v="1"/>
  </r>
  <r>
    <x v="383"/>
    <x v="4"/>
    <n v="1"/>
  </r>
  <r>
    <x v="384"/>
    <x v="4"/>
    <n v="1"/>
  </r>
  <r>
    <x v="70"/>
    <x v="4"/>
    <n v="1"/>
  </r>
  <r>
    <x v="385"/>
    <x v="4"/>
    <n v="1"/>
  </r>
  <r>
    <x v="386"/>
    <x v="4"/>
    <n v="1"/>
  </r>
  <r>
    <x v="175"/>
    <x v="4"/>
    <n v="1"/>
  </r>
  <r>
    <x v="387"/>
    <x v="4"/>
    <n v="1"/>
  </r>
  <r>
    <x v="388"/>
    <x v="4"/>
    <n v="1"/>
  </r>
  <r>
    <x v="389"/>
    <x v="4"/>
    <n v="1"/>
  </r>
  <r>
    <x v="157"/>
    <x v="4"/>
    <n v="1"/>
  </r>
  <r>
    <x v="37"/>
    <x v="4"/>
    <n v="1"/>
  </r>
  <r>
    <x v="390"/>
    <x v="4"/>
    <n v="1"/>
  </r>
  <r>
    <x v="391"/>
    <x v="4"/>
    <n v="1"/>
  </r>
  <r>
    <x v="392"/>
    <x v="4"/>
    <n v="1"/>
  </r>
  <r>
    <x v="172"/>
    <x v="4"/>
    <n v="1"/>
  </r>
  <r>
    <x v="393"/>
    <x v="4"/>
    <n v="1"/>
  </r>
  <r>
    <x v="394"/>
    <x v="4"/>
    <n v="1"/>
  </r>
  <r>
    <x v="54"/>
    <x v="4"/>
    <n v="1"/>
  </r>
  <r>
    <x v="395"/>
    <x v="4"/>
    <n v="1"/>
  </r>
  <r>
    <x v="396"/>
    <x v="4"/>
    <n v="1"/>
  </r>
  <r>
    <x v="34"/>
    <x v="4"/>
    <n v="1"/>
  </r>
  <r>
    <x v="397"/>
    <x v="4"/>
    <n v="1"/>
  </r>
  <r>
    <x v="94"/>
    <x v="4"/>
    <n v="1"/>
  </r>
  <r>
    <x v="398"/>
    <x v="4"/>
    <n v="1"/>
  </r>
  <r>
    <x v="219"/>
    <x v="4"/>
    <n v="1"/>
  </r>
  <r>
    <x v="399"/>
    <x v="4"/>
    <n v="1"/>
  </r>
  <r>
    <x v="193"/>
    <x v="4"/>
    <n v="1"/>
  </r>
  <r>
    <x v="400"/>
    <x v="4"/>
    <n v="1"/>
  </r>
  <r>
    <x v="221"/>
    <x v="4"/>
    <n v="1"/>
  </r>
  <r>
    <x v="401"/>
    <x v="4"/>
    <n v="1"/>
  </r>
  <r>
    <x v="40"/>
    <x v="4"/>
    <n v="1"/>
  </r>
  <r>
    <x v="402"/>
    <x v="4"/>
    <n v="1"/>
  </r>
  <r>
    <x v="403"/>
    <x v="4"/>
    <n v="1"/>
  </r>
  <r>
    <x v="59"/>
    <x v="4"/>
    <n v="1"/>
  </r>
  <r>
    <x v="404"/>
    <x v="4"/>
    <n v="1"/>
  </r>
  <r>
    <x v="405"/>
    <x v="4"/>
    <n v="1"/>
  </r>
  <r>
    <x v="164"/>
    <x v="4"/>
    <n v="1"/>
  </r>
  <r>
    <x v="116"/>
    <x v="4"/>
    <n v="1"/>
  </r>
  <r>
    <x v="406"/>
    <x v="4"/>
    <n v="1"/>
  </r>
  <r>
    <x v="407"/>
    <x v="4"/>
    <n v="1"/>
  </r>
  <r>
    <x v="270"/>
    <x v="4"/>
    <n v="1"/>
  </r>
  <r>
    <x v="122"/>
    <x v="4"/>
    <n v="1"/>
  </r>
  <r>
    <x v="408"/>
    <x v="4"/>
    <n v="1"/>
  </r>
  <r>
    <x v="409"/>
    <x v="4"/>
    <n v="1"/>
  </r>
  <r>
    <x v="147"/>
    <x v="4"/>
    <n v="1"/>
  </r>
  <r>
    <x v="179"/>
    <x v="4"/>
    <n v="1"/>
  </r>
  <r>
    <x v="410"/>
    <x v="4"/>
    <n v="1"/>
  </r>
  <r>
    <x v="411"/>
    <x v="4"/>
    <n v="1"/>
  </r>
  <r>
    <x v="36"/>
    <x v="4"/>
    <n v="1"/>
  </r>
  <r>
    <x v="180"/>
    <x v="4"/>
    <n v="1"/>
  </r>
  <r>
    <x v="412"/>
    <x v="4"/>
    <n v="1"/>
  </r>
  <r>
    <x v="223"/>
    <x v="4"/>
    <n v="1"/>
  </r>
  <r>
    <x v="158"/>
    <x v="4"/>
    <n v="1"/>
  </r>
  <r>
    <x v="159"/>
    <x v="4"/>
    <n v="1"/>
  </r>
  <r>
    <x v="413"/>
    <x v="4"/>
    <n v="1"/>
  </r>
  <r>
    <x v="414"/>
    <x v="4"/>
    <n v="1"/>
  </r>
  <r>
    <x v="415"/>
    <x v="4"/>
    <n v="1"/>
  </r>
  <r>
    <x v="416"/>
    <x v="4"/>
    <n v="1"/>
  </r>
  <r>
    <x v="26"/>
    <x v="4"/>
    <n v="1"/>
  </r>
  <r>
    <x v="13"/>
    <x v="5"/>
    <n v="12"/>
  </r>
  <r>
    <x v="65"/>
    <x v="5"/>
    <n v="11"/>
  </r>
  <r>
    <x v="57"/>
    <x v="5"/>
    <n v="7"/>
  </r>
  <r>
    <x v="187"/>
    <x v="5"/>
    <n v="7"/>
  </r>
  <r>
    <x v="1"/>
    <x v="5"/>
    <n v="6"/>
  </r>
  <r>
    <x v="228"/>
    <x v="5"/>
    <n v="6"/>
  </r>
  <r>
    <x v="2"/>
    <x v="5"/>
    <n v="6"/>
  </r>
  <r>
    <x v="11"/>
    <x v="5"/>
    <n v="5"/>
  </r>
  <r>
    <x v="27"/>
    <x v="5"/>
    <n v="5"/>
  </r>
  <r>
    <x v="7"/>
    <x v="5"/>
    <n v="5"/>
  </r>
  <r>
    <x v="34"/>
    <x v="5"/>
    <n v="5"/>
  </r>
  <r>
    <x v="6"/>
    <x v="5"/>
    <n v="5"/>
  </r>
  <r>
    <x v="417"/>
    <x v="5"/>
    <n v="5"/>
  </r>
  <r>
    <x v="0"/>
    <x v="5"/>
    <n v="4"/>
  </r>
  <r>
    <x v="4"/>
    <x v="5"/>
    <n v="4"/>
  </r>
  <r>
    <x v="418"/>
    <x v="5"/>
    <n v="4"/>
  </r>
  <r>
    <x v="44"/>
    <x v="5"/>
    <n v="4"/>
  </r>
  <r>
    <x v="29"/>
    <x v="5"/>
    <n v="4"/>
  </r>
  <r>
    <x v="10"/>
    <x v="5"/>
    <n v="4"/>
  </r>
  <r>
    <x v="419"/>
    <x v="5"/>
    <n v="4"/>
  </r>
  <r>
    <x v="420"/>
    <x v="5"/>
    <n v="3"/>
  </r>
  <r>
    <x v="15"/>
    <x v="5"/>
    <n v="3"/>
  </r>
  <r>
    <x v="195"/>
    <x v="5"/>
    <n v="3"/>
  </r>
  <r>
    <x v="356"/>
    <x v="5"/>
    <n v="3"/>
  </r>
  <r>
    <x v="85"/>
    <x v="5"/>
    <n v="3"/>
  </r>
  <r>
    <x v="159"/>
    <x v="5"/>
    <n v="3"/>
  </r>
  <r>
    <x v="135"/>
    <x v="5"/>
    <n v="3"/>
  </r>
  <r>
    <x v="421"/>
    <x v="5"/>
    <n v="3"/>
  </r>
  <r>
    <x v="422"/>
    <x v="5"/>
    <n v="3"/>
  </r>
  <r>
    <x v="423"/>
    <x v="5"/>
    <n v="3"/>
  </r>
  <r>
    <x v="424"/>
    <x v="5"/>
    <n v="3"/>
  </r>
  <r>
    <x v="250"/>
    <x v="5"/>
    <n v="3"/>
  </r>
  <r>
    <x v="425"/>
    <x v="5"/>
    <n v="3"/>
  </r>
  <r>
    <x v="426"/>
    <x v="5"/>
    <n v="3"/>
  </r>
  <r>
    <x v="95"/>
    <x v="5"/>
    <n v="2"/>
  </r>
  <r>
    <x v="62"/>
    <x v="5"/>
    <n v="2"/>
  </r>
  <r>
    <x v="221"/>
    <x v="5"/>
    <n v="2"/>
  </r>
  <r>
    <x v="47"/>
    <x v="5"/>
    <n v="2"/>
  </r>
  <r>
    <x v="427"/>
    <x v="5"/>
    <n v="2"/>
  </r>
  <r>
    <x v="428"/>
    <x v="5"/>
    <n v="2"/>
  </r>
  <r>
    <x v="154"/>
    <x v="5"/>
    <n v="2"/>
  </r>
  <r>
    <x v="3"/>
    <x v="5"/>
    <n v="2"/>
  </r>
  <r>
    <x v="429"/>
    <x v="5"/>
    <n v="2"/>
  </r>
  <r>
    <x v="19"/>
    <x v="5"/>
    <n v="2"/>
  </r>
  <r>
    <x v="165"/>
    <x v="5"/>
    <n v="2"/>
  </r>
  <r>
    <x v="150"/>
    <x v="5"/>
    <n v="2"/>
  </r>
  <r>
    <x v="430"/>
    <x v="5"/>
    <n v="2"/>
  </r>
  <r>
    <x v="311"/>
    <x v="5"/>
    <n v="2"/>
  </r>
  <r>
    <x v="431"/>
    <x v="5"/>
    <n v="2"/>
  </r>
  <r>
    <x v="177"/>
    <x v="5"/>
    <n v="2"/>
  </r>
  <r>
    <x v="167"/>
    <x v="5"/>
    <n v="2"/>
  </r>
  <r>
    <x v="143"/>
    <x v="5"/>
    <n v="2"/>
  </r>
  <r>
    <x v="397"/>
    <x v="5"/>
    <n v="2"/>
  </r>
  <r>
    <x v="122"/>
    <x v="5"/>
    <n v="2"/>
  </r>
  <r>
    <x v="432"/>
    <x v="5"/>
    <n v="2"/>
  </r>
  <r>
    <x v="91"/>
    <x v="5"/>
    <n v="2"/>
  </r>
  <r>
    <x v="433"/>
    <x v="5"/>
    <n v="2"/>
  </r>
  <r>
    <x v="434"/>
    <x v="5"/>
    <n v="2"/>
  </r>
  <r>
    <x v="435"/>
    <x v="5"/>
    <n v="2"/>
  </r>
  <r>
    <x v="279"/>
    <x v="5"/>
    <n v="2"/>
  </r>
  <r>
    <x v="162"/>
    <x v="5"/>
    <n v="2"/>
  </r>
  <r>
    <x v="215"/>
    <x v="5"/>
    <n v="2"/>
  </r>
  <r>
    <x v="137"/>
    <x v="5"/>
    <n v="2"/>
  </r>
  <r>
    <x v="436"/>
    <x v="5"/>
    <n v="2"/>
  </r>
  <r>
    <x v="437"/>
    <x v="5"/>
    <n v="2"/>
  </r>
  <r>
    <x v="155"/>
    <x v="5"/>
    <n v="2"/>
  </r>
  <r>
    <x v="72"/>
    <x v="5"/>
    <n v="1"/>
  </r>
  <r>
    <x v="438"/>
    <x v="5"/>
    <n v="1"/>
  </r>
  <r>
    <x v="110"/>
    <x v="5"/>
    <n v="1"/>
  </r>
  <r>
    <x v="140"/>
    <x v="5"/>
    <n v="1"/>
  </r>
  <r>
    <x v="139"/>
    <x v="5"/>
    <n v="1"/>
  </r>
  <r>
    <x v="409"/>
    <x v="5"/>
    <n v="1"/>
  </r>
  <r>
    <x v="121"/>
    <x v="5"/>
    <n v="1"/>
  </r>
  <r>
    <x v="439"/>
    <x v="5"/>
    <n v="1"/>
  </r>
  <r>
    <x v="407"/>
    <x v="5"/>
    <n v="1"/>
  </r>
  <r>
    <x v="440"/>
    <x v="5"/>
    <n v="1"/>
  </r>
  <r>
    <x v="281"/>
    <x v="5"/>
    <n v="1"/>
  </r>
  <r>
    <x v="441"/>
    <x v="5"/>
    <n v="1"/>
  </r>
  <r>
    <x v="442"/>
    <x v="5"/>
    <n v="1"/>
  </r>
  <r>
    <x v="35"/>
    <x v="5"/>
    <n v="1"/>
  </r>
  <r>
    <x v="115"/>
    <x v="5"/>
    <n v="1"/>
  </r>
  <r>
    <x v="443"/>
    <x v="5"/>
    <n v="1"/>
  </r>
  <r>
    <x v="23"/>
    <x v="5"/>
    <n v="1"/>
  </r>
  <r>
    <x v="18"/>
    <x v="5"/>
    <n v="1"/>
  </r>
  <r>
    <x v="71"/>
    <x v="5"/>
    <n v="1"/>
  </r>
  <r>
    <x v="123"/>
    <x v="5"/>
    <n v="1"/>
  </r>
  <r>
    <x v="138"/>
    <x v="5"/>
    <n v="1"/>
  </r>
  <r>
    <x v="172"/>
    <x v="5"/>
    <n v="1"/>
  </r>
  <r>
    <x v="296"/>
    <x v="5"/>
    <n v="1"/>
  </r>
  <r>
    <x v="127"/>
    <x v="5"/>
    <n v="1"/>
  </r>
  <r>
    <x v="444"/>
    <x v="5"/>
    <n v="1"/>
  </r>
  <r>
    <x v="445"/>
    <x v="5"/>
    <n v="1"/>
  </r>
  <r>
    <x v="446"/>
    <x v="5"/>
    <n v="1"/>
  </r>
  <r>
    <x v="208"/>
    <x v="5"/>
    <n v="1"/>
  </r>
  <r>
    <x v="249"/>
    <x v="5"/>
    <n v="1"/>
  </r>
  <r>
    <x v="447"/>
    <x v="5"/>
    <n v="1"/>
  </r>
  <r>
    <x v="448"/>
    <x v="5"/>
    <n v="1"/>
  </r>
  <r>
    <x v="82"/>
    <x v="5"/>
    <n v="1"/>
  </r>
  <r>
    <x v="83"/>
    <x v="5"/>
    <n v="1"/>
  </r>
  <r>
    <x v="28"/>
    <x v="5"/>
    <n v="1"/>
  </r>
  <r>
    <x v="449"/>
    <x v="5"/>
    <n v="1"/>
  </r>
  <r>
    <x v="450"/>
    <x v="5"/>
    <n v="1"/>
  </r>
  <r>
    <x v="451"/>
    <x v="5"/>
    <n v="1"/>
  </r>
  <r>
    <x v="452"/>
    <x v="5"/>
    <n v="1"/>
  </r>
  <r>
    <x v="25"/>
    <x v="5"/>
    <n v="1"/>
  </r>
  <r>
    <x v="164"/>
    <x v="5"/>
    <n v="1"/>
  </r>
  <r>
    <x v="66"/>
    <x v="5"/>
    <n v="1"/>
  </r>
  <r>
    <x v="58"/>
    <x v="5"/>
    <n v="1"/>
  </r>
  <r>
    <x v="64"/>
    <x v="5"/>
    <n v="1"/>
  </r>
  <r>
    <x v="453"/>
    <x v="5"/>
    <n v="1"/>
  </r>
  <r>
    <x v="12"/>
    <x v="5"/>
    <n v="1"/>
  </r>
  <r>
    <x v="454"/>
    <x v="5"/>
    <n v="1"/>
  </r>
  <r>
    <x v="308"/>
    <x v="5"/>
    <n v="1"/>
  </r>
  <r>
    <x v="455"/>
    <x v="5"/>
    <n v="1"/>
  </r>
  <r>
    <x v="456"/>
    <x v="5"/>
    <n v="1"/>
  </r>
  <r>
    <x v="327"/>
    <x v="5"/>
    <n v="1"/>
  </r>
  <r>
    <x v="457"/>
    <x v="5"/>
    <n v="1"/>
  </r>
  <r>
    <x v="404"/>
    <x v="5"/>
    <n v="1"/>
  </r>
  <r>
    <x v="21"/>
    <x v="5"/>
    <n v="1"/>
  </r>
  <r>
    <x v="230"/>
    <x v="5"/>
    <n v="1"/>
  </r>
  <r>
    <x v="179"/>
    <x v="5"/>
    <n v="1"/>
  </r>
  <r>
    <x v="458"/>
    <x v="5"/>
    <n v="1"/>
  </r>
  <r>
    <x v="37"/>
    <x v="5"/>
    <n v="1"/>
  </r>
  <r>
    <x v="459"/>
    <x v="5"/>
    <n v="1"/>
  </r>
  <r>
    <x v="40"/>
    <x v="5"/>
    <n v="1"/>
  </r>
  <r>
    <x v="73"/>
    <x v="5"/>
    <n v="1"/>
  </r>
  <r>
    <x v="460"/>
    <x v="5"/>
    <n v="1"/>
  </r>
  <r>
    <x v="461"/>
    <x v="5"/>
    <n v="1"/>
  </r>
  <r>
    <x v="462"/>
    <x v="5"/>
    <n v="1"/>
  </r>
  <r>
    <x v="171"/>
    <x v="5"/>
    <n v="1"/>
  </r>
  <r>
    <x v="463"/>
    <x v="5"/>
    <n v="1"/>
  </r>
  <r>
    <x v="464"/>
    <x v="5"/>
    <n v="1"/>
  </r>
  <r>
    <x v="465"/>
    <x v="5"/>
    <n v="1"/>
  </r>
  <r>
    <x v="26"/>
    <x v="5"/>
    <n v="1"/>
  </r>
  <r>
    <x v="466"/>
    <x v="5"/>
    <n v="1"/>
  </r>
  <r>
    <x v="467"/>
    <x v="5"/>
    <n v="1"/>
  </r>
  <r>
    <x v="168"/>
    <x v="5"/>
    <n v="1"/>
  </r>
  <r>
    <x v="468"/>
    <x v="5"/>
    <n v="1"/>
  </r>
  <r>
    <x v="469"/>
    <x v="5"/>
    <n v="1"/>
  </r>
  <r>
    <x v="470"/>
    <x v="5"/>
    <n v="1"/>
  </r>
  <r>
    <x v="36"/>
    <x v="5"/>
    <n v="1"/>
  </r>
  <r>
    <x v="471"/>
    <x v="5"/>
    <n v="1"/>
  </r>
  <r>
    <x v="194"/>
    <x v="5"/>
    <n v="1"/>
  </r>
  <r>
    <x v="472"/>
    <x v="5"/>
    <n v="1"/>
  </r>
  <r>
    <x v="473"/>
    <x v="5"/>
    <n v="1"/>
  </r>
  <r>
    <x v="474"/>
    <x v="5"/>
    <n v="1"/>
  </r>
  <r>
    <x v="166"/>
    <x v="5"/>
    <n v="1"/>
  </r>
  <r>
    <x v="191"/>
    <x v="5"/>
    <n v="1"/>
  </r>
  <r>
    <x v="298"/>
    <x v="5"/>
    <n v="1"/>
  </r>
  <r>
    <x v="357"/>
    <x v="5"/>
    <n v="1"/>
  </r>
  <r>
    <x v="84"/>
    <x v="5"/>
    <n v="1"/>
  </r>
  <r>
    <x v="475"/>
    <x v="5"/>
    <n v="1"/>
  </r>
  <r>
    <x v="476"/>
    <x v="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2F1CC-C4E8-457B-A88C-ADF80BB8BAF4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52:H60" firstHeaderRow="1" firstDataRow="1" firstDataCol="1"/>
  <pivotFields count="3">
    <pivotField axis="axisRow" showAll="0">
      <items count="478">
        <item x="234"/>
        <item x="384"/>
        <item x="368"/>
        <item x="141"/>
        <item x="63"/>
        <item x="76"/>
        <item x="320"/>
        <item x="427"/>
        <item x="437"/>
        <item x="172"/>
        <item x="105"/>
        <item x="37"/>
        <item x="464"/>
        <item x="208"/>
        <item x="69"/>
        <item x="316"/>
        <item x="77"/>
        <item x="261"/>
        <item x="434"/>
        <item x="209"/>
        <item x="249"/>
        <item x="326"/>
        <item x="176"/>
        <item x="94"/>
        <item x="158"/>
        <item x="101"/>
        <item x="329"/>
        <item x="381"/>
        <item x="388"/>
        <item x="156"/>
        <item x="169"/>
        <item x="471"/>
        <item x="327"/>
        <item x="164"/>
        <item x="453"/>
        <item x="350"/>
        <item x="38"/>
        <item x="194"/>
        <item x="193"/>
        <item x="308"/>
        <item x="401"/>
        <item x="450"/>
        <item x="184"/>
        <item x="147"/>
        <item x="211"/>
        <item x="280"/>
        <item x="334"/>
        <item x="335"/>
        <item x="365"/>
        <item x="367"/>
        <item x="282"/>
        <item x="180"/>
        <item x="127"/>
        <item x="97"/>
        <item x="225"/>
        <item x="390"/>
        <item x="428"/>
        <item x="342"/>
        <item x="168"/>
        <item x="89"/>
        <item x="6"/>
        <item x="405"/>
        <item x="2"/>
        <item x="59"/>
        <item x="378"/>
        <item x="403"/>
        <item x="273"/>
        <item x="31"/>
        <item x="212"/>
        <item x="246"/>
        <item x="451"/>
        <item x="39"/>
        <item x="281"/>
        <item x="34"/>
        <item x="182"/>
        <item x="399"/>
        <item x="285"/>
        <item x="73"/>
        <item x="421"/>
        <item x="9"/>
        <item x="265"/>
        <item x="266"/>
        <item x="309"/>
        <item x="81"/>
        <item x="103"/>
        <item x="82"/>
        <item x="83"/>
        <item x="111"/>
        <item x="124"/>
        <item x="125"/>
        <item x="318"/>
        <item x="268"/>
        <item x="251"/>
        <item x="443"/>
        <item x="67"/>
        <item x="92"/>
        <item x="307"/>
        <item x="278"/>
        <item x="222"/>
        <item x="313"/>
        <item x="413"/>
        <item x="219"/>
        <item x="435"/>
        <item x="61"/>
        <item x="133"/>
        <item x="244"/>
        <item x="14"/>
        <item x="256"/>
        <item x="439"/>
        <item x="242"/>
        <item x="5"/>
        <item x="312"/>
        <item x="216"/>
        <item x="460"/>
        <item x="364"/>
        <item x="221"/>
        <item x="393"/>
        <item x="311"/>
        <item x="79"/>
        <item x="440"/>
        <item x="72"/>
        <item x="162"/>
        <item x="215"/>
        <item x="17"/>
        <item x="217"/>
        <item x="98"/>
        <item x="287"/>
        <item x="58"/>
        <item x="247"/>
        <item x="385"/>
        <item x="41"/>
        <item x="344"/>
        <item x="396"/>
        <item x="286"/>
        <item x="366"/>
        <item x="56"/>
        <item x="356"/>
        <item x="129"/>
        <item x="195"/>
        <item x="323"/>
        <item x="126"/>
        <item x="255"/>
        <item x="300"/>
        <item x="160"/>
        <item x="178"/>
        <item x="295"/>
        <item x="314"/>
        <item x="161"/>
        <item x="181"/>
        <item x="269"/>
        <item x="417"/>
        <item x="467"/>
        <item x="18"/>
        <item x="91"/>
        <item x="412"/>
        <item x="47"/>
        <item x="297"/>
        <item x="298"/>
        <item x="132"/>
        <item x="301"/>
        <item x="191"/>
        <item x="203"/>
        <item x="93"/>
        <item x="122"/>
        <item x="43"/>
        <item x="291"/>
        <item x="197"/>
        <item x="436"/>
        <item x="468"/>
        <item x="115"/>
        <item x="237"/>
        <item x="46"/>
        <item x="457"/>
        <item x="223"/>
        <item x="205"/>
        <item x="109"/>
        <item x="383"/>
        <item x="151"/>
        <item x="274"/>
        <item x="426"/>
        <item x="27"/>
        <item x="354"/>
        <item x="71"/>
        <item x="459"/>
        <item x="10"/>
        <item x="204"/>
        <item x="7"/>
        <item x="461"/>
        <item x="258"/>
        <item x="433"/>
        <item x="57"/>
        <item x="333"/>
        <item x="337"/>
        <item x="229"/>
        <item x="377"/>
        <item x="220"/>
        <item x="339"/>
        <item x="16"/>
        <item x="114"/>
        <item x="231"/>
        <item x="416"/>
        <item x="145"/>
        <item x="22"/>
        <item x="476"/>
        <item x="270"/>
        <item x="272"/>
        <item x="429"/>
        <item x="15"/>
        <item x="349"/>
        <item x="289"/>
        <item x="411"/>
        <item x="452"/>
        <item x="260"/>
        <item x="398"/>
        <item x="53"/>
        <item x="75"/>
        <item x="418"/>
        <item x="382"/>
        <item x="391"/>
        <item x="110"/>
        <item x="455"/>
        <item x="404"/>
        <item x="166"/>
        <item x="123"/>
        <item x="187"/>
        <item x="157"/>
        <item x="343"/>
        <item x="143"/>
        <item x="406"/>
        <item x="84"/>
        <item x="303"/>
        <item x="113"/>
        <item x="347"/>
        <item x="1"/>
        <item x="243"/>
        <item x="54"/>
        <item x="322"/>
        <item x="228"/>
        <item x="24"/>
        <item x="425"/>
        <item x="423"/>
        <item x="257"/>
        <item x="108"/>
        <item x="304"/>
        <item x="293"/>
        <item x="395"/>
        <item x="130"/>
        <item x="288"/>
        <item x="267"/>
        <item x="317"/>
        <item x="373"/>
        <item x="167"/>
        <item x="199"/>
        <item x="88"/>
        <item x="142"/>
        <item x="279"/>
        <item x="431"/>
        <item x="44"/>
        <item x="409"/>
        <item x="144"/>
        <item x="345"/>
        <item x="394"/>
        <item x="324"/>
        <item x="139"/>
        <item x="66"/>
        <item x="402"/>
        <item x="469"/>
        <item x="154"/>
        <item x="363"/>
        <item x="358"/>
        <item x="319"/>
        <item x="106"/>
        <item x="90"/>
        <item x="271"/>
        <item x="55"/>
        <item x="371"/>
        <item x="174"/>
        <item x="150"/>
        <item x="65"/>
        <item x="117"/>
        <item x="430"/>
        <item x="185"/>
        <item x="198"/>
        <item x="380"/>
        <item x="379"/>
        <item x="118"/>
        <item x="232"/>
        <item x="238"/>
        <item x="214"/>
        <item x="444"/>
        <item x="419"/>
        <item x="321"/>
        <item x="33"/>
        <item x="262"/>
        <item x="357"/>
        <item x="400"/>
        <item x="68"/>
        <item x="179"/>
        <item x="233"/>
        <item x="8"/>
        <item x="104"/>
        <item x="348"/>
        <item x="175"/>
        <item x="292"/>
        <item x="138"/>
        <item x="276"/>
        <item x="177"/>
        <item x="386"/>
        <item x="474"/>
        <item x="284"/>
        <item x="346"/>
        <item x="155"/>
        <item x="128"/>
        <item x="131"/>
        <item x="62"/>
        <item x="148"/>
        <item x="441"/>
        <item x="302"/>
        <item x="28"/>
        <item x="227"/>
        <item x="341"/>
        <item x="445"/>
        <item x="200"/>
        <item x="353"/>
        <item x="40"/>
        <item x="50"/>
        <item x="392"/>
        <item x="420"/>
        <item x="331"/>
        <item x="189"/>
        <item x="359"/>
        <item x="414"/>
        <item x="152"/>
        <item x="64"/>
        <item x="26"/>
        <item x="422"/>
        <item x="230"/>
        <item x="32"/>
        <item x="210"/>
        <item x="11"/>
        <item x="473"/>
        <item x="415"/>
        <item x="277"/>
        <item x="374"/>
        <item x="245"/>
        <item x="263"/>
        <item x="0"/>
        <item x="306"/>
        <item x="332"/>
        <item x="370"/>
        <item x="135"/>
        <item x="470"/>
        <item x="294"/>
        <item x="159"/>
        <item x="21"/>
        <item x="372"/>
        <item x="397"/>
        <item x="389"/>
        <item x="362"/>
        <item x="218"/>
        <item x="235"/>
        <item x="74"/>
        <item x="4"/>
        <item x="355"/>
        <item x="30"/>
        <item x="299"/>
        <item x="296"/>
        <item x="239"/>
        <item x="96"/>
        <item x="462"/>
        <item x="454"/>
        <item x="171"/>
        <item x="202"/>
        <item x="190"/>
        <item x="20"/>
        <item x="45"/>
        <item x="458"/>
        <item x="315"/>
        <item x="226"/>
        <item x="25"/>
        <item x="206"/>
        <item x="173"/>
        <item x="456"/>
        <item x="463"/>
        <item x="19"/>
        <item x="241"/>
        <item x="360"/>
        <item x="283"/>
        <item x="207"/>
        <item x="340"/>
        <item x="70"/>
        <item x="121"/>
        <item x="201"/>
        <item x="328"/>
        <item x="51"/>
        <item x="351"/>
        <item x="254"/>
        <item x="170"/>
        <item x="408"/>
        <item x="250"/>
        <item x="475"/>
        <item x="52"/>
        <item x="259"/>
        <item x="136"/>
        <item x="330"/>
        <item x="36"/>
        <item x="48"/>
        <item x="290"/>
        <item x="87"/>
        <item x="163"/>
        <item x="23"/>
        <item x="375"/>
        <item x="85"/>
        <item x="336"/>
        <item x="407"/>
        <item x="29"/>
        <item x="186"/>
        <item x="100"/>
        <item x="12"/>
        <item x="49"/>
        <item x="134"/>
        <item x="42"/>
        <item x="149"/>
        <item x="310"/>
        <item x="140"/>
        <item x="102"/>
        <item x="78"/>
        <item x="213"/>
        <item x="352"/>
        <item x="112"/>
        <item x="13"/>
        <item x="196"/>
        <item x="472"/>
        <item x="253"/>
        <item x="188"/>
        <item x="325"/>
        <item x="275"/>
        <item x="410"/>
        <item x="252"/>
        <item x="446"/>
        <item x="432"/>
        <item x="35"/>
        <item x="192"/>
        <item x="95"/>
        <item x="107"/>
        <item x="146"/>
        <item x="119"/>
        <item x="361"/>
        <item x="183"/>
        <item x="165"/>
        <item x="248"/>
        <item x="466"/>
        <item x="465"/>
        <item x="449"/>
        <item x="86"/>
        <item x="264"/>
        <item x="137"/>
        <item x="387"/>
        <item x="438"/>
        <item x="369"/>
        <item x="442"/>
        <item x="153"/>
        <item x="116"/>
        <item x="3"/>
        <item x="80"/>
        <item x="240"/>
        <item x="448"/>
        <item x="447"/>
        <item x="120"/>
        <item x="338"/>
        <item x="376"/>
        <item x="99"/>
        <item x="224"/>
        <item x="424"/>
        <item x="236"/>
        <item x="60"/>
        <item x="305"/>
        <item t="default"/>
      </items>
    </pivotField>
    <pivotField axis="axisRow" showAll="0">
      <items count="7">
        <item sd="0" x="0"/>
        <item sd="0" x="1"/>
        <item sd="0" x="2"/>
        <item x="3"/>
        <item sd="0" x="4"/>
        <item sd="0" x="5"/>
        <item t="default"/>
      </items>
    </pivotField>
    <pivotField dataField="1" showAll="0"/>
  </pivotFields>
  <rowFields count="2">
    <field x="1"/>
    <field x="0"/>
  </rowFields>
  <rowItems count="8">
    <i>
      <x/>
    </i>
    <i>
      <x v="1"/>
    </i>
    <i>
      <x v="2"/>
    </i>
    <i>
      <x v="3"/>
    </i>
    <i r="1">
      <x v="259"/>
    </i>
    <i>
      <x v="4"/>
    </i>
    <i>
      <x v="5"/>
    </i>
    <i t="grand">
      <x/>
    </i>
  </rowItems>
  <colItems count="1">
    <i/>
  </colItems>
  <dataFields count="1">
    <dataField name="Suma de MOVIMIENTO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EE20E8-4B3E-432E-AF00-835763180081}" name="Tabla1" displayName="Tabla1" ref="A4:F1405" totalsRowShown="0" headerRowDxfId="0">
  <autoFilter ref="A4:F1405" xr:uid="{6DFB5A01-5CE3-40A1-BF77-8A87B45AF9CF}">
    <filterColumn colId="1">
      <filters>
        <filter val="JOEL"/>
      </filters>
    </filterColumn>
  </autoFilter>
  <sortState xmlns:xlrd2="http://schemas.microsoft.com/office/spreadsheetml/2017/richdata2" ref="A7:F1405">
    <sortCondition ref="B4:B1405"/>
  </sortState>
  <tableColumns count="6">
    <tableColumn id="1" xr3:uid="{3DFEC869-1FAB-4177-9E64-7A84CE8214DC}" name="TABLA GENERAL DE ENVÍOS"/>
    <tableColumn id="2" xr3:uid="{BFD8ED01-1BE9-4E12-BC42-E2E7254A357C}" name="OPERADOR"/>
    <tableColumn id="3" xr3:uid="{747B4BAF-75C3-4973-867D-116722C5264B}" name="LOCALIDAD"/>
    <tableColumn id="4" xr3:uid="{1A4A3D0F-C642-406B-9618-7F4CB969640B}" name="ENVIOS"/>
    <tableColumn id="5" xr3:uid="{6103BB2E-C1DE-4495-9859-0BB5A028622C}" name="IMPORTE "/>
    <tableColumn id="6" xr3:uid="{7D84946F-881C-4E98-A466-36C06A457552}" name="NUMERO DE CLIEN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F4C7A-0EEC-4AD1-A947-483A40BCAB3D}">
  <sheetPr codeName="Hoja1"/>
  <dimension ref="A3:I317"/>
  <sheetViews>
    <sheetView topLeftCell="A301" zoomScaleNormal="100" workbookViewId="0">
      <selection activeCell="C317" sqref="C317"/>
    </sheetView>
  </sheetViews>
  <sheetFormatPr baseColWidth="10" defaultRowHeight="16.5" x14ac:dyDescent="0.3"/>
  <cols>
    <col min="1" max="1" width="11.42578125" style="1"/>
    <col min="2" max="2" width="43.28515625" style="1" customWidth="1"/>
    <col min="3" max="3" width="44.42578125" style="1" customWidth="1"/>
    <col min="4" max="4" width="8.28515625" style="1" customWidth="1"/>
    <col min="5" max="5" width="13.7109375" style="1" bestFit="1" customWidth="1"/>
    <col min="6" max="7" width="12.42578125" style="2" bestFit="1" customWidth="1"/>
    <col min="8" max="8" width="11.42578125" style="2"/>
    <col min="9" max="9" width="12.140625" style="6" bestFit="1" customWidth="1"/>
    <col min="10" max="16384" width="11.42578125" style="1"/>
  </cols>
  <sheetData>
    <row r="3" spans="1:9" x14ac:dyDescent="0.3">
      <c r="A3" s="1" t="s">
        <v>10</v>
      </c>
      <c r="B3" s="1" t="s">
        <v>1</v>
      </c>
      <c r="C3" s="1" t="s">
        <v>2</v>
      </c>
      <c r="D3" s="1">
        <v>348589</v>
      </c>
      <c r="E3" s="1">
        <v>5534503062</v>
      </c>
      <c r="F3" s="2">
        <v>5345</v>
      </c>
      <c r="G3" s="2">
        <v>0</v>
      </c>
      <c r="H3" s="2">
        <f t="shared" ref="H3:H66" si="0">F3+G3</f>
        <v>5345</v>
      </c>
      <c r="I3" s="6">
        <v>46001</v>
      </c>
    </row>
    <row r="4" spans="1:9" s="3" customFormat="1" x14ac:dyDescent="0.3">
      <c r="A4" s="3" t="s">
        <v>10</v>
      </c>
      <c r="B4" s="3" t="s">
        <v>3</v>
      </c>
      <c r="C4" s="3" t="s">
        <v>4</v>
      </c>
      <c r="D4" s="3">
        <v>348586</v>
      </c>
      <c r="E4" s="3">
        <v>5548544947</v>
      </c>
      <c r="F4" s="4">
        <v>2723</v>
      </c>
      <c r="G4" s="4">
        <v>0</v>
      </c>
      <c r="H4" s="4">
        <f t="shared" si="0"/>
        <v>2723</v>
      </c>
      <c r="I4" s="7">
        <v>46001</v>
      </c>
    </row>
    <row r="5" spans="1:9" x14ac:dyDescent="0.3">
      <c r="A5" s="1" t="s">
        <v>10</v>
      </c>
      <c r="B5" s="1" t="s">
        <v>5</v>
      </c>
      <c r="C5" s="1" t="s">
        <v>6</v>
      </c>
      <c r="D5" s="1">
        <v>176387</v>
      </c>
      <c r="E5" s="1">
        <v>5531355618</v>
      </c>
      <c r="F5" s="2">
        <v>3990</v>
      </c>
      <c r="G5" s="2">
        <v>320</v>
      </c>
      <c r="H5" s="2">
        <f t="shared" si="0"/>
        <v>4310</v>
      </c>
      <c r="I5" s="6">
        <v>46001</v>
      </c>
    </row>
    <row r="6" spans="1:9" s="3" customFormat="1" x14ac:dyDescent="0.3">
      <c r="A6" s="3" t="s">
        <v>10</v>
      </c>
      <c r="B6" s="3" t="s">
        <v>7</v>
      </c>
      <c r="C6" s="3" t="s">
        <v>30</v>
      </c>
      <c r="D6" s="3">
        <v>293806</v>
      </c>
      <c r="E6" s="3">
        <v>5545758293</v>
      </c>
      <c r="F6" s="4">
        <v>1019.52</v>
      </c>
      <c r="G6" s="4">
        <v>0</v>
      </c>
      <c r="H6" s="4">
        <f t="shared" si="0"/>
        <v>1019.52</v>
      </c>
      <c r="I6" s="7">
        <v>46001</v>
      </c>
    </row>
    <row r="7" spans="1:9" x14ac:dyDescent="0.3">
      <c r="A7" s="1" t="s">
        <v>10</v>
      </c>
      <c r="B7" s="1" t="s">
        <v>8</v>
      </c>
      <c r="C7" s="1" t="s">
        <v>9</v>
      </c>
      <c r="D7" s="1">
        <v>175398</v>
      </c>
      <c r="E7" s="1">
        <v>3223271287</v>
      </c>
      <c r="F7" s="2">
        <v>1100</v>
      </c>
      <c r="G7" s="2">
        <v>23786.959999999999</v>
      </c>
      <c r="H7" s="2">
        <f t="shared" si="0"/>
        <v>24886.959999999999</v>
      </c>
      <c r="I7" s="6">
        <v>46001</v>
      </c>
    </row>
    <row r="8" spans="1:9" s="3" customFormat="1" x14ac:dyDescent="0.3">
      <c r="A8" s="3" t="s">
        <v>11</v>
      </c>
      <c r="B8" s="3" t="s">
        <v>12</v>
      </c>
      <c r="C8" s="3" t="s">
        <v>0</v>
      </c>
      <c r="D8" s="3">
        <v>293184</v>
      </c>
      <c r="F8" s="4">
        <v>14068.27</v>
      </c>
      <c r="G8" s="4">
        <v>10478.790000000001</v>
      </c>
      <c r="H8" s="4">
        <f t="shared" si="0"/>
        <v>24547.06</v>
      </c>
      <c r="I8" s="7">
        <v>46001</v>
      </c>
    </row>
    <row r="9" spans="1:9" x14ac:dyDescent="0.3">
      <c r="A9" s="1" t="s">
        <v>11</v>
      </c>
      <c r="B9" s="1" t="s">
        <v>13</v>
      </c>
      <c r="C9" s="1" t="s">
        <v>14</v>
      </c>
      <c r="D9" s="1">
        <v>293670</v>
      </c>
      <c r="E9" s="1">
        <v>5523788617</v>
      </c>
      <c r="F9" s="2">
        <v>1533.88</v>
      </c>
      <c r="G9" s="2">
        <v>0</v>
      </c>
      <c r="H9" s="2">
        <f t="shared" si="0"/>
        <v>1533.88</v>
      </c>
      <c r="I9" s="6">
        <v>46001</v>
      </c>
    </row>
    <row r="10" spans="1:9" s="3" customFormat="1" x14ac:dyDescent="0.3">
      <c r="A10" s="3" t="s">
        <v>11</v>
      </c>
      <c r="B10" s="3" t="s">
        <v>15</v>
      </c>
      <c r="C10" s="3" t="s">
        <v>16</v>
      </c>
      <c r="D10" s="3">
        <v>176271</v>
      </c>
      <c r="E10" s="3">
        <v>5661999204</v>
      </c>
      <c r="F10" s="4">
        <v>4807.99</v>
      </c>
      <c r="G10" s="4">
        <v>880</v>
      </c>
      <c r="H10" s="4">
        <f t="shared" si="0"/>
        <v>5687.99</v>
      </c>
      <c r="I10" s="7">
        <v>46001</v>
      </c>
    </row>
    <row r="11" spans="1:9" x14ac:dyDescent="0.3">
      <c r="A11" s="1" t="s">
        <v>11</v>
      </c>
      <c r="B11" s="1" t="s">
        <v>24</v>
      </c>
      <c r="C11" s="1" t="s">
        <v>80</v>
      </c>
      <c r="D11" s="1">
        <v>176248</v>
      </c>
      <c r="E11" s="1">
        <v>5542518119</v>
      </c>
      <c r="F11" s="2">
        <v>11758.4</v>
      </c>
      <c r="G11" s="2">
        <v>0</v>
      </c>
      <c r="H11" s="2">
        <f t="shared" si="0"/>
        <v>11758.4</v>
      </c>
      <c r="I11" s="6">
        <v>46001</v>
      </c>
    </row>
    <row r="12" spans="1:9" s="3" customFormat="1" x14ac:dyDescent="0.3">
      <c r="A12" s="3" t="s">
        <v>17</v>
      </c>
      <c r="B12" s="3" t="s">
        <v>18</v>
      </c>
      <c r="C12" s="3" t="s">
        <v>19</v>
      </c>
      <c r="D12" s="3">
        <v>176910</v>
      </c>
      <c r="E12" s="3">
        <v>5548766462</v>
      </c>
      <c r="F12" s="4">
        <v>254</v>
      </c>
      <c r="G12" s="4">
        <v>0</v>
      </c>
      <c r="H12" s="4">
        <f t="shared" si="0"/>
        <v>254</v>
      </c>
      <c r="I12" s="7">
        <v>46001</v>
      </c>
    </row>
    <row r="13" spans="1:9" x14ac:dyDescent="0.3">
      <c r="A13" s="1" t="s">
        <v>17</v>
      </c>
      <c r="B13" s="1" t="s">
        <v>20</v>
      </c>
      <c r="C13" s="3" t="s">
        <v>21</v>
      </c>
      <c r="D13" s="1">
        <v>348193</v>
      </c>
      <c r="E13" s="1">
        <v>5525562517</v>
      </c>
      <c r="F13" s="2">
        <v>2090</v>
      </c>
      <c r="G13" s="2">
        <v>24</v>
      </c>
      <c r="H13" s="2">
        <f t="shared" si="0"/>
        <v>2114</v>
      </c>
      <c r="I13" s="6">
        <v>46001</v>
      </c>
    </row>
    <row r="14" spans="1:9" s="3" customFormat="1" x14ac:dyDescent="0.3">
      <c r="A14" s="3" t="s">
        <v>17</v>
      </c>
      <c r="B14" s="3" t="s">
        <v>22</v>
      </c>
      <c r="C14" s="3" t="s">
        <v>23</v>
      </c>
      <c r="D14" s="3">
        <v>348140</v>
      </c>
      <c r="E14" s="3">
        <v>5572124980</v>
      </c>
      <c r="F14" s="4">
        <v>17449.669999999998</v>
      </c>
      <c r="G14" s="4">
        <v>0</v>
      </c>
      <c r="H14" s="4">
        <f t="shared" si="0"/>
        <v>17449.669999999998</v>
      </c>
      <c r="I14" s="7">
        <v>46001</v>
      </c>
    </row>
    <row r="15" spans="1:9" x14ac:dyDescent="0.3">
      <c r="A15" s="1" t="s">
        <v>17</v>
      </c>
      <c r="B15" s="1" t="s">
        <v>25</v>
      </c>
      <c r="C15" s="1" t="s">
        <v>26</v>
      </c>
      <c r="D15" s="1">
        <v>176367</v>
      </c>
      <c r="E15" s="1">
        <v>5620519870</v>
      </c>
      <c r="F15" s="2">
        <v>4102.3999999999996</v>
      </c>
      <c r="G15" s="2">
        <v>0</v>
      </c>
      <c r="H15" s="2">
        <f t="shared" si="0"/>
        <v>4102.3999999999996</v>
      </c>
      <c r="I15" s="6">
        <v>46001</v>
      </c>
    </row>
    <row r="16" spans="1:9" s="3" customFormat="1" x14ac:dyDescent="0.3">
      <c r="A16" s="3" t="s">
        <v>17</v>
      </c>
      <c r="B16" s="3" t="s">
        <v>27</v>
      </c>
      <c r="C16" s="3" t="s">
        <v>28</v>
      </c>
      <c r="D16" s="3" t="s">
        <v>29</v>
      </c>
      <c r="E16" s="3">
        <v>5536492649</v>
      </c>
      <c r="F16" s="4">
        <v>7373.44</v>
      </c>
      <c r="G16" s="4">
        <v>3580</v>
      </c>
      <c r="H16" s="4">
        <f t="shared" si="0"/>
        <v>10953.439999999999</v>
      </c>
      <c r="I16" s="7">
        <v>46001</v>
      </c>
    </row>
    <row r="17" spans="1:9" x14ac:dyDescent="0.3">
      <c r="A17" s="1" t="s">
        <v>17</v>
      </c>
      <c r="B17" s="1" t="s">
        <v>31</v>
      </c>
      <c r="C17" s="1" t="s">
        <v>32</v>
      </c>
      <c r="D17" s="1">
        <v>176990</v>
      </c>
      <c r="E17" s="1">
        <v>5547857530</v>
      </c>
      <c r="F17" s="2">
        <v>604</v>
      </c>
      <c r="G17" s="2">
        <v>0</v>
      </c>
      <c r="H17" s="2">
        <f t="shared" si="0"/>
        <v>604</v>
      </c>
      <c r="I17" s="6">
        <v>46002</v>
      </c>
    </row>
    <row r="18" spans="1:9" s="3" customFormat="1" x14ac:dyDescent="0.3">
      <c r="A18" s="3" t="s">
        <v>17</v>
      </c>
      <c r="B18" s="3" t="s">
        <v>33</v>
      </c>
      <c r="C18" s="3" t="s">
        <v>34</v>
      </c>
      <c r="D18" s="3">
        <v>177097</v>
      </c>
      <c r="E18" s="3">
        <v>5523322825</v>
      </c>
      <c r="F18" s="4">
        <v>5319</v>
      </c>
      <c r="G18" s="4">
        <v>0</v>
      </c>
      <c r="H18" s="4">
        <f t="shared" si="0"/>
        <v>5319</v>
      </c>
      <c r="I18" s="7">
        <v>46002</v>
      </c>
    </row>
    <row r="19" spans="1:9" x14ac:dyDescent="0.3">
      <c r="A19" s="5" t="s">
        <v>17</v>
      </c>
      <c r="B19" s="1" t="s">
        <v>53</v>
      </c>
      <c r="C19" s="1" t="s">
        <v>35</v>
      </c>
      <c r="D19" s="1">
        <v>176371</v>
      </c>
      <c r="E19" s="1">
        <v>5656690895</v>
      </c>
      <c r="F19" s="2">
        <v>805</v>
      </c>
      <c r="G19" s="2">
        <v>0</v>
      </c>
      <c r="H19" s="2">
        <f t="shared" si="0"/>
        <v>805</v>
      </c>
      <c r="I19" s="6">
        <v>46002</v>
      </c>
    </row>
    <row r="20" spans="1:9" s="3" customFormat="1" x14ac:dyDescent="0.3">
      <c r="A20" s="3" t="s">
        <v>17</v>
      </c>
      <c r="B20" s="3" t="s">
        <v>36</v>
      </c>
      <c r="C20" s="3" t="s">
        <v>37</v>
      </c>
      <c r="D20" s="3">
        <v>294197</v>
      </c>
      <c r="E20" s="3">
        <v>5522125653</v>
      </c>
      <c r="F20" s="4">
        <v>2640</v>
      </c>
      <c r="G20" s="4">
        <v>0</v>
      </c>
      <c r="H20" s="4">
        <f t="shared" si="0"/>
        <v>2640</v>
      </c>
      <c r="I20" s="7">
        <v>46002</v>
      </c>
    </row>
    <row r="21" spans="1:9" x14ac:dyDescent="0.3">
      <c r="A21" s="5" t="s">
        <v>17</v>
      </c>
      <c r="B21" s="5" t="s">
        <v>22</v>
      </c>
      <c r="C21" s="1" t="s">
        <v>35</v>
      </c>
      <c r="D21" s="1">
        <v>294061</v>
      </c>
      <c r="E21" s="1">
        <v>5625846722</v>
      </c>
      <c r="F21" s="2">
        <v>7890.88</v>
      </c>
      <c r="G21" s="2">
        <v>0</v>
      </c>
      <c r="H21" s="2">
        <f t="shared" si="0"/>
        <v>7890.88</v>
      </c>
      <c r="I21" s="6">
        <v>46002</v>
      </c>
    </row>
    <row r="22" spans="1:9" s="3" customFormat="1" x14ac:dyDescent="0.3">
      <c r="A22" s="3" t="s">
        <v>17</v>
      </c>
      <c r="B22" s="3" t="s">
        <v>38</v>
      </c>
      <c r="C22" s="3" t="s">
        <v>39</v>
      </c>
      <c r="D22" s="3">
        <v>293370</v>
      </c>
      <c r="E22" s="3">
        <v>5520809598</v>
      </c>
      <c r="F22" s="4">
        <v>21554.55</v>
      </c>
      <c r="G22" s="4">
        <v>0</v>
      </c>
      <c r="H22" s="4">
        <f t="shared" si="0"/>
        <v>21554.55</v>
      </c>
      <c r="I22" s="7">
        <v>46002</v>
      </c>
    </row>
    <row r="23" spans="1:9" x14ac:dyDescent="0.3">
      <c r="A23" s="1" t="s">
        <v>10</v>
      </c>
      <c r="B23" s="1" t="s">
        <v>40</v>
      </c>
      <c r="C23" s="1" t="s">
        <v>41</v>
      </c>
      <c r="D23" s="1">
        <v>348251</v>
      </c>
      <c r="E23" s="1">
        <v>5538553288</v>
      </c>
      <c r="F23" s="2">
        <v>4741.3999999999996</v>
      </c>
      <c r="G23" s="2">
        <v>0</v>
      </c>
      <c r="H23" s="2">
        <f t="shared" si="0"/>
        <v>4741.3999999999996</v>
      </c>
      <c r="I23" s="6">
        <v>46002</v>
      </c>
    </row>
    <row r="24" spans="1:9" s="3" customFormat="1" x14ac:dyDescent="0.3">
      <c r="A24" s="3" t="s">
        <v>10</v>
      </c>
      <c r="B24" s="3" t="s">
        <v>42</v>
      </c>
      <c r="C24" s="3" t="s">
        <v>43</v>
      </c>
      <c r="D24" s="3">
        <v>293752</v>
      </c>
      <c r="E24" s="3">
        <v>5614094629</v>
      </c>
      <c r="F24" s="4">
        <v>14735.64</v>
      </c>
      <c r="G24" s="4">
        <v>0</v>
      </c>
      <c r="H24" s="4">
        <f t="shared" si="0"/>
        <v>14735.64</v>
      </c>
      <c r="I24" s="7">
        <v>46002</v>
      </c>
    </row>
    <row r="25" spans="1:9" x14ac:dyDescent="0.3">
      <c r="A25" s="1" t="s">
        <v>10</v>
      </c>
      <c r="B25" s="1" t="s">
        <v>95</v>
      </c>
      <c r="C25" s="1" t="s">
        <v>44</v>
      </c>
      <c r="D25" s="1">
        <v>293847</v>
      </c>
      <c r="E25" s="1">
        <v>5541916242</v>
      </c>
      <c r="F25" s="2">
        <v>1780</v>
      </c>
      <c r="G25" s="2">
        <v>0</v>
      </c>
      <c r="H25" s="2">
        <f t="shared" si="0"/>
        <v>1780</v>
      </c>
      <c r="I25" s="6">
        <v>46002</v>
      </c>
    </row>
    <row r="26" spans="1:9" s="3" customFormat="1" x14ac:dyDescent="0.3">
      <c r="A26" s="3" t="s">
        <v>10</v>
      </c>
      <c r="B26" s="3" t="s">
        <v>45</v>
      </c>
      <c r="C26" s="3" t="s">
        <v>46</v>
      </c>
      <c r="D26" s="3">
        <v>294056</v>
      </c>
      <c r="E26" s="3">
        <v>5557557036</v>
      </c>
      <c r="F26" s="4">
        <v>6584</v>
      </c>
      <c r="G26" s="4">
        <v>0</v>
      </c>
      <c r="H26" s="4">
        <f t="shared" si="0"/>
        <v>6584</v>
      </c>
      <c r="I26" s="7">
        <v>46002</v>
      </c>
    </row>
    <row r="27" spans="1:9" x14ac:dyDescent="0.3">
      <c r="A27" s="1" t="s">
        <v>10</v>
      </c>
      <c r="B27" s="5" t="s">
        <v>5</v>
      </c>
      <c r="C27" s="1" t="s">
        <v>6</v>
      </c>
      <c r="D27" s="1">
        <v>176387</v>
      </c>
      <c r="E27" s="1">
        <v>5531355618</v>
      </c>
      <c r="F27" s="2">
        <v>3990</v>
      </c>
      <c r="G27" s="2">
        <v>0</v>
      </c>
      <c r="H27" s="2">
        <f t="shared" si="0"/>
        <v>3990</v>
      </c>
      <c r="I27" s="6">
        <v>46002</v>
      </c>
    </row>
    <row r="28" spans="1:9" s="3" customFormat="1" x14ac:dyDescent="0.3">
      <c r="A28" s="3" t="s">
        <v>47</v>
      </c>
      <c r="B28" s="3" t="s">
        <v>49</v>
      </c>
      <c r="C28" s="3" t="s">
        <v>48</v>
      </c>
      <c r="D28" s="3">
        <v>293520</v>
      </c>
      <c r="E28" s="3">
        <v>5516504643</v>
      </c>
      <c r="F28" s="4">
        <v>5889.99</v>
      </c>
      <c r="G28" s="4">
        <v>569</v>
      </c>
      <c r="H28" s="4">
        <f t="shared" si="0"/>
        <v>6458.99</v>
      </c>
      <c r="I28" s="7">
        <v>46002</v>
      </c>
    </row>
    <row r="29" spans="1:9" x14ac:dyDescent="0.3">
      <c r="A29" s="1" t="s">
        <v>47</v>
      </c>
      <c r="B29" s="1" t="s">
        <v>50</v>
      </c>
      <c r="C29" s="1" t="s">
        <v>52</v>
      </c>
      <c r="D29" s="1">
        <v>293665</v>
      </c>
      <c r="E29" s="1">
        <v>5529503930</v>
      </c>
      <c r="F29" s="2">
        <v>23200.59</v>
      </c>
      <c r="G29" s="2">
        <v>0</v>
      </c>
      <c r="H29" s="2">
        <f t="shared" si="0"/>
        <v>23200.59</v>
      </c>
      <c r="I29" s="6">
        <v>46002</v>
      </c>
    </row>
    <row r="30" spans="1:9" s="3" customFormat="1" x14ac:dyDescent="0.3">
      <c r="A30" s="3" t="s">
        <v>11</v>
      </c>
      <c r="B30" s="3" t="s">
        <v>51</v>
      </c>
      <c r="C30" s="3" t="s">
        <v>54</v>
      </c>
      <c r="D30" s="3">
        <v>294186</v>
      </c>
      <c r="E30" s="3">
        <v>8118542530</v>
      </c>
      <c r="F30" s="4">
        <v>7817</v>
      </c>
      <c r="G30" s="4">
        <v>0</v>
      </c>
      <c r="H30" s="4">
        <f t="shared" si="0"/>
        <v>7817</v>
      </c>
      <c r="I30" s="7">
        <v>46002</v>
      </c>
    </row>
    <row r="31" spans="1:9" x14ac:dyDescent="0.3">
      <c r="A31" s="5" t="s">
        <v>11</v>
      </c>
      <c r="B31" s="1" t="s">
        <v>55</v>
      </c>
      <c r="C31" s="1" t="s">
        <v>56</v>
      </c>
      <c r="D31" s="1">
        <v>176221</v>
      </c>
      <c r="E31" s="1">
        <v>5620807201</v>
      </c>
      <c r="F31" s="8">
        <v>13638.99</v>
      </c>
      <c r="G31" s="2">
        <v>2010</v>
      </c>
      <c r="H31" s="2">
        <f t="shared" si="0"/>
        <v>15648.99</v>
      </c>
      <c r="I31" s="6">
        <v>46002</v>
      </c>
    </row>
    <row r="32" spans="1:9" s="3" customFormat="1" x14ac:dyDescent="0.3">
      <c r="A32" s="3" t="s">
        <v>11</v>
      </c>
      <c r="B32" s="3" t="s">
        <v>57</v>
      </c>
      <c r="C32" s="3" t="s">
        <v>56</v>
      </c>
      <c r="D32" s="3">
        <v>294218</v>
      </c>
      <c r="F32" s="4">
        <v>2284</v>
      </c>
      <c r="G32" s="4">
        <v>0</v>
      </c>
      <c r="H32" s="4">
        <f t="shared" si="0"/>
        <v>2284</v>
      </c>
      <c r="I32" s="7">
        <v>46002</v>
      </c>
    </row>
    <row r="33" spans="1:9" x14ac:dyDescent="0.3">
      <c r="A33" s="1" t="s">
        <v>47</v>
      </c>
      <c r="B33" s="5" t="s">
        <v>57</v>
      </c>
      <c r="C33" s="1" t="s">
        <v>58</v>
      </c>
      <c r="D33" s="1">
        <v>293502</v>
      </c>
      <c r="F33" s="2">
        <v>0</v>
      </c>
      <c r="H33" s="2">
        <f t="shared" si="0"/>
        <v>0</v>
      </c>
      <c r="I33" s="6">
        <v>46003</v>
      </c>
    </row>
    <row r="34" spans="1:9" s="3" customFormat="1" x14ac:dyDescent="0.3">
      <c r="A34" s="3" t="s">
        <v>47</v>
      </c>
      <c r="B34" s="3" t="s">
        <v>57</v>
      </c>
      <c r="C34" s="3" t="s">
        <v>58</v>
      </c>
      <c r="D34" s="3">
        <v>293076</v>
      </c>
      <c r="F34" s="4">
        <v>39942.370000000003</v>
      </c>
      <c r="G34" s="4"/>
      <c r="H34" s="4">
        <f t="shared" si="0"/>
        <v>39942.370000000003</v>
      </c>
      <c r="I34" s="7">
        <v>46003</v>
      </c>
    </row>
    <row r="35" spans="1:9" x14ac:dyDescent="0.3">
      <c r="A35" s="1" t="s">
        <v>47</v>
      </c>
      <c r="B35" s="1" t="s">
        <v>57</v>
      </c>
      <c r="C35" s="1" t="s">
        <v>58</v>
      </c>
      <c r="D35" s="1">
        <v>293075</v>
      </c>
      <c r="F35" s="2">
        <v>10420.040000000001</v>
      </c>
      <c r="H35" s="2">
        <f t="shared" si="0"/>
        <v>10420.040000000001</v>
      </c>
      <c r="I35" s="6">
        <v>46003</v>
      </c>
    </row>
    <row r="36" spans="1:9" s="3" customFormat="1" x14ac:dyDescent="0.3">
      <c r="A36" s="3" t="s">
        <v>10</v>
      </c>
      <c r="B36" s="3" t="s">
        <v>59</v>
      </c>
      <c r="C36" s="3" t="s">
        <v>60</v>
      </c>
      <c r="D36" s="3">
        <v>348356</v>
      </c>
      <c r="E36" s="3">
        <v>5631653944</v>
      </c>
      <c r="F36" s="4">
        <v>1233.3599999999999</v>
      </c>
      <c r="G36" s="4"/>
      <c r="H36" s="4">
        <f t="shared" si="0"/>
        <v>1233.3599999999999</v>
      </c>
      <c r="I36" s="7">
        <v>46003</v>
      </c>
    </row>
    <row r="37" spans="1:9" x14ac:dyDescent="0.3">
      <c r="A37" s="1" t="s">
        <v>10</v>
      </c>
      <c r="B37" s="1" t="s">
        <v>61</v>
      </c>
      <c r="C37" s="1" t="s">
        <v>28</v>
      </c>
      <c r="D37" s="1">
        <v>348707</v>
      </c>
      <c r="E37" s="1">
        <v>5596905099</v>
      </c>
      <c r="F37" s="2">
        <v>21342</v>
      </c>
      <c r="H37" s="2">
        <f t="shared" si="0"/>
        <v>21342</v>
      </c>
      <c r="I37" s="6">
        <v>46003</v>
      </c>
    </row>
    <row r="38" spans="1:9" x14ac:dyDescent="0.3">
      <c r="A38" s="1" t="s">
        <v>17</v>
      </c>
      <c r="B38" s="1" t="s">
        <v>64</v>
      </c>
      <c r="C38" s="1" t="s">
        <v>65</v>
      </c>
      <c r="D38" s="1">
        <v>348308</v>
      </c>
      <c r="E38" s="1">
        <v>5631029411</v>
      </c>
      <c r="F38" s="2">
        <v>2028</v>
      </c>
      <c r="G38" s="2">
        <v>622</v>
      </c>
      <c r="H38" s="2">
        <f t="shared" si="0"/>
        <v>2650</v>
      </c>
      <c r="I38" s="6">
        <v>46003</v>
      </c>
    </row>
    <row r="39" spans="1:9" s="3" customFormat="1" x14ac:dyDescent="0.3">
      <c r="A39" s="3" t="s">
        <v>17</v>
      </c>
      <c r="B39" s="3" t="s">
        <v>66</v>
      </c>
      <c r="C39" s="3" t="s">
        <v>63</v>
      </c>
      <c r="D39" s="3">
        <v>294198</v>
      </c>
      <c r="E39" s="3">
        <v>5534651744</v>
      </c>
      <c r="F39" s="4">
        <v>3825</v>
      </c>
      <c r="G39" s="4">
        <v>0</v>
      </c>
      <c r="H39" s="4">
        <f t="shared" si="0"/>
        <v>3825</v>
      </c>
      <c r="I39" s="7">
        <v>46003</v>
      </c>
    </row>
    <row r="40" spans="1:9" x14ac:dyDescent="0.3">
      <c r="A40" s="1" t="s">
        <v>17</v>
      </c>
      <c r="B40" s="1" t="s">
        <v>66</v>
      </c>
      <c r="C40" s="1" t="s">
        <v>63</v>
      </c>
      <c r="D40" s="1">
        <v>294219</v>
      </c>
      <c r="E40" s="1">
        <v>5534651744</v>
      </c>
      <c r="F40" s="2">
        <v>650</v>
      </c>
      <c r="G40" s="2">
        <v>0</v>
      </c>
      <c r="H40" s="2">
        <f t="shared" si="0"/>
        <v>650</v>
      </c>
      <c r="I40" s="6">
        <v>46003</v>
      </c>
    </row>
    <row r="41" spans="1:9" s="3" customFormat="1" x14ac:dyDescent="0.3">
      <c r="A41" s="3" t="s">
        <v>17</v>
      </c>
      <c r="B41" s="3" t="s">
        <v>66</v>
      </c>
      <c r="C41" s="3" t="s">
        <v>63</v>
      </c>
      <c r="D41" s="3">
        <v>294220</v>
      </c>
      <c r="E41" s="3">
        <v>5534651744</v>
      </c>
      <c r="F41" s="4">
        <v>1061.97</v>
      </c>
      <c r="G41" s="4">
        <v>0</v>
      </c>
      <c r="H41" s="4">
        <f t="shared" si="0"/>
        <v>1061.97</v>
      </c>
      <c r="I41" s="7">
        <v>46003</v>
      </c>
    </row>
    <row r="42" spans="1:9" x14ac:dyDescent="0.3">
      <c r="A42" s="1" t="s">
        <v>17</v>
      </c>
      <c r="B42" s="1" t="s">
        <v>66</v>
      </c>
      <c r="C42" s="1" t="s">
        <v>63</v>
      </c>
      <c r="D42" s="1">
        <v>294310</v>
      </c>
      <c r="E42" s="1">
        <v>5534651744</v>
      </c>
      <c r="F42" s="2">
        <v>1289.97</v>
      </c>
      <c r="G42" s="2">
        <v>0</v>
      </c>
      <c r="H42" s="2">
        <f t="shared" si="0"/>
        <v>1289.97</v>
      </c>
      <c r="I42" s="6">
        <v>46003</v>
      </c>
    </row>
    <row r="43" spans="1:9" s="3" customFormat="1" x14ac:dyDescent="0.3">
      <c r="A43" s="3" t="s">
        <v>17</v>
      </c>
      <c r="B43" s="3" t="s">
        <v>67</v>
      </c>
      <c r="C43" s="3" t="s">
        <v>68</v>
      </c>
      <c r="D43" s="3">
        <v>176798</v>
      </c>
      <c r="E43" s="3">
        <v>5543450209</v>
      </c>
      <c r="F43" s="4">
        <v>8166</v>
      </c>
      <c r="G43" s="4">
        <v>0</v>
      </c>
      <c r="H43" s="4">
        <f t="shared" si="0"/>
        <v>8166</v>
      </c>
      <c r="I43" s="7">
        <v>46003</v>
      </c>
    </row>
    <row r="44" spans="1:9" x14ac:dyDescent="0.3">
      <c r="A44" s="1" t="s">
        <v>17</v>
      </c>
      <c r="B44" s="1" t="s">
        <v>69</v>
      </c>
      <c r="C44" s="1" t="s">
        <v>70</v>
      </c>
      <c r="D44" s="1">
        <v>176676</v>
      </c>
      <c r="E44" s="1">
        <v>7443847800</v>
      </c>
      <c r="F44" s="9">
        <v>2167</v>
      </c>
      <c r="G44" s="2">
        <v>0</v>
      </c>
      <c r="H44" s="2">
        <f t="shared" si="0"/>
        <v>2167</v>
      </c>
      <c r="I44" s="6">
        <v>46003</v>
      </c>
    </row>
    <row r="45" spans="1:9" s="3" customFormat="1" x14ac:dyDescent="0.3">
      <c r="A45" s="3" t="s">
        <v>17</v>
      </c>
      <c r="B45" s="3" t="s">
        <v>71</v>
      </c>
      <c r="C45" s="3" t="s">
        <v>72</v>
      </c>
      <c r="D45" s="3">
        <v>177148</v>
      </c>
      <c r="E45" s="3">
        <v>5540903166</v>
      </c>
      <c r="F45" s="4">
        <v>2566</v>
      </c>
      <c r="G45" s="4">
        <v>0</v>
      </c>
      <c r="H45" s="4">
        <f t="shared" si="0"/>
        <v>2566</v>
      </c>
      <c r="I45" s="7">
        <v>46003</v>
      </c>
    </row>
    <row r="46" spans="1:9" x14ac:dyDescent="0.3">
      <c r="A46" s="1" t="s">
        <v>17</v>
      </c>
      <c r="B46" s="1" t="s">
        <v>73</v>
      </c>
      <c r="C46" s="1" t="s">
        <v>74</v>
      </c>
      <c r="D46" s="1">
        <v>294192</v>
      </c>
      <c r="E46" s="1">
        <v>5528872468</v>
      </c>
      <c r="F46" s="2">
        <v>21280</v>
      </c>
      <c r="G46" s="2">
        <v>0</v>
      </c>
      <c r="H46" s="2">
        <f t="shared" si="0"/>
        <v>21280</v>
      </c>
      <c r="I46" s="6">
        <v>46003</v>
      </c>
    </row>
    <row r="47" spans="1:9" s="3" customFormat="1" x14ac:dyDescent="0.3">
      <c r="A47" s="3" t="s">
        <v>17</v>
      </c>
      <c r="B47" s="3" t="s">
        <v>75</v>
      </c>
      <c r="C47" s="3" t="s">
        <v>63</v>
      </c>
      <c r="D47" s="3">
        <v>178846</v>
      </c>
      <c r="E47" s="3">
        <v>5518164434</v>
      </c>
      <c r="F47" s="4">
        <v>650</v>
      </c>
      <c r="G47" s="4">
        <v>0</v>
      </c>
      <c r="H47" s="4">
        <f t="shared" si="0"/>
        <v>650</v>
      </c>
      <c r="I47" s="7">
        <v>46003</v>
      </c>
    </row>
    <row r="48" spans="1:9" x14ac:dyDescent="0.3">
      <c r="A48" s="1" t="s">
        <v>11</v>
      </c>
      <c r="B48" s="1" t="s">
        <v>91</v>
      </c>
      <c r="C48" s="1" t="s">
        <v>76</v>
      </c>
      <c r="D48" s="1">
        <v>292279</v>
      </c>
      <c r="E48" s="1">
        <v>7203000305</v>
      </c>
      <c r="F48" s="2">
        <v>23125.99</v>
      </c>
      <c r="G48" s="2">
        <v>0</v>
      </c>
      <c r="H48" s="2">
        <f t="shared" si="0"/>
        <v>23125.99</v>
      </c>
      <c r="I48" s="6">
        <v>46003</v>
      </c>
    </row>
    <row r="49" spans="1:9" s="3" customFormat="1" x14ac:dyDescent="0.3">
      <c r="A49" s="3" t="s">
        <v>10</v>
      </c>
      <c r="B49" s="3" t="s">
        <v>77</v>
      </c>
      <c r="C49" s="3" t="s">
        <v>78</v>
      </c>
      <c r="D49" s="3">
        <v>294168</v>
      </c>
      <c r="E49" s="3">
        <v>5544157561</v>
      </c>
      <c r="F49" s="4">
        <v>1572</v>
      </c>
      <c r="G49" s="4">
        <v>0</v>
      </c>
      <c r="H49" s="4">
        <f t="shared" si="0"/>
        <v>1572</v>
      </c>
      <c r="I49" s="7">
        <v>46003</v>
      </c>
    </row>
    <row r="50" spans="1:9" x14ac:dyDescent="0.3">
      <c r="A50" s="1" t="s">
        <v>17</v>
      </c>
      <c r="B50" s="1" t="s">
        <v>94</v>
      </c>
      <c r="C50" s="1" t="s">
        <v>23</v>
      </c>
      <c r="D50" s="1">
        <v>294193</v>
      </c>
      <c r="E50" s="1">
        <v>5618290122</v>
      </c>
      <c r="F50" s="2">
        <v>30809.99</v>
      </c>
      <c r="G50" s="2">
        <v>0</v>
      </c>
      <c r="H50" s="2">
        <f t="shared" si="0"/>
        <v>30809.99</v>
      </c>
      <c r="I50" s="6">
        <v>46003</v>
      </c>
    </row>
    <row r="51" spans="1:9" s="3" customFormat="1" x14ac:dyDescent="0.3">
      <c r="A51" s="3" t="s">
        <v>11</v>
      </c>
      <c r="B51" s="3" t="s">
        <v>81</v>
      </c>
      <c r="C51" s="3" t="s">
        <v>82</v>
      </c>
      <c r="D51" s="3">
        <v>348473</v>
      </c>
      <c r="E51" s="3">
        <v>5521294597</v>
      </c>
      <c r="F51" s="4">
        <v>543.20000000000005</v>
      </c>
      <c r="G51" s="4">
        <v>0</v>
      </c>
      <c r="H51" s="4">
        <f t="shared" si="0"/>
        <v>543.20000000000005</v>
      </c>
      <c r="I51" s="7">
        <v>46003</v>
      </c>
    </row>
    <row r="52" spans="1:9" x14ac:dyDescent="0.3">
      <c r="A52" s="1" t="s">
        <v>11</v>
      </c>
      <c r="B52" s="1" t="s">
        <v>83</v>
      </c>
      <c r="C52" s="1" t="s">
        <v>84</v>
      </c>
      <c r="D52" s="1">
        <v>176705</v>
      </c>
      <c r="E52" s="1">
        <v>5538299106</v>
      </c>
      <c r="F52" s="2">
        <v>2759.24</v>
      </c>
      <c r="G52" s="2">
        <v>0</v>
      </c>
      <c r="H52" s="2">
        <f t="shared" si="0"/>
        <v>2759.24</v>
      </c>
      <c r="I52" s="6">
        <v>46003</v>
      </c>
    </row>
    <row r="53" spans="1:9" s="3" customFormat="1" x14ac:dyDescent="0.3">
      <c r="A53" s="3" t="s">
        <v>11</v>
      </c>
      <c r="B53" s="3" t="s">
        <v>85</v>
      </c>
      <c r="C53" s="3" t="s">
        <v>86</v>
      </c>
      <c r="D53" s="3">
        <v>176353</v>
      </c>
      <c r="E53" s="3">
        <v>5583410049</v>
      </c>
      <c r="F53" s="4">
        <v>4735.6000000000004</v>
      </c>
      <c r="G53" s="4">
        <v>0</v>
      </c>
      <c r="H53" s="4">
        <f t="shared" si="0"/>
        <v>4735.6000000000004</v>
      </c>
      <c r="I53" s="7">
        <v>46003</v>
      </c>
    </row>
    <row r="54" spans="1:9" x14ac:dyDescent="0.3">
      <c r="A54" s="1" t="s">
        <v>10</v>
      </c>
      <c r="B54" s="1" t="s">
        <v>87</v>
      </c>
      <c r="C54" s="1" t="s">
        <v>88</v>
      </c>
      <c r="D54" s="1">
        <v>348718</v>
      </c>
      <c r="E54" s="1">
        <v>5557913591</v>
      </c>
      <c r="F54" s="2">
        <v>2688</v>
      </c>
      <c r="G54" s="2">
        <v>0</v>
      </c>
      <c r="H54" s="2">
        <f t="shared" si="0"/>
        <v>2688</v>
      </c>
      <c r="I54" s="6">
        <v>46003</v>
      </c>
    </row>
    <row r="55" spans="1:9" s="3" customFormat="1" x14ac:dyDescent="0.3">
      <c r="A55" s="3" t="s">
        <v>11</v>
      </c>
      <c r="B55" s="3" t="s">
        <v>89</v>
      </c>
      <c r="C55" s="3" t="s">
        <v>90</v>
      </c>
      <c r="D55" s="3">
        <v>320051</v>
      </c>
      <c r="E55" s="3">
        <v>5560116199</v>
      </c>
      <c r="F55" s="4">
        <v>633</v>
      </c>
      <c r="G55" s="4">
        <v>0</v>
      </c>
      <c r="H55" s="4">
        <f t="shared" si="0"/>
        <v>633</v>
      </c>
      <c r="I55" s="7">
        <v>46003</v>
      </c>
    </row>
    <row r="56" spans="1:9" x14ac:dyDescent="0.3">
      <c r="A56" s="1" t="s">
        <v>11</v>
      </c>
      <c r="B56" s="1" t="s">
        <v>92</v>
      </c>
      <c r="C56" s="1" t="s">
        <v>93</v>
      </c>
      <c r="D56" s="1">
        <v>294009</v>
      </c>
      <c r="E56" s="1">
        <v>5529660133</v>
      </c>
      <c r="F56" s="2">
        <v>1209</v>
      </c>
      <c r="G56" s="2">
        <v>0</v>
      </c>
      <c r="H56" s="2">
        <f t="shared" si="0"/>
        <v>1209</v>
      </c>
      <c r="I56" s="6">
        <v>46003</v>
      </c>
    </row>
    <row r="57" spans="1:9" s="3" customFormat="1" x14ac:dyDescent="0.3">
      <c r="A57" s="3" t="s">
        <v>11</v>
      </c>
      <c r="B57" s="3" t="s">
        <v>92</v>
      </c>
      <c r="C57" s="3" t="s">
        <v>93</v>
      </c>
      <c r="D57" s="3">
        <v>294011</v>
      </c>
      <c r="E57" s="3">
        <v>5529660133</v>
      </c>
      <c r="F57" s="4">
        <v>2442.9</v>
      </c>
      <c r="G57" s="4">
        <v>0</v>
      </c>
      <c r="H57" s="4">
        <f t="shared" si="0"/>
        <v>2442.9</v>
      </c>
      <c r="I57" s="7">
        <v>46003</v>
      </c>
    </row>
    <row r="58" spans="1:9" x14ac:dyDescent="0.3">
      <c r="A58" s="1" t="s">
        <v>11</v>
      </c>
      <c r="B58" s="1" t="s">
        <v>92</v>
      </c>
      <c r="C58" s="1" t="s">
        <v>93</v>
      </c>
      <c r="D58" s="1">
        <v>294221</v>
      </c>
      <c r="E58" s="1">
        <v>5529660133</v>
      </c>
      <c r="F58" s="2">
        <v>1290</v>
      </c>
      <c r="G58" s="2">
        <v>0</v>
      </c>
      <c r="H58" s="2">
        <f t="shared" si="0"/>
        <v>1290</v>
      </c>
      <c r="I58" s="6">
        <v>46003</v>
      </c>
    </row>
    <row r="59" spans="1:9" s="3" customFormat="1" x14ac:dyDescent="0.3">
      <c r="A59" s="3" t="s">
        <v>11</v>
      </c>
      <c r="B59" s="3" t="s">
        <v>92</v>
      </c>
      <c r="C59" s="3" t="s">
        <v>93</v>
      </c>
      <c r="D59" s="3">
        <v>294304</v>
      </c>
      <c r="E59" s="3">
        <v>5529660133</v>
      </c>
      <c r="F59" s="4">
        <v>3163</v>
      </c>
      <c r="G59" s="4">
        <v>0</v>
      </c>
      <c r="H59" s="4">
        <f t="shared" si="0"/>
        <v>3163</v>
      </c>
      <c r="I59" s="7">
        <v>46003</v>
      </c>
    </row>
    <row r="60" spans="1:9" x14ac:dyDescent="0.3">
      <c r="A60" s="1" t="s">
        <v>47</v>
      </c>
      <c r="B60" s="1" t="s">
        <v>120</v>
      </c>
      <c r="C60" s="1" t="s">
        <v>30</v>
      </c>
      <c r="D60" s="1">
        <v>176702</v>
      </c>
      <c r="E60" s="1">
        <v>5545758293</v>
      </c>
      <c r="F60" s="2">
        <v>5442</v>
      </c>
      <c r="G60" s="2">
        <v>0</v>
      </c>
      <c r="H60" s="2">
        <f t="shared" si="0"/>
        <v>5442</v>
      </c>
      <c r="I60" s="6">
        <v>46004</v>
      </c>
    </row>
    <row r="61" spans="1:9" s="3" customFormat="1" x14ac:dyDescent="0.3">
      <c r="A61" s="3" t="s">
        <v>47</v>
      </c>
      <c r="B61" s="3" t="s">
        <v>121</v>
      </c>
      <c r="C61" s="3" t="s">
        <v>129</v>
      </c>
      <c r="D61" s="3">
        <v>348584</v>
      </c>
      <c r="E61" s="3">
        <v>5612852406</v>
      </c>
      <c r="F61" s="4">
        <v>822</v>
      </c>
      <c r="G61" s="4">
        <v>0</v>
      </c>
      <c r="H61" s="4">
        <f t="shared" si="0"/>
        <v>822</v>
      </c>
      <c r="I61" s="7">
        <v>46004</v>
      </c>
    </row>
    <row r="62" spans="1:9" s="5" customFormat="1" x14ac:dyDescent="0.3">
      <c r="A62" s="1" t="s">
        <v>47</v>
      </c>
      <c r="B62" s="5" t="s">
        <v>122</v>
      </c>
      <c r="C62" s="5" t="s">
        <v>123</v>
      </c>
      <c r="D62" s="5">
        <v>177366</v>
      </c>
      <c r="E62" s="5">
        <v>5526754082</v>
      </c>
      <c r="F62" s="10">
        <v>0</v>
      </c>
      <c r="G62" s="10">
        <v>0</v>
      </c>
      <c r="H62" s="2">
        <f t="shared" si="0"/>
        <v>0</v>
      </c>
      <c r="I62" s="6">
        <v>46004</v>
      </c>
    </row>
    <row r="63" spans="1:9" s="3" customFormat="1" x14ac:dyDescent="0.3">
      <c r="A63" s="3" t="s">
        <v>47</v>
      </c>
      <c r="B63" s="3" t="s">
        <v>124</v>
      </c>
      <c r="C63" s="3" t="s">
        <v>125</v>
      </c>
      <c r="D63" s="3">
        <v>178851</v>
      </c>
      <c r="E63" s="3">
        <v>5560668313</v>
      </c>
      <c r="F63" s="4">
        <v>7464.39</v>
      </c>
      <c r="G63" s="4">
        <v>0</v>
      </c>
      <c r="H63" s="4">
        <f t="shared" si="0"/>
        <v>7464.39</v>
      </c>
      <c r="I63" s="7">
        <v>46004</v>
      </c>
    </row>
    <row r="64" spans="1:9" s="5" customFormat="1" x14ac:dyDescent="0.3">
      <c r="A64" s="1" t="s">
        <v>47</v>
      </c>
      <c r="B64" s="5" t="s">
        <v>126</v>
      </c>
      <c r="C64" s="5" t="s">
        <v>127</v>
      </c>
      <c r="D64" s="5">
        <v>176650</v>
      </c>
      <c r="E64" s="5">
        <v>5528297296</v>
      </c>
      <c r="F64" s="10">
        <v>7320</v>
      </c>
      <c r="G64" s="10">
        <v>0</v>
      </c>
      <c r="H64" s="2">
        <f t="shared" si="0"/>
        <v>7320</v>
      </c>
      <c r="I64" s="6">
        <v>46004</v>
      </c>
    </row>
    <row r="65" spans="1:9" s="3" customFormat="1" x14ac:dyDescent="0.3">
      <c r="A65" s="3" t="s">
        <v>47</v>
      </c>
      <c r="B65" s="3" t="s">
        <v>128</v>
      </c>
      <c r="C65" s="3" t="s">
        <v>60</v>
      </c>
      <c r="D65" s="3">
        <v>176640</v>
      </c>
      <c r="E65" s="3">
        <v>5630553382</v>
      </c>
      <c r="F65" s="4">
        <v>2642</v>
      </c>
      <c r="G65" s="4">
        <v>0</v>
      </c>
      <c r="H65" s="2">
        <f t="shared" si="0"/>
        <v>2642</v>
      </c>
      <c r="I65" s="7">
        <v>46004</v>
      </c>
    </row>
    <row r="66" spans="1:9" s="3" customFormat="1" x14ac:dyDescent="0.3">
      <c r="A66" s="3" t="s">
        <v>10</v>
      </c>
      <c r="B66" s="3" t="s">
        <v>99</v>
      </c>
      <c r="C66" s="3" t="s">
        <v>130</v>
      </c>
      <c r="D66" s="3">
        <v>173698</v>
      </c>
      <c r="E66" s="3">
        <v>5519544520</v>
      </c>
      <c r="F66" s="4">
        <v>2964</v>
      </c>
      <c r="G66" s="4">
        <v>0</v>
      </c>
      <c r="H66" s="4">
        <f t="shared" si="0"/>
        <v>2964</v>
      </c>
      <c r="I66" s="7">
        <v>46004</v>
      </c>
    </row>
    <row r="67" spans="1:9" x14ac:dyDescent="0.3">
      <c r="A67" s="1" t="s">
        <v>10</v>
      </c>
      <c r="B67" s="5" t="s">
        <v>96</v>
      </c>
      <c r="C67" s="5" t="s">
        <v>97</v>
      </c>
      <c r="D67" s="5">
        <v>348445</v>
      </c>
      <c r="E67" s="5">
        <v>5535173661</v>
      </c>
      <c r="F67" s="10">
        <v>3388</v>
      </c>
      <c r="G67" s="2">
        <v>0</v>
      </c>
      <c r="H67" s="2">
        <f t="shared" ref="H67:H130" si="1">F67+G67</f>
        <v>3388</v>
      </c>
      <c r="I67" s="6">
        <v>46004</v>
      </c>
    </row>
    <row r="68" spans="1:9" s="3" customFormat="1" x14ac:dyDescent="0.3">
      <c r="A68" s="3" t="s">
        <v>10</v>
      </c>
      <c r="B68" s="3" t="s">
        <v>100</v>
      </c>
      <c r="C68" s="3" t="s">
        <v>101</v>
      </c>
      <c r="D68" s="3">
        <v>176911</v>
      </c>
      <c r="E68" s="3">
        <v>5584795961</v>
      </c>
      <c r="F68" s="4">
        <v>2027.08</v>
      </c>
      <c r="G68" s="4">
        <v>350</v>
      </c>
      <c r="H68" s="4">
        <f t="shared" si="1"/>
        <v>2377.08</v>
      </c>
      <c r="I68" s="7">
        <v>46004</v>
      </c>
    </row>
    <row r="69" spans="1:9" x14ac:dyDescent="0.3">
      <c r="A69" s="1" t="s">
        <v>10</v>
      </c>
      <c r="B69" s="10" t="s">
        <v>102</v>
      </c>
      <c r="C69" s="1" t="s">
        <v>103</v>
      </c>
      <c r="D69" s="1">
        <v>177130</v>
      </c>
      <c r="E69" s="1">
        <v>5541783566</v>
      </c>
      <c r="F69" s="2">
        <v>6250</v>
      </c>
      <c r="G69" s="2">
        <v>0</v>
      </c>
      <c r="H69" s="2">
        <f t="shared" si="1"/>
        <v>6250</v>
      </c>
      <c r="I69" s="6">
        <v>46004</v>
      </c>
    </row>
    <row r="70" spans="1:9" s="3" customFormat="1" x14ac:dyDescent="0.3">
      <c r="A70" s="3" t="s">
        <v>10</v>
      </c>
      <c r="B70" s="3" t="s">
        <v>104</v>
      </c>
      <c r="C70" s="3" t="s">
        <v>105</v>
      </c>
      <c r="D70" s="3">
        <v>176694</v>
      </c>
      <c r="E70" s="3">
        <v>5538244776</v>
      </c>
      <c r="F70" s="4">
        <v>2878</v>
      </c>
      <c r="G70" s="4">
        <v>0</v>
      </c>
      <c r="H70" s="4">
        <f t="shared" si="1"/>
        <v>2878</v>
      </c>
      <c r="I70" s="7">
        <v>46004</v>
      </c>
    </row>
    <row r="71" spans="1:9" s="5" customFormat="1" x14ac:dyDescent="0.3">
      <c r="A71" s="5" t="s">
        <v>11</v>
      </c>
      <c r="B71" s="5" t="s">
        <v>118</v>
      </c>
      <c r="C71" s="5" t="s">
        <v>119</v>
      </c>
      <c r="D71" s="5">
        <v>348793</v>
      </c>
      <c r="E71" s="5">
        <v>5525562517</v>
      </c>
      <c r="F71" s="10">
        <v>2695</v>
      </c>
      <c r="G71" s="10">
        <v>0</v>
      </c>
      <c r="H71" s="10">
        <f t="shared" si="1"/>
        <v>2695</v>
      </c>
      <c r="I71" s="6">
        <v>46004</v>
      </c>
    </row>
    <row r="72" spans="1:9" s="3" customFormat="1" x14ac:dyDescent="0.3">
      <c r="A72" s="3" t="s">
        <v>11</v>
      </c>
      <c r="B72" s="3" t="s">
        <v>131</v>
      </c>
      <c r="C72" s="3" t="s">
        <v>119</v>
      </c>
      <c r="D72" s="3">
        <v>176870</v>
      </c>
      <c r="E72" s="3">
        <v>5551141444</v>
      </c>
      <c r="F72" s="4">
        <v>4476</v>
      </c>
      <c r="G72" s="4">
        <v>0</v>
      </c>
      <c r="H72" s="4">
        <f t="shared" si="1"/>
        <v>4476</v>
      </c>
      <c r="I72" s="7">
        <v>46004</v>
      </c>
    </row>
    <row r="73" spans="1:9" x14ac:dyDescent="0.3">
      <c r="A73" s="1" t="s">
        <v>11</v>
      </c>
      <c r="B73" s="1" t="s">
        <v>62</v>
      </c>
      <c r="C73" s="1" t="s">
        <v>63</v>
      </c>
      <c r="D73" s="1">
        <v>176572</v>
      </c>
      <c r="E73" s="1">
        <v>5562471583</v>
      </c>
      <c r="F73" s="2">
        <v>902</v>
      </c>
      <c r="G73" s="2">
        <v>102</v>
      </c>
      <c r="H73" s="2">
        <f t="shared" si="1"/>
        <v>1004</v>
      </c>
      <c r="I73" s="6">
        <v>46004</v>
      </c>
    </row>
    <row r="74" spans="1:9" s="3" customFormat="1" x14ac:dyDescent="0.3">
      <c r="A74" s="3" t="s">
        <v>11</v>
      </c>
      <c r="B74" s="3" t="s">
        <v>106</v>
      </c>
      <c r="C74" s="3" t="s">
        <v>107</v>
      </c>
      <c r="D74" s="3">
        <v>348390</v>
      </c>
      <c r="E74" s="3">
        <v>5582260351</v>
      </c>
      <c r="F74" s="4">
        <v>1788</v>
      </c>
      <c r="G74" s="4">
        <v>0</v>
      </c>
      <c r="H74" s="4">
        <f t="shared" si="1"/>
        <v>1788</v>
      </c>
      <c r="I74" s="7">
        <v>46004</v>
      </c>
    </row>
    <row r="75" spans="1:9" x14ac:dyDescent="0.3">
      <c r="A75" s="1" t="s">
        <v>11</v>
      </c>
      <c r="B75" s="1" t="s">
        <v>98</v>
      </c>
      <c r="C75" s="1" t="s">
        <v>84</v>
      </c>
      <c r="D75" s="1">
        <v>176673</v>
      </c>
      <c r="E75" s="1">
        <v>5533555876</v>
      </c>
      <c r="F75" s="2">
        <v>2358</v>
      </c>
      <c r="G75" s="2">
        <v>0</v>
      </c>
      <c r="H75" s="2">
        <f t="shared" si="1"/>
        <v>2358</v>
      </c>
      <c r="I75" s="6">
        <v>46004</v>
      </c>
    </row>
    <row r="76" spans="1:9" s="3" customFormat="1" x14ac:dyDescent="0.3">
      <c r="A76" s="3" t="s">
        <v>11</v>
      </c>
      <c r="B76" s="3" t="s">
        <v>108</v>
      </c>
      <c r="C76" s="3" t="s">
        <v>84</v>
      </c>
      <c r="D76" s="3">
        <v>348400</v>
      </c>
      <c r="E76" s="3">
        <v>5617630065</v>
      </c>
      <c r="F76" s="4">
        <v>1840</v>
      </c>
      <c r="G76" s="4">
        <v>0</v>
      </c>
      <c r="H76" s="4">
        <f t="shared" si="1"/>
        <v>1840</v>
      </c>
      <c r="I76" s="7">
        <v>46004</v>
      </c>
    </row>
    <row r="77" spans="1:9" x14ac:dyDescent="0.3">
      <c r="A77" s="1" t="s">
        <v>17</v>
      </c>
      <c r="B77" s="1" t="s">
        <v>109</v>
      </c>
      <c r="C77" s="1" t="s">
        <v>74</v>
      </c>
      <c r="D77" s="1">
        <v>348770</v>
      </c>
      <c r="E77" s="1">
        <v>6242171618</v>
      </c>
      <c r="F77" s="2">
        <v>1654</v>
      </c>
      <c r="G77" s="2">
        <v>0</v>
      </c>
      <c r="H77" s="2">
        <f t="shared" si="1"/>
        <v>1654</v>
      </c>
      <c r="I77" s="6">
        <v>46004</v>
      </c>
    </row>
    <row r="78" spans="1:9" s="3" customFormat="1" x14ac:dyDescent="0.3">
      <c r="A78" s="3" t="s">
        <v>17</v>
      </c>
      <c r="B78" s="3" t="s">
        <v>110</v>
      </c>
      <c r="C78" s="3" t="s">
        <v>111</v>
      </c>
      <c r="D78" s="3">
        <v>177326</v>
      </c>
      <c r="E78" s="3">
        <v>5532444054</v>
      </c>
      <c r="F78" s="4">
        <v>3250</v>
      </c>
      <c r="G78" s="4">
        <v>0</v>
      </c>
      <c r="H78" s="4">
        <f t="shared" si="1"/>
        <v>3250</v>
      </c>
      <c r="I78" s="7">
        <v>46004</v>
      </c>
    </row>
    <row r="79" spans="1:9" x14ac:dyDescent="0.3">
      <c r="A79" s="1" t="s">
        <v>17</v>
      </c>
      <c r="B79" s="1" t="s">
        <v>112</v>
      </c>
      <c r="C79" s="1" t="s">
        <v>113</v>
      </c>
      <c r="D79" s="1">
        <v>177327</v>
      </c>
      <c r="E79" s="1">
        <v>5545195994</v>
      </c>
      <c r="F79" s="2">
        <v>1785</v>
      </c>
      <c r="G79" s="2">
        <v>0</v>
      </c>
      <c r="H79" s="2">
        <f t="shared" si="1"/>
        <v>1785</v>
      </c>
      <c r="I79" s="6">
        <v>46004</v>
      </c>
    </row>
    <row r="80" spans="1:9" s="3" customFormat="1" x14ac:dyDescent="0.3">
      <c r="A80" s="3" t="s">
        <v>17</v>
      </c>
      <c r="B80" s="3" t="s">
        <v>114</v>
      </c>
      <c r="C80" s="3" t="s">
        <v>115</v>
      </c>
      <c r="D80" s="3">
        <v>176774</v>
      </c>
      <c r="E80" s="3">
        <v>5573358161</v>
      </c>
      <c r="F80" s="4">
        <v>5387.84</v>
      </c>
      <c r="G80" s="4">
        <v>0</v>
      </c>
      <c r="H80" s="4">
        <f t="shared" si="1"/>
        <v>5387.84</v>
      </c>
      <c r="I80" s="7">
        <v>46004</v>
      </c>
    </row>
    <row r="81" spans="1:9" x14ac:dyDescent="0.3">
      <c r="A81" s="1" t="s">
        <v>17</v>
      </c>
      <c r="B81" s="1" t="s">
        <v>116</v>
      </c>
      <c r="C81" s="1" t="s">
        <v>117</v>
      </c>
      <c r="D81" s="1">
        <v>176937</v>
      </c>
      <c r="E81" s="1">
        <v>5561810224</v>
      </c>
      <c r="F81" s="2">
        <v>6745.98</v>
      </c>
      <c r="G81" s="2">
        <v>0</v>
      </c>
      <c r="H81" s="2">
        <f t="shared" si="1"/>
        <v>6745.98</v>
      </c>
      <c r="I81" s="6">
        <v>46004</v>
      </c>
    </row>
    <row r="82" spans="1:9" s="15" customFormat="1" x14ac:dyDescent="0.3">
      <c r="A82" s="15" t="s">
        <v>17</v>
      </c>
      <c r="B82" s="15" t="s">
        <v>134</v>
      </c>
      <c r="C82" s="15" t="s">
        <v>153</v>
      </c>
      <c r="D82" s="15">
        <v>177473</v>
      </c>
      <c r="E82" s="15">
        <v>5616528755</v>
      </c>
      <c r="F82" s="16">
        <v>8500</v>
      </c>
      <c r="G82" s="16">
        <v>199</v>
      </c>
      <c r="H82" s="16">
        <f t="shared" si="1"/>
        <v>8699</v>
      </c>
      <c r="I82" s="17">
        <v>46006</v>
      </c>
    </row>
    <row r="83" spans="1:9" x14ac:dyDescent="0.3">
      <c r="A83" s="1" t="s">
        <v>17</v>
      </c>
      <c r="B83" s="1" t="s">
        <v>135</v>
      </c>
      <c r="C83" s="1" t="s">
        <v>148</v>
      </c>
      <c r="D83" s="1">
        <v>177059</v>
      </c>
      <c r="E83" s="1">
        <v>5624251365</v>
      </c>
      <c r="F83" s="2">
        <v>2081</v>
      </c>
      <c r="G83" s="2">
        <v>63</v>
      </c>
      <c r="H83" s="2">
        <f t="shared" si="1"/>
        <v>2144</v>
      </c>
      <c r="I83" s="6">
        <v>46006</v>
      </c>
    </row>
    <row r="84" spans="1:9" s="15" customFormat="1" x14ac:dyDescent="0.3">
      <c r="A84" s="15" t="s">
        <v>17</v>
      </c>
      <c r="B84" s="15" t="s">
        <v>136</v>
      </c>
      <c r="C84" s="15" t="s">
        <v>4</v>
      </c>
      <c r="D84" s="15">
        <v>348826</v>
      </c>
      <c r="E84" s="15">
        <v>5550543661</v>
      </c>
      <c r="F84" s="16">
        <v>2211</v>
      </c>
      <c r="G84" s="16">
        <v>0</v>
      </c>
      <c r="H84" s="16">
        <f t="shared" si="1"/>
        <v>2211</v>
      </c>
      <c r="I84" s="17">
        <v>46006</v>
      </c>
    </row>
    <row r="85" spans="1:9" x14ac:dyDescent="0.3">
      <c r="A85" s="1" t="s">
        <v>17</v>
      </c>
      <c r="B85" s="1" t="s">
        <v>137</v>
      </c>
      <c r="C85" s="1" t="s">
        <v>138</v>
      </c>
      <c r="D85" s="1">
        <v>294343</v>
      </c>
      <c r="E85" s="1">
        <v>5558383479</v>
      </c>
      <c r="F85" s="2">
        <v>2416</v>
      </c>
      <c r="G85" s="2">
        <v>0</v>
      </c>
      <c r="H85" s="2">
        <f t="shared" si="1"/>
        <v>2416</v>
      </c>
      <c r="I85" s="6">
        <v>46006</v>
      </c>
    </row>
    <row r="86" spans="1:9" s="15" customFormat="1" x14ac:dyDescent="0.3">
      <c r="A86" s="15" t="s">
        <v>17</v>
      </c>
      <c r="B86" s="15" t="s">
        <v>139</v>
      </c>
      <c r="C86" s="15" t="s">
        <v>140</v>
      </c>
      <c r="D86" s="15">
        <v>173698</v>
      </c>
      <c r="E86" s="15">
        <v>5519544520</v>
      </c>
      <c r="F86" s="16">
        <v>2964</v>
      </c>
      <c r="G86" s="16">
        <v>0</v>
      </c>
      <c r="H86" s="16">
        <f t="shared" si="1"/>
        <v>2964</v>
      </c>
      <c r="I86" s="17">
        <v>46006</v>
      </c>
    </row>
    <row r="87" spans="1:9" x14ac:dyDescent="0.3">
      <c r="A87" s="1" t="s">
        <v>17</v>
      </c>
      <c r="B87" s="1" t="s">
        <v>79</v>
      </c>
      <c r="C87" s="1" t="s">
        <v>80</v>
      </c>
      <c r="D87" s="1">
        <v>174731</v>
      </c>
      <c r="E87" s="1">
        <v>5523663386</v>
      </c>
      <c r="F87" s="2">
        <v>18744</v>
      </c>
      <c r="G87" s="2">
        <v>0</v>
      </c>
      <c r="H87" s="2">
        <f t="shared" si="1"/>
        <v>18744</v>
      </c>
      <c r="I87" s="6">
        <v>46006</v>
      </c>
    </row>
    <row r="88" spans="1:9" s="15" customFormat="1" x14ac:dyDescent="0.3">
      <c r="A88" s="15" t="s">
        <v>17</v>
      </c>
      <c r="B88" s="15" t="s">
        <v>141</v>
      </c>
      <c r="C88" s="15" t="s">
        <v>138</v>
      </c>
      <c r="D88" s="15">
        <v>177329</v>
      </c>
      <c r="E88" s="15">
        <v>5632387521</v>
      </c>
      <c r="F88" s="16">
        <v>2228</v>
      </c>
      <c r="G88" s="16">
        <v>350</v>
      </c>
      <c r="H88" s="16">
        <f t="shared" si="1"/>
        <v>2578</v>
      </c>
      <c r="I88" s="17">
        <v>46006</v>
      </c>
    </row>
    <row r="89" spans="1:9" x14ac:dyDescent="0.3">
      <c r="A89" s="1" t="s">
        <v>17</v>
      </c>
      <c r="B89" s="1" t="s">
        <v>142</v>
      </c>
      <c r="C89" s="1" t="s">
        <v>138</v>
      </c>
      <c r="D89" s="1">
        <v>177070</v>
      </c>
      <c r="E89" s="1">
        <v>5535185994</v>
      </c>
      <c r="F89" s="2">
        <v>6501.11</v>
      </c>
      <c r="G89" s="2">
        <v>0</v>
      </c>
      <c r="H89" s="2">
        <f t="shared" si="1"/>
        <v>6501.11</v>
      </c>
      <c r="I89" s="6">
        <v>46006</v>
      </c>
    </row>
    <row r="90" spans="1:9" s="15" customFormat="1" x14ac:dyDescent="0.3">
      <c r="A90" s="15" t="s">
        <v>10</v>
      </c>
      <c r="B90" s="15" t="s">
        <v>108</v>
      </c>
      <c r="C90" s="15" t="s">
        <v>84</v>
      </c>
      <c r="D90" s="15">
        <v>348400</v>
      </c>
      <c r="E90" s="15">
        <v>5617630065</v>
      </c>
      <c r="F90" s="16">
        <v>1840</v>
      </c>
      <c r="G90" s="16">
        <v>714</v>
      </c>
      <c r="H90" s="16">
        <f t="shared" si="1"/>
        <v>2554</v>
      </c>
      <c r="I90" s="17">
        <v>46006</v>
      </c>
    </row>
    <row r="91" spans="1:9" x14ac:dyDescent="0.3">
      <c r="A91" s="1" t="s">
        <v>10</v>
      </c>
      <c r="B91" s="1" t="s">
        <v>98</v>
      </c>
      <c r="C91" s="1" t="s">
        <v>84</v>
      </c>
      <c r="D91" s="1">
        <v>176673</v>
      </c>
      <c r="E91" s="1">
        <v>5533555876</v>
      </c>
      <c r="F91" s="2">
        <v>2358</v>
      </c>
      <c r="G91" s="2">
        <v>0</v>
      </c>
      <c r="H91" s="2">
        <f t="shared" si="1"/>
        <v>2358</v>
      </c>
      <c r="I91" s="6">
        <v>46006</v>
      </c>
    </row>
    <row r="92" spans="1:9" s="15" customFormat="1" x14ac:dyDescent="0.3">
      <c r="A92" s="15" t="s">
        <v>11</v>
      </c>
      <c r="B92" s="15" t="s">
        <v>143</v>
      </c>
      <c r="C92" s="15" t="s">
        <v>144</v>
      </c>
      <c r="D92" s="15">
        <v>347964</v>
      </c>
      <c r="F92" s="16">
        <v>42246.91</v>
      </c>
      <c r="G92" s="16">
        <v>0</v>
      </c>
      <c r="H92" s="16">
        <f t="shared" si="1"/>
        <v>42246.91</v>
      </c>
      <c r="I92" s="17">
        <v>46006</v>
      </c>
    </row>
    <row r="93" spans="1:9" x14ac:dyDescent="0.3">
      <c r="A93" s="1" t="s">
        <v>11</v>
      </c>
      <c r="B93" s="1" t="s">
        <v>145</v>
      </c>
      <c r="C93" s="1" t="s">
        <v>147</v>
      </c>
      <c r="D93" s="1">
        <v>176648</v>
      </c>
      <c r="E93" s="1">
        <v>5516104848</v>
      </c>
      <c r="F93" s="2">
        <v>6263.96</v>
      </c>
      <c r="G93" s="2">
        <v>0</v>
      </c>
      <c r="H93" s="2">
        <f t="shared" si="1"/>
        <v>6263.96</v>
      </c>
      <c r="I93" s="6">
        <v>46006</v>
      </c>
    </row>
    <row r="94" spans="1:9" s="15" customFormat="1" x14ac:dyDescent="0.3">
      <c r="A94" s="15" t="s">
        <v>47</v>
      </c>
      <c r="B94" s="15" t="s">
        <v>146</v>
      </c>
      <c r="C94" s="15" t="s">
        <v>149</v>
      </c>
      <c r="D94" s="15">
        <v>176876</v>
      </c>
      <c r="E94" s="15">
        <v>5617566374</v>
      </c>
      <c r="F94" s="16">
        <v>9439.0300000000007</v>
      </c>
      <c r="G94" s="16">
        <v>0</v>
      </c>
      <c r="H94" s="16">
        <f t="shared" si="1"/>
        <v>9439.0300000000007</v>
      </c>
      <c r="I94" s="17">
        <v>46006</v>
      </c>
    </row>
    <row r="95" spans="1:9" x14ac:dyDescent="0.3">
      <c r="A95" s="1" t="s">
        <v>47</v>
      </c>
      <c r="B95" s="1" t="s">
        <v>150</v>
      </c>
      <c r="C95" s="1" t="s">
        <v>56</v>
      </c>
      <c r="D95" s="1">
        <v>176729</v>
      </c>
      <c r="E95" s="1">
        <v>5536791358</v>
      </c>
      <c r="F95" s="2">
        <v>9168</v>
      </c>
      <c r="G95" s="2">
        <v>0</v>
      </c>
      <c r="H95" s="2">
        <f t="shared" si="1"/>
        <v>9168</v>
      </c>
      <c r="I95" s="6">
        <v>46006</v>
      </c>
    </row>
    <row r="96" spans="1:9" s="15" customFormat="1" x14ac:dyDescent="0.3">
      <c r="A96" s="15" t="s">
        <v>47</v>
      </c>
      <c r="B96" s="15" t="s">
        <v>151</v>
      </c>
      <c r="C96" s="15" t="s">
        <v>152</v>
      </c>
      <c r="D96" s="15">
        <v>293987</v>
      </c>
      <c r="E96" s="15">
        <v>5513072209</v>
      </c>
      <c r="F96" s="16">
        <v>533</v>
      </c>
      <c r="G96" s="16">
        <v>0</v>
      </c>
      <c r="H96" s="16">
        <f t="shared" si="1"/>
        <v>533</v>
      </c>
      <c r="I96" s="17">
        <v>46006</v>
      </c>
    </row>
    <row r="97" spans="1:9" x14ac:dyDescent="0.3">
      <c r="A97" s="1" t="s">
        <v>47</v>
      </c>
      <c r="B97" s="1" t="s">
        <v>151</v>
      </c>
      <c r="C97" s="1" t="s">
        <v>152</v>
      </c>
      <c r="D97" s="1">
        <v>293986</v>
      </c>
      <c r="E97" s="1">
        <v>5513072209</v>
      </c>
      <c r="F97" s="2">
        <v>3176</v>
      </c>
      <c r="G97" s="2">
        <v>0</v>
      </c>
      <c r="H97" s="2">
        <f t="shared" si="1"/>
        <v>3176</v>
      </c>
      <c r="I97" s="6">
        <v>46006</v>
      </c>
    </row>
    <row r="98" spans="1:9" s="12" customFormat="1" x14ac:dyDescent="0.3">
      <c r="A98" s="12" t="s">
        <v>10</v>
      </c>
      <c r="B98" s="12" t="s">
        <v>133</v>
      </c>
      <c r="C98" s="12" t="s">
        <v>154</v>
      </c>
      <c r="D98" s="12">
        <v>294362</v>
      </c>
      <c r="E98" s="12">
        <v>5611682149</v>
      </c>
      <c r="F98" s="13">
        <v>5337</v>
      </c>
      <c r="G98" s="13">
        <v>0</v>
      </c>
      <c r="H98" s="13">
        <f t="shared" si="1"/>
        <v>5337</v>
      </c>
      <c r="I98" s="14">
        <v>46007</v>
      </c>
    </row>
    <row r="99" spans="1:9" s="12" customFormat="1" x14ac:dyDescent="0.3">
      <c r="A99" s="12" t="s">
        <v>17</v>
      </c>
      <c r="B99" s="12" t="s">
        <v>156</v>
      </c>
      <c r="C99" s="12" t="s">
        <v>157</v>
      </c>
      <c r="D99" s="12">
        <v>176244</v>
      </c>
      <c r="E99" s="12">
        <v>5517957453</v>
      </c>
      <c r="F99" s="13">
        <v>1341.8</v>
      </c>
      <c r="G99" s="13">
        <v>0</v>
      </c>
      <c r="H99" s="13">
        <f t="shared" si="1"/>
        <v>1341.8</v>
      </c>
      <c r="I99" s="14">
        <v>46007</v>
      </c>
    </row>
    <row r="100" spans="1:9" x14ac:dyDescent="0.3">
      <c r="A100" s="1" t="s">
        <v>17</v>
      </c>
      <c r="B100" s="1" t="s">
        <v>158</v>
      </c>
      <c r="C100" s="1" t="s">
        <v>159</v>
      </c>
      <c r="D100" s="1">
        <v>348433</v>
      </c>
      <c r="E100" s="1">
        <v>5570826626</v>
      </c>
      <c r="F100" s="2">
        <v>15813.34</v>
      </c>
      <c r="G100" s="2">
        <v>0</v>
      </c>
      <c r="H100" s="2">
        <f t="shared" si="1"/>
        <v>15813.34</v>
      </c>
      <c r="I100" s="6">
        <v>46007</v>
      </c>
    </row>
    <row r="101" spans="1:9" s="12" customFormat="1" x14ac:dyDescent="0.3">
      <c r="A101" s="12" t="s">
        <v>10</v>
      </c>
      <c r="B101" s="12" t="s">
        <v>160</v>
      </c>
      <c r="C101" s="12" t="s">
        <v>161</v>
      </c>
      <c r="D101" s="12">
        <v>176745</v>
      </c>
      <c r="E101" s="12">
        <v>5582863806</v>
      </c>
      <c r="F101" s="13">
        <v>1652</v>
      </c>
      <c r="G101" s="13">
        <v>0</v>
      </c>
      <c r="H101" s="13">
        <f t="shared" si="1"/>
        <v>1652</v>
      </c>
      <c r="I101" s="14">
        <v>46007</v>
      </c>
    </row>
    <row r="102" spans="1:9" x14ac:dyDescent="0.3">
      <c r="A102" s="1" t="s">
        <v>10</v>
      </c>
      <c r="B102" s="1" t="s">
        <v>162</v>
      </c>
      <c r="C102" s="1" t="s">
        <v>163</v>
      </c>
      <c r="D102" s="1">
        <v>176638</v>
      </c>
      <c r="E102" s="1">
        <v>5620828989</v>
      </c>
      <c r="F102" s="2">
        <v>11958.99</v>
      </c>
      <c r="G102" s="2">
        <v>0</v>
      </c>
      <c r="H102" s="2">
        <f t="shared" si="1"/>
        <v>11958.99</v>
      </c>
      <c r="I102" s="6">
        <v>46007</v>
      </c>
    </row>
    <row r="103" spans="1:9" s="12" customFormat="1" x14ac:dyDescent="0.3">
      <c r="A103" s="12" t="s">
        <v>17</v>
      </c>
      <c r="B103" s="12" t="s">
        <v>164</v>
      </c>
      <c r="C103" s="12" t="s">
        <v>165</v>
      </c>
      <c r="D103" s="12">
        <v>348391</v>
      </c>
      <c r="E103" s="12">
        <v>5535537817</v>
      </c>
      <c r="F103" s="13">
        <v>6690.27</v>
      </c>
      <c r="G103" s="13">
        <v>0</v>
      </c>
      <c r="H103" s="13">
        <f t="shared" si="1"/>
        <v>6690.27</v>
      </c>
      <c r="I103" s="14">
        <v>46007</v>
      </c>
    </row>
    <row r="104" spans="1:9" x14ac:dyDescent="0.3">
      <c r="A104" s="1" t="s">
        <v>17</v>
      </c>
      <c r="B104" s="1" t="s">
        <v>166</v>
      </c>
      <c r="C104" s="1" t="s">
        <v>167</v>
      </c>
      <c r="D104" s="1">
        <v>177602</v>
      </c>
      <c r="E104" s="1">
        <v>5616065307</v>
      </c>
      <c r="F104" s="2">
        <v>7516</v>
      </c>
      <c r="G104" s="2">
        <v>0</v>
      </c>
      <c r="H104" s="2">
        <f t="shared" si="1"/>
        <v>7516</v>
      </c>
      <c r="I104" s="6">
        <v>46007</v>
      </c>
    </row>
    <row r="105" spans="1:9" s="12" customFormat="1" x14ac:dyDescent="0.3">
      <c r="A105" s="12" t="s">
        <v>17</v>
      </c>
      <c r="B105" s="12" t="s">
        <v>168</v>
      </c>
      <c r="C105" s="12" t="s">
        <v>167</v>
      </c>
      <c r="D105" s="12">
        <v>177651</v>
      </c>
      <c r="E105" s="12">
        <v>5515999517</v>
      </c>
      <c r="F105" s="13">
        <v>9000</v>
      </c>
      <c r="G105" s="13">
        <v>0</v>
      </c>
      <c r="H105" s="13">
        <f t="shared" si="1"/>
        <v>9000</v>
      </c>
      <c r="I105" s="14">
        <v>46007</v>
      </c>
    </row>
    <row r="106" spans="1:9" x14ac:dyDescent="0.3">
      <c r="A106" s="1" t="s">
        <v>17</v>
      </c>
      <c r="B106" s="1" t="s">
        <v>169</v>
      </c>
      <c r="C106" s="1" t="s">
        <v>170</v>
      </c>
      <c r="D106" s="1">
        <v>348914</v>
      </c>
      <c r="E106" s="1">
        <v>5612609168</v>
      </c>
      <c r="F106" s="2">
        <v>5924</v>
      </c>
      <c r="G106" s="2">
        <v>0</v>
      </c>
      <c r="H106" s="2">
        <f t="shared" si="1"/>
        <v>5924</v>
      </c>
      <c r="I106" s="6">
        <v>46007</v>
      </c>
    </row>
    <row r="107" spans="1:9" s="12" customFormat="1" x14ac:dyDescent="0.3">
      <c r="A107" s="12" t="s">
        <v>17</v>
      </c>
      <c r="B107" s="12" t="s">
        <v>132</v>
      </c>
      <c r="C107" s="12" t="s">
        <v>155</v>
      </c>
      <c r="D107" s="12">
        <v>301199</v>
      </c>
      <c r="E107" s="12">
        <v>5551581736</v>
      </c>
      <c r="F107" s="13">
        <v>2963</v>
      </c>
      <c r="G107" s="13">
        <v>0</v>
      </c>
      <c r="H107" s="13">
        <f t="shared" si="1"/>
        <v>2963</v>
      </c>
      <c r="I107" s="14">
        <v>46007</v>
      </c>
    </row>
    <row r="108" spans="1:9" x14ac:dyDescent="0.3">
      <c r="A108" s="1" t="s">
        <v>17</v>
      </c>
      <c r="B108" s="1" t="s">
        <v>171</v>
      </c>
      <c r="C108" s="1" t="s">
        <v>72</v>
      </c>
      <c r="D108" s="1">
        <v>177501</v>
      </c>
      <c r="E108" s="1">
        <v>5543891747</v>
      </c>
      <c r="F108" s="2">
        <v>9280</v>
      </c>
      <c r="G108" s="2">
        <v>0</v>
      </c>
      <c r="H108" s="2">
        <f t="shared" si="1"/>
        <v>9280</v>
      </c>
      <c r="I108" s="6">
        <v>46007</v>
      </c>
    </row>
    <row r="109" spans="1:9" s="12" customFormat="1" x14ac:dyDescent="0.3">
      <c r="A109" s="12" t="s">
        <v>17</v>
      </c>
      <c r="B109" s="12" t="s">
        <v>172</v>
      </c>
      <c r="C109" s="12" t="s">
        <v>117</v>
      </c>
      <c r="D109" s="12">
        <v>348947</v>
      </c>
      <c r="E109" s="12">
        <v>5613784613</v>
      </c>
      <c r="F109" s="13">
        <v>6924</v>
      </c>
      <c r="G109" s="13">
        <v>0</v>
      </c>
      <c r="H109" s="13">
        <f t="shared" si="1"/>
        <v>6924</v>
      </c>
      <c r="I109" s="14">
        <v>46007</v>
      </c>
    </row>
    <row r="110" spans="1:9" x14ac:dyDescent="0.3">
      <c r="A110" s="1" t="s">
        <v>17</v>
      </c>
      <c r="B110" s="1" t="s">
        <v>173</v>
      </c>
      <c r="C110" s="1" t="s">
        <v>174</v>
      </c>
      <c r="D110" s="1">
        <v>294155</v>
      </c>
      <c r="E110" s="1">
        <v>5519229671</v>
      </c>
      <c r="F110" s="2">
        <v>1244.1600000000001</v>
      </c>
      <c r="G110" s="2">
        <v>0</v>
      </c>
      <c r="H110" s="2">
        <f t="shared" si="1"/>
        <v>1244.1600000000001</v>
      </c>
      <c r="I110" s="6">
        <v>46007</v>
      </c>
    </row>
    <row r="111" spans="1:9" s="12" customFormat="1" x14ac:dyDescent="0.3">
      <c r="A111" s="12" t="s">
        <v>10</v>
      </c>
      <c r="B111" s="12" t="s">
        <v>175</v>
      </c>
      <c r="C111" s="12" t="s">
        <v>176</v>
      </c>
      <c r="D111" s="12">
        <v>177600</v>
      </c>
      <c r="E111" s="12">
        <v>5573368997</v>
      </c>
      <c r="F111" s="13">
        <v>2276</v>
      </c>
      <c r="G111" s="13">
        <v>0</v>
      </c>
      <c r="H111" s="13">
        <f t="shared" si="1"/>
        <v>2276</v>
      </c>
      <c r="I111" s="14">
        <v>46007</v>
      </c>
    </row>
    <row r="112" spans="1:9" x14ac:dyDescent="0.3">
      <c r="A112" s="1" t="s">
        <v>10</v>
      </c>
      <c r="B112" s="1" t="s">
        <v>177</v>
      </c>
      <c r="C112" s="1" t="s">
        <v>178</v>
      </c>
      <c r="D112" s="1">
        <v>177624</v>
      </c>
      <c r="E112" s="1">
        <v>5534503264</v>
      </c>
      <c r="F112" s="2">
        <v>610</v>
      </c>
      <c r="G112" s="2">
        <v>0</v>
      </c>
      <c r="H112" s="2">
        <f t="shared" si="1"/>
        <v>610</v>
      </c>
      <c r="I112" s="6">
        <v>46007</v>
      </c>
    </row>
    <row r="113" spans="1:9" s="12" customFormat="1" x14ac:dyDescent="0.3">
      <c r="A113" s="12" t="s">
        <v>11</v>
      </c>
      <c r="B113" s="12" t="s">
        <v>179</v>
      </c>
      <c r="C113" s="12" t="s">
        <v>180</v>
      </c>
      <c r="D113" s="12">
        <v>1622</v>
      </c>
      <c r="F113" s="13">
        <v>64202.91</v>
      </c>
      <c r="G113" s="13">
        <v>0</v>
      </c>
      <c r="H113" s="13">
        <f t="shared" si="1"/>
        <v>64202.91</v>
      </c>
      <c r="I113" s="14">
        <v>46007</v>
      </c>
    </row>
    <row r="114" spans="1:9" x14ac:dyDescent="0.3">
      <c r="A114" s="1" t="s">
        <v>11</v>
      </c>
      <c r="B114" s="1" t="s">
        <v>179</v>
      </c>
      <c r="C114" s="1" t="s">
        <v>181</v>
      </c>
      <c r="D114" s="1">
        <v>1612</v>
      </c>
      <c r="F114" s="2">
        <v>75185.66</v>
      </c>
      <c r="G114" s="2">
        <v>0</v>
      </c>
      <c r="H114" s="2">
        <f t="shared" si="1"/>
        <v>75185.66</v>
      </c>
      <c r="I114" s="6">
        <v>46007</v>
      </c>
    </row>
    <row r="115" spans="1:9" s="12" customFormat="1" x14ac:dyDescent="0.3">
      <c r="A115" s="12" t="s">
        <v>11</v>
      </c>
      <c r="B115" s="12" t="s">
        <v>179</v>
      </c>
      <c r="C115" s="12" t="s">
        <v>181</v>
      </c>
      <c r="D115" s="12">
        <v>1611</v>
      </c>
      <c r="F115" s="13">
        <v>57325</v>
      </c>
      <c r="G115" s="13">
        <v>0</v>
      </c>
      <c r="H115" s="13">
        <f t="shared" si="1"/>
        <v>57325</v>
      </c>
      <c r="I115" s="14">
        <v>46007</v>
      </c>
    </row>
    <row r="116" spans="1:9" x14ac:dyDescent="0.3">
      <c r="A116" s="1" t="s">
        <v>11</v>
      </c>
      <c r="B116" s="1" t="s">
        <v>179</v>
      </c>
      <c r="C116" s="1" t="s">
        <v>181</v>
      </c>
      <c r="D116" s="1">
        <v>1613</v>
      </c>
      <c r="F116" s="2">
        <v>35531.9</v>
      </c>
      <c r="G116" s="2">
        <v>0</v>
      </c>
      <c r="H116" s="2">
        <f t="shared" si="1"/>
        <v>35531.9</v>
      </c>
      <c r="I116" s="6">
        <v>46007</v>
      </c>
    </row>
    <row r="117" spans="1:9" s="12" customFormat="1" x14ac:dyDescent="0.3">
      <c r="A117" s="12" t="s">
        <v>11</v>
      </c>
      <c r="B117" s="12" t="s">
        <v>179</v>
      </c>
      <c r="C117" s="12" t="s">
        <v>181</v>
      </c>
      <c r="D117" s="12">
        <v>1614</v>
      </c>
      <c r="F117" s="13">
        <v>30003.93</v>
      </c>
      <c r="G117" s="13">
        <v>0</v>
      </c>
      <c r="H117" s="13">
        <f t="shared" si="1"/>
        <v>30003.93</v>
      </c>
      <c r="I117" s="14">
        <v>46007</v>
      </c>
    </row>
    <row r="118" spans="1:9" x14ac:dyDescent="0.3">
      <c r="A118" s="1" t="s">
        <v>47</v>
      </c>
      <c r="B118" s="1" t="s">
        <v>182</v>
      </c>
      <c r="C118" s="1" t="s">
        <v>183</v>
      </c>
      <c r="D118" s="1">
        <v>348951</v>
      </c>
      <c r="E118" s="1">
        <v>5557461487</v>
      </c>
      <c r="F118" s="2">
        <v>2685</v>
      </c>
      <c r="G118" s="2">
        <v>0</v>
      </c>
      <c r="H118" s="2">
        <f t="shared" si="1"/>
        <v>2685</v>
      </c>
      <c r="I118" s="6">
        <v>46007</v>
      </c>
    </row>
    <row r="119" spans="1:9" s="12" customFormat="1" x14ac:dyDescent="0.3">
      <c r="A119" s="12" t="s">
        <v>47</v>
      </c>
      <c r="B119" s="12" t="s">
        <v>184</v>
      </c>
      <c r="C119" s="12" t="s">
        <v>185</v>
      </c>
      <c r="D119" s="12">
        <v>177552</v>
      </c>
      <c r="E119" s="12">
        <v>5572111897</v>
      </c>
      <c r="F119" s="13">
        <v>2062</v>
      </c>
      <c r="G119" s="13"/>
      <c r="H119" s="13">
        <f t="shared" si="1"/>
        <v>2062</v>
      </c>
      <c r="I119" s="14">
        <v>46007</v>
      </c>
    </row>
    <row r="120" spans="1:9" x14ac:dyDescent="0.3">
      <c r="A120" s="1" t="s">
        <v>47</v>
      </c>
      <c r="B120" s="1" t="s">
        <v>186</v>
      </c>
      <c r="C120" s="1" t="s">
        <v>187</v>
      </c>
      <c r="D120" s="1">
        <v>348598</v>
      </c>
      <c r="F120" s="2">
        <v>4640</v>
      </c>
      <c r="G120" s="2">
        <v>546</v>
      </c>
      <c r="H120" s="2">
        <f t="shared" si="1"/>
        <v>5186</v>
      </c>
      <c r="I120" s="6">
        <v>46007</v>
      </c>
    </row>
    <row r="121" spans="1:9" s="12" customFormat="1" x14ac:dyDescent="0.3">
      <c r="A121" s="12" t="s">
        <v>47</v>
      </c>
      <c r="B121" s="12" t="s">
        <v>188</v>
      </c>
      <c r="C121" s="12" t="s">
        <v>187</v>
      </c>
      <c r="D121" s="12">
        <v>348750</v>
      </c>
      <c r="E121" s="12">
        <v>5529849094</v>
      </c>
      <c r="F121" s="13">
        <v>1396.56</v>
      </c>
      <c r="G121" s="13"/>
      <c r="H121" s="13">
        <f t="shared" si="1"/>
        <v>1396.56</v>
      </c>
      <c r="I121" s="14">
        <v>46007</v>
      </c>
    </row>
    <row r="122" spans="1:9" x14ac:dyDescent="0.3">
      <c r="B122" s="1" t="s">
        <v>189</v>
      </c>
      <c r="C122" s="1" t="s">
        <v>190</v>
      </c>
      <c r="D122" s="1">
        <v>293815</v>
      </c>
      <c r="E122" s="1">
        <v>5528255855</v>
      </c>
      <c r="F122" s="2">
        <v>18317.97</v>
      </c>
      <c r="G122" s="2">
        <v>0</v>
      </c>
      <c r="H122" s="2">
        <f t="shared" si="1"/>
        <v>18317.97</v>
      </c>
      <c r="I122" s="6" t="s">
        <v>219</v>
      </c>
    </row>
    <row r="123" spans="1:9" s="18" customFormat="1" x14ac:dyDescent="0.3">
      <c r="A123" s="18" t="s">
        <v>11</v>
      </c>
      <c r="B123" s="18" t="s">
        <v>217</v>
      </c>
      <c r="C123" s="18" t="s">
        <v>218</v>
      </c>
      <c r="D123" s="18">
        <v>177790</v>
      </c>
      <c r="E123" s="18">
        <v>5521745267</v>
      </c>
      <c r="F123" s="19">
        <v>17410</v>
      </c>
      <c r="G123" s="19">
        <v>0</v>
      </c>
      <c r="H123" s="19">
        <f t="shared" si="1"/>
        <v>17410</v>
      </c>
      <c r="I123" s="20">
        <v>46008</v>
      </c>
    </row>
    <row r="124" spans="1:9" x14ac:dyDescent="0.3">
      <c r="A124" s="1" t="s">
        <v>11</v>
      </c>
      <c r="B124" s="1" t="s">
        <v>196</v>
      </c>
      <c r="C124" s="1" t="s">
        <v>197</v>
      </c>
      <c r="D124" s="1">
        <v>177021</v>
      </c>
      <c r="E124" s="1">
        <v>5574594950</v>
      </c>
      <c r="F124" s="2">
        <v>2594.6</v>
      </c>
      <c r="G124" s="2">
        <v>0</v>
      </c>
      <c r="H124" s="2">
        <f t="shared" si="1"/>
        <v>2594.6</v>
      </c>
      <c r="I124" s="6">
        <v>46008</v>
      </c>
    </row>
    <row r="125" spans="1:9" s="18" customFormat="1" x14ac:dyDescent="0.3">
      <c r="A125" s="18" t="s">
        <v>11</v>
      </c>
      <c r="B125" s="18" t="s">
        <v>198</v>
      </c>
      <c r="C125" s="18" t="s">
        <v>199</v>
      </c>
      <c r="D125" s="18">
        <v>294475</v>
      </c>
      <c r="E125" s="18">
        <v>5621395439</v>
      </c>
      <c r="F125" s="19">
        <v>12650</v>
      </c>
      <c r="G125" s="19">
        <v>0</v>
      </c>
      <c r="H125" s="19">
        <f t="shared" si="1"/>
        <v>12650</v>
      </c>
      <c r="I125" s="20">
        <v>46008</v>
      </c>
    </row>
    <row r="126" spans="1:9" s="5" customFormat="1" x14ac:dyDescent="0.3">
      <c r="A126" s="5" t="s">
        <v>17</v>
      </c>
      <c r="B126" s="5" t="s">
        <v>200</v>
      </c>
      <c r="C126" s="5" t="s">
        <v>201</v>
      </c>
      <c r="D126" s="5">
        <v>349027</v>
      </c>
      <c r="E126" s="5">
        <v>5577198687</v>
      </c>
      <c r="F126" s="10">
        <v>3970</v>
      </c>
      <c r="G126" s="10">
        <v>0</v>
      </c>
      <c r="H126" s="10">
        <f t="shared" si="1"/>
        <v>3970</v>
      </c>
      <c r="I126" s="11">
        <v>46008</v>
      </c>
    </row>
    <row r="127" spans="1:9" s="18" customFormat="1" x14ac:dyDescent="0.3">
      <c r="A127" s="18" t="s">
        <v>17</v>
      </c>
      <c r="B127" s="18" t="s">
        <v>202</v>
      </c>
      <c r="C127" s="18" t="s">
        <v>203</v>
      </c>
      <c r="D127" s="18">
        <v>177720</v>
      </c>
      <c r="E127" s="18">
        <v>5613536877</v>
      </c>
      <c r="F127" s="19">
        <v>4048</v>
      </c>
      <c r="G127" s="19">
        <v>0</v>
      </c>
      <c r="H127" s="19">
        <f t="shared" si="1"/>
        <v>4048</v>
      </c>
      <c r="I127" s="20">
        <v>46008</v>
      </c>
    </row>
    <row r="128" spans="1:9" s="5" customFormat="1" x14ac:dyDescent="0.3">
      <c r="A128" s="5" t="s">
        <v>17</v>
      </c>
      <c r="B128" s="5" t="s">
        <v>220</v>
      </c>
      <c r="C128" s="5" t="s">
        <v>204</v>
      </c>
      <c r="D128" s="5">
        <v>294554</v>
      </c>
      <c r="E128" s="5">
        <v>5531564353</v>
      </c>
      <c r="F128" s="10">
        <v>30200</v>
      </c>
      <c r="G128" s="10">
        <v>0</v>
      </c>
      <c r="H128" s="10">
        <f t="shared" si="1"/>
        <v>30200</v>
      </c>
      <c r="I128" s="11">
        <v>46008</v>
      </c>
    </row>
    <row r="129" spans="1:9" s="18" customFormat="1" x14ac:dyDescent="0.3">
      <c r="A129" s="18" t="s">
        <v>17</v>
      </c>
      <c r="B129" s="18" t="s">
        <v>205</v>
      </c>
      <c r="C129" s="18" t="s">
        <v>206</v>
      </c>
      <c r="D129" s="18">
        <v>294492</v>
      </c>
      <c r="E129" s="18">
        <v>5528872468</v>
      </c>
      <c r="F129" s="19">
        <v>1884</v>
      </c>
      <c r="G129" s="19">
        <v>0</v>
      </c>
      <c r="H129" s="19">
        <f t="shared" si="1"/>
        <v>1884</v>
      </c>
      <c r="I129" s="20">
        <v>46008</v>
      </c>
    </row>
    <row r="130" spans="1:9" s="5" customFormat="1" x14ac:dyDescent="0.3">
      <c r="A130" s="5" t="s">
        <v>17</v>
      </c>
      <c r="B130" s="5" t="s">
        <v>191</v>
      </c>
      <c r="C130" s="5" t="s">
        <v>192</v>
      </c>
      <c r="D130" s="5">
        <v>294200</v>
      </c>
      <c r="E130" s="5">
        <v>5576244653</v>
      </c>
      <c r="F130" s="10">
        <v>1934</v>
      </c>
      <c r="G130" s="10">
        <v>0</v>
      </c>
      <c r="H130" s="10">
        <f t="shared" si="1"/>
        <v>1934</v>
      </c>
      <c r="I130" s="11">
        <v>46008</v>
      </c>
    </row>
    <row r="131" spans="1:9" s="18" customFormat="1" x14ac:dyDescent="0.3">
      <c r="A131" s="18" t="s">
        <v>17</v>
      </c>
      <c r="B131" s="18" t="s">
        <v>207</v>
      </c>
      <c r="C131" s="18" t="s">
        <v>208</v>
      </c>
      <c r="D131" s="18">
        <v>348657</v>
      </c>
      <c r="E131" s="18">
        <v>5617501876</v>
      </c>
      <c r="F131" s="19">
        <v>7753.19</v>
      </c>
      <c r="G131" s="19">
        <v>0</v>
      </c>
      <c r="H131" s="19">
        <f t="shared" ref="H131:H194" si="2">F131+G131</f>
        <v>7753.19</v>
      </c>
      <c r="I131" s="20">
        <v>46008</v>
      </c>
    </row>
    <row r="132" spans="1:9" s="5" customFormat="1" x14ac:dyDescent="0.3">
      <c r="A132" s="5" t="s">
        <v>17</v>
      </c>
      <c r="B132" s="5" t="s">
        <v>209</v>
      </c>
      <c r="C132" s="5" t="s">
        <v>210</v>
      </c>
      <c r="D132" s="5">
        <v>294406</v>
      </c>
      <c r="E132" s="5">
        <v>5545597998</v>
      </c>
      <c r="F132" s="10">
        <v>2832</v>
      </c>
      <c r="G132" s="10">
        <v>0</v>
      </c>
      <c r="H132" s="10">
        <f t="shared" si="2"/>
        <v>2832</v>
      </c>
      <c r="I132" s="11">
        <v>46008</v>
      </c>
    </row>
    <row r="133" spans="1:9" s="18" customFormat="1" x14ac:dyDescent="0.3">
      <c r="A133" s="18" t="s">
        <v>47</v>
      </c>
      <c r="B133" s="18" t="s">
        <v>211</v>
      </c>
      <c r="C133" s="18" t="s">
        <v>212</v>
      </c>
      <c r="D133" s="18">
        <v>348792</v>
      </c>
      <c r="E133" s="18">
        <v>5539254094</v>
      </c>
      <c r="F133" s="19">
        <v>570.48</v>
      </c>
      <c r="G133" s="19">
        <v>0</v>
      </c>
      <c r="H133" s="19">
        <f t="shared" si="2"/>
        <v>570.48</v>
      </c>
      <c r="I133" s="20">
        <v>46008</v>
      </c>
    </row>
    <row r="134" spans="1:9" s="5" customFormat="1" x14ac:dyDescent="0.3">
      <c r="A134" s="5" t="s">
        <v>47</v>
      </c>
      <c r="B134" s="5" t="s">
        <v>213</v>
      </c>
      <c r="C134" s="5" t="s">
        <v>6</v>
      </c>
      <c r="D134" s="5">
        <v>294233</v>
      </c>
      <c r="E134" s="5">
        <v>5518465090</v>
      </c>
      <c r="F134" s="10">
        <v>10151.040000000001</v>
      </c>
      <c r="G134" s="10">
        <v>0</v>
      </c>
      <c r="H134" s="10">
        <f t="shared" si="2"/>
        <v>10151.040000000001</v>
      </c>
      <c r="I134" s="11">
        <v>46008</v>
      </c>
    </row>
    <row r="135" spans="1:9" s="18" customFormat="1" x14ac:dyDescent="0.3">
      <c r="A135" s="18" t="s">
        <v>47</v>
      </c>
      <c r="B135" s="18" t="s">
        <v>193</v>
      </c>
      <c r="C135" s="18" t="s">
        <v>6</v>
      </c>
      <c r="D135" s="18">
        <v>348614</v>
      </c>
      <c r="E135" s="18">
        <v>5571701860</v>
      </c>
      <c r="F135" s="19">
        <v>6318</v>
      </c>
      <c r="G135" s="19">
        <v>0</v>
      </c>
      <c r="H135" s="19">
        <f t="shared" si="2"/>
        <v>6318</v>
      </c>
      <c r="I135" s="20">
        <v>46008</v>
      </c>
    </row>
    <row r="136" spans="1:9" s="5" customFormat="1" x14ac:dyDescent="0.3">
      <c r="A136" s="5" t="s">
        <v>47</v>
      </c>
      <c r="B136" s="5" t="s">
        <v>221</v>
      </c>
      <c r="C136" s="5" t="s">
        <v>214</v>
      </c>
      <c r="D136" s="5">
        <v>294093</v>
      </c>
      <c r="E136" s="5">
        <v>5529570508</v>
      </c>
      <c r="F136" s="10">
        <v>6915.27</v>
      </c>
      <c r="G136" s="10">
        <v>0</v>
      </c>
      <c r="H136" s="10">
        <f t="shared" si="2"/>
        <v>6915.27</v>
      </c>
      <c r="I136" s="11">
        <v>46008</v>
      </c>
    </row>
    <row r="137" spans="1:9" s="18" customFormat="1" x14ac:dyDescent="0.3">
      <c r="A137" s="18" t="s">
        <v>10</v>
      </c>
      <c r="B137" s="18" t="s">
        <v>194</v>
      </c>
      <c r="C137" s="18" t="s">
        <v>195</v>
      </c>
      <c r="D137" s="18">
        <v>176770</v>
      </c>
      <c r="E137" s="18">
        <v>5617687753</v>
      </c>
      <c r="F137" s="19">
        <v>12223</v>
      </c>
      <c r="G137" s="19">
        <v>2083</v>
      </c>
      <c r="H137" s="19">
        <f t="shared" si="2"/>
        <v>14306</v>
      </c>
      <c r="I137" s="20">
        <v>46008</v>
      </c>
    </row>
    <row r="138" spans="1:9" s="5" customFormat="1" x14ac:dyDescent="0.3">
      <c r="A138" s="5" t="s">
        <v>10</v>
      </c>
      <c r="B138" s="5" t="s">
        <v>215</v>
      </c>
      <c r="C138" s="5" t="s">
        <v>138</v>
      </c>
      <c r="D138" s="5">
        <v>177218</v>
      </c>
      <c r="E138" s="5">
        <v>5535353344</v>
      </c>
      <c r="F138" s="10">
        <v>4850.8</v>
      </c>
      <c r="G138" s="10">
        <v>0</v>
      </c>
      <c r="H138" s="10">
        <f t="shared" si="2"/>
        <v>4850.8</v>
      </c>
      <c r="I138" s="11">
        <v>46008</v>
      </c>
    </row>
    <row r="139" spans="1:9" s="18" customFormat="1" x14ac:dyDescent="0.3">
      <c r="A139" s="18" t="s">
        <v>10</v>
      </c>
      <c r="B139" s="18" t="s">
        <v>216</v>
      </c>
      <c r="C139" s="18" t="s">
        <v>138</v>
      </c>
      <c r="D139" s="18">
        <v>176506</v>
      </c>
      <c r="E139" s="18">
        <v>3310246306</v>
      </c>
      <c r="F139" s="19">
        <v>3165</v>
      </c>
      <c r="G139" s="19">
        <v>0</v>
      </c>
      <c r="H139" s="19">
        <f t="shared" si="2"/>
        <v>3165</v>
      </c>
      <c r="I139" s="20">
        <v>46008</v>
      </c>
    </row>
    <row r="140" spans="1:9" s="5" customFormat="1" x14ac:dyDescent="0.3">
      <c r="A140" s="5" t="s">
        <v>10</v>
      </c>
      <c r="B140" s="5" t="s">
        <v>216</v>
      </c>
      <c r="C140" s="5" t="s">
        <v>138</v>
      </c>
      <c r="D140" s="5">
        <v>176511</v>
      </c>
      <c r="E140" s="5">
        <v>3310246306</v>
      </c>
      <c r="F140" s="10">
        <v>3731.56</v>
      </c>
      <c r="G140" s="10">
        <v>0</v>
      </c>
      <c r="H140" s="10">
        <f t="shared" si="2"/>
        <v>3731.56</v>
      </c>
      <c r="I140" s="11">
        <v>46008</v>
      </c>
    </row>
    <row r="141" spans="1:9" s="18" customFormat="1" x14ac:dyDescent="0.3">
      <c r="A141" s="18" t="s">
        <v>10</v>
      </c>
      <c r="B141" s="18" t="s">
        <v>216</v>
      </c>
      <c r="C141" s="18" t="s">
        <v>138</v>
      </c>
      <c r="D141" s="18">
        <v>176510</v>
      </c>
      <c r="E141" s="18">
        <v>3310246306</v>
      </c>
      <c r="F141" s="19">
        <v>3871.96</v>
      </c>
      <c r="G141" s="19">
        <v>0</v>
      </c>
      <c r="H141" s="19">
        <f t="shared" si="2"/>
        <v>3871.96</v>
      </c>
      <c r="I141" s="20">
        <v>46008</v>
      </c>
    </row>
    <row r="142" spans="1:9" s="5" customFormat="1" x14ac:dyDescent="0.3">
      <c r="A142" s="5" t="s">
        <v>10</v>
      </c>
      <c r="B142" s="5" t="s">
        <v>216</v>
      </c>
      <c r="C142" s="5" t="s">
        <v>138</v>
      </c>
      <c r="D142" s="5">
        <v>176509</v>
      </c>
      <c r="E142" s="5">
        <v>3310246306</v>
      </c>
      <c r="F142" s="10">
        <v>2267.7600000000002</v>
      </c>
      <c r="G142" s="10">
        <v>0</v>
      </c>
      <c r="H142" s="10">
        <f t="shared" si="2"/>
        <v>2267.7600000000002</v>
      </c>
      <c r="I142" s="11">
        <v>46008</v>
      </c>
    </row>
    <row r="143" spans="1:9" s="18" customFormat="1" x14ac:dyDescent="0.3">
      <c r="A143" s="18" t="s">
        <v>10</v>
      </c>
      <c r="B143" s="18" t="s">
        <v>216</v>
      </c>
      <c r="C143" s="18" t="s">
        <v>138</v>
      </c>
      <c r="D143" s="18">
        <v>176508</v>
      </c>
      <c r="E143" s="18">
        <v>3310246306</v>
      </c>
      <c r="F143" s="19">
        <v>2866</v>
      </c>
      <c r="G143" s="19">
        <v>0</v>
      </c>
      <c r="H143" s="19">
        <f t="shared" si="2"/>
        <v>2866</v>
      </c>
      <c r="I143" s="20">
        <v>46008</v>
      </c>
    </row>
    <row r="144" spans="1:9" s="5" customFormat="1" x14ac:dyDescent="0.3">
      <c r="A144" s="5" t="s">
        <v>10</v>
      </c>
      <c r="B144" s="5" t="s">
        <v>216</v>
      </c>
      <c r="C144" s="5" t="s">
        <v>138</v>
      </c>
      <c r="D144" s="5">
        <v>176507</v>
      </c>
      <c r="E144" s="5">
        <v>3310246306</v>
      </c>
      <c r="F144" s="10">
        <v>2510.64</v>
      </c>
      <c r="G144" s="10">
        <v>0</v>
      </c>
      <c r="H144" s="10">
        <f t="shared" si="2"/>
        <v>2510.64</v>
      </c>
      <c r="I144" s="11">
        <v>46008</v>
      </c>
    </row>
    <row r="145" spans="1:9" s="18" customFormat="1" x14ac:dyDescent="0.3">
      <c r="A145" s="18" t="s">
        <v>10</v>
      </c>
      <c r="B145" s="18" t="s">
        <v>216</v>
      </c>
      <c r="C145" s="18" t="s">
        <v>138</v>
      </c>
      <c r="D145" s="18">
        <v>176505</v>
      </c>
      <c r="E145" s="18">
        <v>3310246306</v>
      </c>
      <c r="F145" s="19">
        <v>1471.16</v>
      </c>
      <c r="G145" s="19">
        <v>0</v>
      </c>
      <c r="H145" s="19">
        <f t="shared" si="2"/>
        <v>1471.16</v>
      </c>
      <c r="I145" s="20">
        <v>46008</v>
      </c>
    </row>
    <row r="146" spans="1:9" x14ac:dyDescent="0.3">
      <c r="A146" s="1" t="s">
        <v>47</v>
      </c>
      <c r="B146" s="1" t="s">
        <v>222</v>
      </c>
      <c r="C146" s="1" t="s">
        <v>88</v>
      </c>
      <c r="D146" s="1">
        <v>177507</v>
      </c>
      <c r="E146" s="1">
        <v>5548059001</v>
      </c>
      <c r="F146" s="2">
        <v>1488</v>
      </c>
      <c r="G146" s="2">
        <v>0</v>
      </c>
      <c r="H146" s="10">
        <f t="shared" si="2"/>
        <v>1488</v>
      </c>
      <c r="I146" s="11">
        <v>46008</v>
      </c>
    </row>
    <row r="147" spans="1:9" s="18" customFormat="1" x14ac:dyDescent="0.3">
      <c r="A147" s="18" t="s">
        <v>47</v>
      </c>
      <c r="B147" s="18" t="s">
        <v>223</v>
      </c>
      <c r="C147" s="18" t="s">
        <v>88</v>
      </c>
      <c r="D147" s="18">
        <v>320074</v>
      </c>
      <c r="E147" s="18">
        <v>5562168033</v>
      </c>
      <c r="F147" s="19">
        <v>338</v>
      </c>
      <c r="G147" s="19">
        <v>797</v>
      </c>
      <c r="H147" s="19">
        <f t="shared" si="2"/>
        <v>1135</v>
      </c>
      <c r="I147" s="20">
        <v>46008</v>
      </c>
    </row>
    <row r="148" spans="1:9" x14ac:dyDescent="0.3">
      <c r="A148" s="1" t="s">
        <v>47</v>
      </c>
      <c r="B148" s="1" t="s">
        <v>224</v>
      </c>
      <c r="C148" s="1" t="s">
        <v>225</v>
      </c>
      <c r="D148" s="1">
        <v>294427</v>
      </c>
      <c r="E148" s="1">
        <v>55265539564933</v>
      </c>
      <c r="F148" s="2">
        <v>6322.23</v>
      </c>
      <c r="G148" s="2">
        <v>0</v>
      </c>
      <c r="H148" s="10">
        <f t="shared" si="2"/>
        <v>6322.23</v>
      </c>
      <c r="I148" s="11">
        <v>46008</v>
      </c>
    </row>
    <row r="149" spans="1:9" s="21" customFormat="1" x14ac:dyDescent="0.3">
      <c r="A149" s="21" t="s">
        <v>17</v>
      </c>
      <c r="B149" s="21" t="s">
        <v>226</v>
      </c>
      <c r="C149" s="21" t="s">
        <v>204</v>
      </c>
      <c r="D149" s="21">
        <v>177521</v>
      </c>
      <c r="E149" s="21">
        <v>5514658837</v>
      </c>
      <c r="F149" s="22">
        <v>3686</v>
      </c>
      <c r="G149" s="22">
        <v>0</v>
      </c>
      <c r="H149" s="22">
        <f t="shared" si="2"/>
        <v>3686</v>
      </c>
      <c r="I149" s="23">
        <v>46009</v>
      </c>
    </row>
    <row r="150" spans="1:9" x14ac:dyDescent="0.3">
      <c r="A150" s="1" t="s">
        <v>17</v>
      </c>
      <c r="B150" s="1" t="s">
        <v>227</v>
      </c>
      <c r="C150" s="1" t="s">
        <v>228</v>
      </c>
      <c r="D150" s="1">
        <v>348744</v>
      </c>
      <c r="E150" s="1">
        <v>5534846357</v>
      </c>
      <c r="F150" s="2">
        <v>7742.29</v>
      </c>
      <c r="G150" s="2">
        <v>0</v>
      </c>
      <c r="H150" s="10">
        <f t="shared" si="2"/>
        <v>7742.29</v>
      </c>
      <c r="I150" s="6">
        <v>46009</v>
      </c>
    </row>
    <row r="151" spans="1:9" s="21" customFormat="1" x14ac:dyDescent="0.3">
      <c r="A151" s="21" t="s">
        <v>17</v>
      </c>
      <c r="B151" s="21" t="s">
        <v>229</v>
      </c>
      <c r="C151" s="21" t="s">
        <v>115</v>
      </c>
      <c r="D151" s="21">
        <v>294432</v>
      </c>
      <c r="E151" s="21">
        <v>5569846314</v>
      </c>
      <c r="F151" s="22">
        <v>7752.16</v>
      </c>
      <c r="G151" s="22">
        <v>0</v>
      </c>
      <c r="H151" s="22">
        <f t="shared" si="2"/>
        <v>7752.16</v>
      </c>
      <c r="I151" s="23">
        <v>46009</v>
      </c>
    </row>
    <row r="152" spans="1:9" x14ac:dyDescent="0.3">
      <c r="A152" s="1" t="s">
        <v>17</v>
      </c>
      <c r="B152" s="1" t="s">
        <v>230</v>
      </c>
      <c r="C152" s="1" t="s">
        <v>152</v>
      </c>
      <c r="D152" s="1">
        <v>294666</v>
      </c>
      <c r="E152" s="1">
        <v>5554171386</v>
      </c>
      <c r="F152" s="2">
        <v>3800</v>
      </c>
      <c r="G152" s="2">
        <v>0</v>
      </c>
      <c r="H152" s="10">
        <f t="shared" si="2"/>
        <v>3800</v>
      </c>
      <c r="I152" s="6">
        <v>46009</v>
      </c>
    </row>
    <row r="153" spans="1:9" s="21" customFormat="1" x14ac:dyDescent="0.3">
      <c r="A153" s="21" t="s">
        <v>10</v>
      </c>
      <c r="B153" s="21" t="s">
        <v>231</v>
      </c>
      <c r="C153" s="21" t="s">
        <v>28</v>
      </c>
      <c r="D153" s="21">
        <v>177898</v>
      </c>
      <c r="E153" s="21">
        <v>5528186245</v>
      </c>
      <c r="F153" s="22">
        <v>2804</v>
      </c>
      <c r="G153" s="22">
        <v>0</v>
      </c>
      <c r="H153" s="22">
        <f t="shared" si="2"/>
        <v>2804</v>
      </c>
      <c r="I153" s="23">
        <v>46009</v>
      </c>
    </row>
    <row r="154" spans="1:9" x14ac:dyDescent="0.3">
      <c r="A154" s="1" t="s">
        <v>10</v>
      </c>
      <c r="B154" s="1" t="s">
        <v>232</v>
      </c>
      <c r="C154" s="1" t="s">
        <v>88</v>
      </c>
      <c r="D154" s="1">
        <v>177541</v>
      </c>
      <c r="E154" s="1">
        <v>5529570508</v>
      </c>
      <c r="F154" s="2">
        <v>2342</v>
      </c>
      <c r="G154" s="2">
        <v>0</v>
      </c>
      <c r="H154" s="10">
        <f t="shared" si="2"/>
        <v>2342</v>
      </c>
      <c r="I154" s="6">
        <v>46009</v>
      </c>
    </row>
    <row r="155" spans="1:9" s="21" customFormat="1" x14ac:dyDescent="0.3">
      <c r="A155" s="21" t="s">
        <v>10</v>
      </c>
      <c r="B155" s="21" t="s">
        <v>233</v>
      </c>
      <c r="C155" s="21" t="s">
        <v>103</v>
      </c>
      <c r="D155" s="21">
        <v>177495</v>
      </c>
      <c r="E155" s="21">
        <v>5586772887</v>
      </c>
      <c r="F155" s="22">
        <v>3667.99</v>
      </c>
      <c r="G155" s="22">
        <v>0</v>
      </c>
      <c r="H155" s="22">
        <f t="shared" si="2"/>
        <v>3667.99</v>
      </c>
      <c r="I155" s="23">
        <v>46009</v>
      </c>
    </row>
    <row r="156" spans="1:9" x14ac:dyDescent="0.3">
      <c r="A156" s="1" t="s">
        <v>10</v>
      </c>
      <c r="B156" s="1" t="s">
        <v>234</v>
      </c>
      <c r="C156" s="1" t="s">
        <v>235</v>
      </c>
      <c r="D156" s="1">
        <v>177505</v>
      </c>
      <c r="E156" s="1">
        <v>5515401162</v>
      </c>
      <c r="F156" s="2">
        <v>2210.52</v>
      </c>
      <c r="G156" s="2">
        <v>0</v>
      </c>
      <c r="H156" s="10">
        <f t="shared" si="2"/>
        <v>2210.52</v>
      </c>
      <c r="I156" s="6">
        <v>46009</v>
      </c>
    </row>
    <row r="157" spans="1:9" s="21" customFormat="1" x14ac:dyDescent="0.3">
      <c r="A157" s="21" t="s">
        <v>10</v>
      </c>
      <c r="B157" s="21" t="s">
        <v>7</v>
      </c>
      <c r="C157" s="21" t="s">
        <v>30</v>
      </c>
      <c r="D157" s="21">
        <v>294425</v>
      </c>
      <c r="E157" s="21">
        <v>5520419237</v>
      </c>
      <c r="F157" s="22">
        <v>5940</v>
      </c>
      <c r="G157" s="22">
        <v>0</v>
      </c>
      <c r="H157" s="22">
        <f t="shared" si="2"/>
        <v>5940</v>
      </c>
      <c r="I157" s="23">
        <v>46009</v>
      </c>
    </row>
    <row r="158" spans="1:9" x14ac:dyDescent="0.3">
      <c r="A158" s="1" t="s">
        <v>10</v>
      </c>
      <c r="B158" s="1" t="s">
        <v>121</v>
      </c>
      <c r="C158" s="1" t="s">
        <v>129</v>
      </c>
      <c r="D158" s="1">
        <v>177488</v>
      </c>
      <c r="E158" s="1">
        <v>5612852406</v>
      </c>
      <c r="F158" s="2">
        <v>1935</v>
      </c>
      <c r="G158" s="2">
        <v>0</v>
      </c>
      <c r="H158" s="10">
        <f t="shared" si="2"/>
        <v>1935</v>
      </c>
      <c r="I158" s="6">
        <v>46009</v>
      </c>
    </row>
    <row r="159" spans="1:9" s="21" customFormat="1" x14ac:dyDescent="0.3">
      <c r="A159" s="21" t="s">
        <v>10</v>
      </c>
      <c r="B159" s="21" t="s">
        <v>236</v>
      </c>
      <c r="C159" s="21" t="s">
        <v>237</v>
      </c>
      <c r="D159" s="21">
        <v>177566</v>
      </c>
      <c r="E159" s="21">
        <v>5551862447</v>
      </c>
      <c r="F159" s="22">
        <v>6025</v>
      </c>
      <c r="G159" s="22">
        <v>0</v>
      </c>
      <c r="H159" s="22">
        <f t="shared" si="2"/>
        <v>6025</v>
      </c>
      <c r="I159" s="23">
        <v>46009</v>
      </c>
    </row>
    <row r="160" spans="1:9" x14ac:dyDescent="0.3">
      <c r="A160" s="1" t="s">
        <v>10</v>
      </c>
      <c r="B160" s="1" t="s">
        <v>238</v>
      </c>
      <c r="C160" s="1" t="s">
        <v>237</v>
      </c>
      <c r="D160" s="1">
        <v>177255</v>
      </c>
      <c r="E160" s="1">
        <v>5537411500</v>
      </c>
      <c r="F160" s="2">
        <v>1700</v>
      </c>
      <c r="G160" s="2">
        <v>0</v>
      </c>
      <c r="H160" s="10">
        <f t="shared" si="2"/>
        <v>1700</v>
      </c>
      <c r="I160" s="6">
        <v>46009</v>
      </c>
    </row>
    <row r="161" spans="1:9" s="21" customFormat="1" x14ac:dyDescent="0.3">
      <c r="A161" s="21" t="s">
        <v>11</v>
      </c>
      <c r="B161" s="21" t="s">
        <v>239</v>
      </c>
      <c r="C161" s="21" t="s">
        <v>32</v>
      </c>
      <c r="D161" s="21">
        <v>177804</v>
      </c>
      <c r="E161" s="21">
        <v>5540169033</v>
      </c>
      <c r="F161" s="22">
        <v>595</v>
      </c>
      <c r="G161" s="22">
        <v>0</v>
      </c>
      <c r="H161" s="22">
        <f t="shared" si="2"/>
        <v>595</v>
      </c>
      <c r="I161" s="23">
        <v>46009</v>
      </c>
    </row>
    <row r="162" spans="1:9" x14ac:dyDescent="0.3">
      <c r="A162" s="1" t="s">
        <v>11</v>
      </c>
      <c r="B162" s="1" t="s">
        <v>240</v>
      </c>
      <c r="C162" s="1" t="s">
        <v>6</v>
      </c>
      <c r="D162" s="1">
        <v>294443</v>
      </c>
      <c r="E162" s="1">
        <v>5538109222</v>
      </c>
      <c r="F162" s="2">
        <v>11209.74</v>
      </c>
      <c r="G162" s="2">
        <v>0</v>
      </c>
      <c r="H162" s="10">
        <f t="shared" si="2"/>
        <v>11209.74</v>
      </c>
      <c r="I162" s="6">
        <v>46009</v>
      </c>
    </row>
    <row r="163" spans="1:9" s="21" customFormat="1" x14ac:dyDescent="0.3">
      <c r="A163" s="21" t="s">
        <v>11</v>
      </c>
      <c r="B163" s="21" t="s">
        <v>143</v>
      </c>
      <c r="C163" s="21" t="s">
        <v>144</v>
      </c>
      <c r="D163" s="21">
        <v>348357</v>
      </c>
      <c r="E163" s="21">
        <v>5518666206</v>
      </c>
      <c r="F163" s="22">
        <v>28083.99</v>
      </c>
      <c r="G163" s="22">
        <v>0</v>
      </c>
      <c r="H163" s="22">
        <f t="shared" si="2"/>
        <v>28083.99</v>
      </c>
      <c r="I163" s="23">
        <v>46009</v>
      </c>
    </row>
    <row r="164" spans="1:9" x14ac:dyDescent="0.3">
      <c r="A164" s="1" t="s">
        <v>11</v>
      </c>
      <c r="B164" s="1" t="s">
        <v>241</v>
      </c>
      <c r="C164" s="1" t="s">
        <v>242</v>
      </c>
      <c r="D164" s="1">
        <v>177461</v>
      </c>
      <c r="E164" s="1">
        <v>5581262737</v>
      </c>
      <c r="F164" s="2">
        <v>5381</v>
      </c>
      <c r="G164" s="2">
        <v>0</v>
      </c>
      <c r="H164" s="10">
        <f t="shared" si="2"/>
        <v>5381</v>
      </c>
      <c r="I164" s="6">
        <v>46009</v>
      </c>
    </row>
    <row r="165" spans="1:9" s="21" customFormat="1" x14ac:dyDescent="0.3">
      <c r="A165" s="21" t="s">
        <v>11</v>
      </c>
      <c r="B165" s="21" t="s">
        <v>243</v>
      </c>
      <c r="C165" s="21" t="s">
        <v>244</v>
      </c>
      <c r="D165" s="21">
        <v>348200</v>
      </c>
      <c r="E165" s="21">
        <v>5531811900</v>
      </c>
      <c r="F165" s="22">
        <v>20769.34</v>
      </c>
      <c r="G165" s="22">
        <v>0</v>
      </c>
      <c r="H165" s="22">
        <f t="shared" si="2"/>
        <v>20769.34</v>
      </c>
      <c r="I165" s="23">
        <v>46009</v>
      </c>
    </row>
    <row r="166" spans="1:9" x14ac:dyDescent="0.3">
      <c r="A166" s="1" t="s">
        <v>17</v>
      </c>
      <c r="B166" s="1" t="s">
        <v>245</v>
      </c>
      <c r="C166" s="1" t="s">
        <v>84</v>
      </c>
      <c r="D166" s="1">
        <v>348841</v>
      </c>
      <c r="E166" s="1">
        <v>5539041159</v>
      </c>
      <c r="F166" s="2">
        <v>3791.8</v>
      </c>
      <c r="G166" s="2">
        <v>0</v>
      </c>
      <c r="H166" s="2">
        <f t="shared" si="2"/>
        <v>3791.8</v>
      </c>
      <c r="I166" s="6">
        <v>46009</v>
      </c>
    </row>
    <row r="167" spans="1:9" s="15" customFormat="1" x14ac:dyDescent="0.3">
      <c r="A167" s="15" t="s">
        <v>11</v>
      </c>
      <c r="B167" s="15" t="s">
        <v>247</v>
      </c>
      <c r="C167" s="15" t="s">
        <v>248</v>
      </c>
      <c r="D167" s="15">
        <v>176863</v>
      </c>
      <c r="E167" s="15">
        <v>5544489801</v>
      </c>
      <c r="F167" s="16">
        <v>19207.939999999999</v>
      </c>
      <c r="G167" s="16">
        <v>0</v>
      </c>
      <c r="H167" s="16">
        <f t="shared" si="2"/>
        <v>19207.939999999999</v>
      </c>
      <c r="I167" s="17">
        <v>46010</v>
      </c>
    </row>
    <row r="168" spans="1:9" s="5" customFormat="1" x14ac:dyDescent="0.3">
      <c r="A168" s="5" t="s">
        <v>11</v>
      </c>
      <c r="B168" s="5" t="s">
        <v>12</v>
      </c>
      <c r="C168" s="5" t="s">
        <v>0</v>
      </c>
      <c r="D168" s="5">
        <v>348465</v>
      </c>
      <c r="E168" s="5">
        <v>5513760260</v>
      </c>
      <c r="F168" s="10">
        <v>25278.47</v>
      </c>
      <c r="G168" s="10">
        <v>0</v>
      </c>
      <c r="H168" s="10">
        <f t="shared" si="2"/>
        <v>25278.47</v>
      </c>
      <c r="I168" s="11">
        <v>46010</v>
      </c>
    </row>
    <row r="169" spans="1:9" s="15" customFormat="1" x14ac:dyDescent="0.3">
      <c r="A169" s="15" t="s">
        <v>10</v>
      </c>
      <c r="B169" s="15" t="s">
        <v>249</v>
      </c>
      <c r="C169" s="15" t="s">
        <v>250</v>
      </c>
      <c r="D169" s="15">
        <v>348881</v>
      </c>
      <c r="E169" s="15">
        <v>5535334019</v>
      </c>
      <c r="F169" s="16">
        <v>7379.39</v>
      </c>
      <c r="G169" s="16">
        <v>0</v>
      </c>
      <c r="H169" s="16">
        <f t="shared" si="2"/>
        <v>7379.39</v>
      </c>
      <c r="I169" s="17">
        <v>46010</v>
      </c>
    </row>
    <row r="170" spans="1:9" s="5" customFormat="1" x14ac:dyDescent="0.3">
      <c r="A170" s="5" t="s">
        <v>10</v>
      </c>
      <c r="B170" s="5" t="s">
        <v>251</v>
      </c>
      <c r="C170" s="5" t="s">
        <v>252</v>
      </c>
      <c r="D170" s="5">
        <v>293714</v>
      </c>
      <c r="E170" s="5">
        <v>5534704647</v>
      </c>
      <c r="F170" s="10">
        <v>38677.370000000003</v>
      </c>
      <c r="G170" s="10">
        <v>0</v>
      </c>
      <c r="H170" s="10">
        <f t="shared" si="2"/>
        <v>38677.370000000003</v>
      </c>
      <c r="I170" s="11">
        <v>46010</v>
      </c>
    </row>
    <row r="171" spans="1:9" s="15" customFormat="1" x14ac:dyDescent="0.3">
      <c r="A171" s="15" t="s">
        <v>47</v>
      </c>
      <c r="B171" s="15" t="s">
        <v>15</v>
      </c>
      <c r="C171" s="15" t="s">
        <v>130</v>
      </c>
      <c r="D171" s="15">
        <v>177433</v>
      </c>
      <c r="E171" s="15">
        <v>5651999204</v>
      </c>
      <c r="F171" s="16">
        <v>8523.99</v>
      </c>
      <c r="G171" s="16">
        <v>0</v>
      </c>
      <c r="H171" s="16">
        <f t="shared" si="2"/>
        <v>8523.99</v>
      </c>
      <c r="I171" s="17">
        <v>46010</v>
      </c>
    </row>
    <row r="172" spans="1:9" s="5" customFormat="1" x14ac:dyDescent="0.3">
      <c r="A172" s="5" t="s">
        <v>47</v>
      </c>
      <c r="B172" s="5" t="s">
        <v>96</v>
      </c>
      <c r="C172" s="5" t="s">
        <v>253</v>
      </c>
      <c r="D172" s="5">
        <v>177349</v>
      </c>
      <c r="E172" s="5">
        <v>5535173661</v>
      </c>
      <c r="F172" s="10">
        <v>3874</v>
      </c>
      <c r="G172" s="10">
        <v>0</v>
      </c>
      <c r="H172" s="10">
        <f t="shared" si="2"/>
        <v>3874</v>
      </c>
      <c r="I172" s="11">
        <v>46010</v>
      </c>
    </row>
    <row r="173" spans="1:9" s="15" customFormat="1" x14ac:dyDescent="0.3">
      <c r="A173" s="15" t="s">
        <v>47</v>
      </c>
      <c r="B173" s="15" t="s">
        <v>254</v>
      </c>
      <c r="C173" s="15" t="s">
        <v>58</v>
      </c>
      <c r="D173" s="15">
        <v>294691</v>
      </c>
      <c r="F173" s="16">
        <v>11284.43</v>
      </c>
      <c r="G173" s="16">
        <v>0</v>
      </c>
      <c r="H173" s="16">
        <f t="shared" si="2"/>
        <v>11284.43</v>
      </c>
      <c r="I173" s="17">
        <v>46010</v>
      </c>
    </row>
    <row r="174" spans="1:9" s="5" customFormat="1" x14ac:dyDescent="0.3">
      <c r="A174" s="5" t="s">
        <v>47</v>
      </c>
      <c r="B174" s="5" t="s">
        <v>254</v>
      </c>
      <c r="C174" s="5" t="s">
        <v>58</v>
      </c>
      <c r="D174" s="5">
        <v>294691</v>
      </c>
      <c r="F174" s="10">
        <v>1776.95</v>
      </c>
      <c r="G174" s="10">
        <v>0</v>
      </c>
      <c r="H174" s="10">
        <f t="shared" si="2"/>
        <v>1776.95</v>
      </c>
      <c r="I174" s="11">
        <v>46010</v>
      </c>
    </row>
    <row r="175" spans="1:9" s="15" customFormat="1" x14ac:dyDescent="0.3">
      <c r="A175" s="15" t="s">
        <v>17</v>
      </c>
      <c r="B175" s="15" t="s">
        <v>255</v>
      </c>
      <c r="C175" s="15" t="s">
        <v>111</v>
      </c>
      <c r="D175" s="15">
        <v>548961</v>
      </c>
      <c r="E175" s="15">
        <v>5524179178</v>
      </c>
      <c r="F175" s="16">
        <v>2202</v>
      </c>
      <c r="G175" s="16">
        <v>0</v>
      </c>
      <c r="H175" s="16">
        <f t="shared" si="2"/>
        <v>2202</v>
      </c>
      <c r="I175" s="17">
        <v>46010</v>
      </c>
    </row>
    <row r="176" spans="1:9" x14ac:dyDescent="0.3">
      <c r="A176" s="1" t="s">
        <v>17</v>
      </c>
      <c r="B176" s="1" t="s">
        <v>256</v>
      </c>
      <c r="C176" s="1" t="s">
        <v>115</v>
      </c>
      <c r="D176" s="1">
        <v>177690</v>
      </c>
      <c r="E176" s="1">
        <v>5566626532</v>
      </c>
      <c r="F176" s="2">
        <v>2550</v>
      </c>
      <c r="G176" s="10">
        <v>0</v>
      </c>
      <c r="H176" s="10">
        <f t="shared" si="2"/>
        <v>2550</v>
      </c>
      <c r="I176" s="11">
        <v>46010</v>
      </c>
    </row>
    <row r="177" spans="1:9" s="15" customFormat="1" x14ac:dyDescent="0.3">
      <c r="A177" s="15" t="s">
        <v>17</v>
      </c>
      <c r="B177" s="15" t="s">
        <v>246</v>
      </c>
      <c r="C177" s="15" t="s">
        <v>68</v>
      </c>
      <c r="D177" s="15">
        <v>177540</v>
      </c>
      <c r="F177" s="16">
        <v>4098</v>
      </c>
      <c r="G177" s="16">
        <v>0</v>
      </c>
      <c r="H177" s="16">
        <f t="shared" si="2"/>
        <v>4098</v>
      </c>
      <c r="I177" s="17">
        <v>46010</v>
      </c>
    </row>
    <row r="178" spans="1:9" x14ac:dyDescent="0.3">
      <c r="A178" s="1" t="s">
        <v>17</v>
      </c>
      <c r="B178" s="1" t="s">
        <v>257</v>
      </c>
      <c r="C178" s="1" t="s">
        <v>113</v>
      </c>
      <c r="D178" s="1">
        <v>348804</v>
      </c>
      <c r="E178" s="1">
        <v>5512697301</v>
      </c>
      <c r="F178" s="2">
        <v>4990.8</v>
      </c>
      <c r="G178" s="10">
        <v>0</v>
      </c>
      <c r="H178" s="10">
        <f t="shared" si="2"/>
        <v>4990.8</v>
      </c>
      <c r="I178" s="11">
        <v>46010</v>
      </c>
    </row>
    <row r="179" spans="1:9" s="15" customFormat="1" x14ac:dyDescent="0.3">
      <c r="A179" s="15" t="s">
        <v>17</v>
      </c>
      <c r="B179" s="15" t="s">
        <v>257</v>
      </c>
      <c r="C179" s="15" t="s">
        <v>113</v>
      </c>
      <c r="D179" s="15">
        <v>348722</v>
      </c>
      <c r="E179" s="15">
        <v>5512697301</v>
      </c>
      <c r="F179" s="16">
        <v>9404.51</v>
      </c>
      <c r="G179" s="16">
        <v>0</v>
      </c>
      <c r="H179" s="16">
        <f t="shared" si="2"/>
        <v>9404.51</v>
      </c>
      <c r="I179" s="17">
        <v>46010</v>
      </c>
    </row>
    <row r="180" spans="1:9" x14ac:dyDescent="0.3">
      <c r="A180" s="1" t="s">
        <v>17</v>
      </c>
      <c r="B180" s="1" t="s">
        <v>258</v>
      </c>
      <c r="C180" s="1" t="s">
        <v>259</v>
      </c>
      <c r="D180" s="1">
        <v>177650</v>
      </c>
      <c r="E180" s="1">
        <v>5534755530</v>
      </c>
      <c r="F180" s="2">
        <v>1646.24</v>
      </c>
      <c r="G180" s="10">
        <v>0</v>
      </c>
      <c r="H180" s="10">
        <f t="shared" si="2"/>
        <v>1646.24</v>
      </c>
      <c r="I180" s="11">
        <v>46010</v>
      </c>
    </row>
    <row r="181" spans="1:9" s="15" customFormat="1" x14ac:dyDescent="0.3">
      <c r="A181" s="15" t="s">
        <v>17</v>
      </c>
      <c r="B181" s="15" t="s">
        <v>260</v>
      </c>
      <c r="C181" s="15" t="s">
        <v>201</v>
      </c>
      <c r="D181" s="15">
        <v>294709</v>
      </c>
      <c r="E181" s="15">
        <v>5555072593</v>
      </c>
      <c r="F181" s="16">
        <v>6040</v>
      </c>
      <c r="G181" s="16">
        <v>0</v>
      </c>
      <c r="H181" s="16">
        <f t="shared" si="2"/>
        <v>6040</v>
      </c>
      <c r="I181" s="17">
        <v>46010</v>
      </c>
    </row>
    <row r="182" spans="1:9" x14ac:dyDescent="0.3">
      <c r="A182" s="1" t="s">
        <v>17</v>
      </c>
      <c r="B182" s="1" t="s">
        <v>261</v>
      </c>
      <c r="C182" s="1" t="s">
        <v>167</v>
      </c>
      <c r="D182" s="1">
        <v>294592</v>
      </c>
      <c r="E182" s="1">
        <v>5513443713</v>
      </c>
      <c r="F182" s="2">
        <v>574</v>
      </c>
      <c r="G182" s="10">
        <v>0</v>
      </c>
      <c r="H182" s="10">
        <f t="shared" si="2"/>
        <v>574</v>
      </c>
      <c r="I182" s="11">
        <v>46010</v>
      </c>
    </row>
    <row r="183" spans="1:9" s="12" customFormat="1" x14ac:dyDescent="0.3">
      <c r="A183" s="12" t="s">
        <v>264</v>
      </c>
      <c r="B183" s="12" t="s">
        <v>262</v>
      </c>
      <c r="C183" s="12" t="s">
        <v>265</v>
      </c>
      <c r="D183" s="12">
        <v>178040</v>
      </c>
      <c r="E183" s="12">
        <v>5547956325</v>
      </c>
      <c r="F183" s="13">
        <v>1894</v>
      </c>
      <c r="G183" s="13">
        <v>0</v>
      </c>
      <c r="H183" s="13">
        <f t="shared" si="2"/>
        <v>1894</v>
      </c>
      <c r="I183" s="14">
        <v>46011</v>
      </c>
    </row>
    <row r="184" spans="1:9" x14ac:dyDescent="0.3">
      <c r="A184" s="1" t="s">
        <v>11</v>
      </c>
      <c r="B184" s="1" t="s">
        <v>7</v>
      </c>
      <c r="C184" s="1" t="s">
        <v>30</v>
      </c>
      <c r="D184" s="1">
        <v>294402</v>
      </c>
      <c r="E184" s="1">
        <v>5545758293</v>
      </c>
      <c r="F184" s="2">
        <v>10188.879999999999</v>
      </c>
      <c r="G184" s="10">
        <v>0</v>
      </c>
      <c r="H184" s="10">
        <f t="shared" si="2"/>
        <v>10188.879999999999</v>
      </c>
      <c r="I184" s="6">
        <v>46011</v>
      </c>
    </row>
    <row r="185" spans="1:9" s="12" customFormat="1" x14ac:dyDescent="0.3">
      <c r="A185" s="12" t="s">
        <v>11</v>
      </c>
      <c r="B185" s="12" t="s">
        <v>232</v>
      </c>
      <c r="C185" s="12" t="s">
        <v>88</v>
      </c>
      <c r="D185" s="12">
        <v>177541</v>
      </c>
      <c r="E185" s="12">
        <v>5529570508</v>
      </c>
      <c r="F185" s="13">
        <v>2342</v>
      </c>
      <c r="G185" s="13">
        <v>0</v>
      </c>
      <c r="H185" s="13">
        <f t="shared" si="2"/>
        <v>2342</v>
      </c>
      <c r="I185" s="14">
        <v>46011</v>
      </c>
    </row>
    <row r="186" spans="1:9" x14ac:dyDescent="0.3">
      <c r="A186" s="1" t="s">
        <v>11</v>
      </c>
      <c r="B186" s="1" t="s">
        <v>263</v>
      </c>
      <c r="C186" s="1" t="s">
        <v>41</v>
      </c>
      <c r="D186" s="1">
        <v>176899</v>
      </c>
      <c r="E186" s="1">
        <v>7221487525</v>
      </c>
      <c r="F186" s="2">
        <v>17991.23</v>
      </c>
      <c r="G186" s="10">
        <v>4</v>
      </c>
      <c r="H186" s="10">
        <f t="shared" si="2"/>
        <v>17995.23</v>
      </c>
      <c r="I186" s="6">
        <v>46011</v>
      </c>
    </row>
    <row r="187" spans="1:9" s="12" customFormat="1" x14ac:dyDescent="0.3">
      <c r="A187" s="12" t="s">
        <v>10</v>
      </c>
      <c r="B187" s="12" t="s">
        <v>266</v>
      </c>
      <c r="C187" s="12" t="s">
        <v>138</v>
      </c>
      <c r="D187" s="12">
        <v>176754</v>
      </c>
      <c r="E187" s="12">
        <v>5558383479</v>
      </c>
      <c r="F187" s="13">
        <v>4072</v>
      </c>
      <c r="G187" s="13">
        <v>0</v>
      </c>
      <c r="H187" s="13">
        <f t="shared" si="2"/>
        <v>4072</v>
      </c>
      <c r="I187" s="14">
        <v>46011</v>
      </c>
    </row>
    <row r="188" spans="1:9" x14ac:dyDescent="0.3">
      <c r="A188" s="1" t="s">
        <v>10</v>
      </c>
      <c r="B188" s="1" t="s">
        <v>239</v>
      </c>
      <c r="C188" s="1" t="s">
        <v>267</v>
      </c>
      <c r="D188" s="1">
        <v>177804</v>
      </c>
      <c r="E188" s="1">
        <v>5540169033</v>
      </c>
      <c r="F188" s="2">
        <v>595</v>
      </c>
      <c r="G188" s="2">
        <v>0</v>
      </c>
      <c r="H188" s="2">
        <f t="shared" si="2"/>
        <v>595</v>
      </c>
      <c r="I188" s="6">
        <v>46011</v>
      </c>
    </row>
    <row r="189" spans="1:9" s="12" customFormat="1" x14ac:dyDescent="0.3">
      <c r="A189" s="12" t="s">
        <v>10</v>
      </c>
      <c r="B189" s="12" t="s">
        <v>268</v>
      </c>
      <c r="C189" s="12" t="s">
        <v>280</v>
      </c>
      <c r="D189" s="12">
        <v>349161</v>
      </c>
      <c r="E189" s="12">
        <v>5561162437</v>
      </c>
      <c r="F189" s="13">
        <v>4359</v>
      </c>
      <c r="G189" s="13">
        <v>0</v>
      </c>
      <c r="H189" s="13">
        <f t="shared" si="2"/>
        <v>4359</v>
      </c>
      <c r="I189" s="14">
        <v>46011</v>
      </c>
    </row>
    <row r="190" spans="1:9" x14ac:dyDescent="0.3">
      <c r="A190" s="1" t="s">
        <v>10</v>
      </c>
      <c r="B190" s="1" t="s">
        <v>269</v>
      </c>
      <c r="C190" s="1" t="s">
        <v>78</v>
      </c>
      <c r="D190" s="1">
        <v>294166</v>
      </c>
      <c r="E190" s="1">
        <v>5544410345</v>
      </c>
      <c r="F190" s="2">
        <v>34404.79</v>
      </c>
      <c r="G190" s="2">
        <v>0</v>
      </c>
      <c r="H190" s="2">
        <f t="shared" si="2"/>
        <v>34404.79</v>
      </c>
      <c r="I190" s="6">
        <v>46011</v>
      </c>
    </row>
    <row r="191" spans="1:9" s="12" customFormat="1" x14ac:dyDescent="0.3">
      <c r="A191" s="12" t="s">
        <v>10</v>
      </c>
      <c r="B191" s="12" t="s">
        <v>270</v>
      </c>
      <c r="C191" s="12" t="s">
        <v>267</v>
      </c>
      <c r="D191" s="12">
        <v>177628</v>
      </c>
      <c r="E191" s="12">
        <v>5527842592</v>
      </c>
      <c r="F191" s="13">
        <v>9486</v>
      </c>
      <c r="G191" s="13">
        <v>0</v>
      </c>
      <c r="H191" s="13">
        <f t="shared" si="2"/>
        <v>9486</v>
      </c>
      <c r="I191" s="14">
        <v>46011</v>
      </c>
    </row>
    <row r="192" spans="1:9" x14ac:dyDescent="0.3">
      <c r="A192" s="1" t="s">
        <v>17</v>
      </c>
      <c r="B192" s="1" t="s">
        <v>271</v>
      </c>
      <c r="C192" s="1" t="s">
        <v>159</v>
      </c>
      <c r="D192" s="1">
        <v>177649</v>
      </c>
      <c r="E192" s="1">
        <v>5535892760</v>
      </c>
      <c r="F192" s="2">
        <v>2054</v>
      </c>
      <c r="G192" s="2">
        <v>0</v>
      </c>
      <c r="H192" s="2">
        <f t="shared" si="2"/>
        <v>2054</v>
      </c>
      <c r="I192" s="6">
        <v>46011</v>
      </c>
    </row>
    <row r="193" spans="1:9" s="12" customFormat="1" x14ac:dyDescent="0.3">
      <c r="A193" s="12" t="s">
        <v>17</v>
      </c>
      <c r="B193" s="12" t="s">
        <v>272</v>
      </c>
      <c r="C193" s="12" t="s">
        <v>68</v>
      </c>
      <c r="D193" s="12">
        <v>177964</v>
      </c>
      <c r="E193" s="12">
        <v>5612770717</v>
      </c>
      <c r="F193" s="13">
        <v>4443</v>
      </c>
      <c r="G193" s="13">
        <v>0</v>
      </c>
      <c r="H193" s="13">
        <f t="shared" si="2"/>
        <v>4443</v>
      </c>
      <c r="I193" s="14">
        <v>46011</v>
      </c>
    </row>
    <row r="194" spans="1:9" x14ac:dyDescent="0.3">
      <c r="A194" s="1" t="s">
        <v>17</v>
      </c>
      <c r="B194" s="1" t="s">
        <v>273</v>
      </c>
      <c r="C194" s="1" t="s">
        <v>274</v>
      </c>
      <c r="D194" s="1">
        <v>177951</v>
      </c>
      <c r="E194" s="1">
        <v>5547144921</v>
      </c>
      <c r="F194" s="2">
        <v>488.72</v>
      </c>
      <c r="G194" s="2">
        <v>0</v>
      </c>
      <c r="H194" s="2">
        <f t="shared" si="2"/>
        <v>488.72</v>
      </c>
      <c r="I194" s="6">
        <v>46011</v>
      </c>
    </row>
    <row r="195" spans="1:9" s="12" customFormat="1" x14ac:dyDescent="0.3">
      <c r="A195" s="12" t="s">
        <v>17</v>
      </c>
      <c r="B195" s="12" t="s">
        <v>275</v>
      </c>
      <c r="C195" s="12" t="s">
        <v>276</v>
      </c>
      <c r="D195" s="12">
        <v>348742</v>
      </c>
      <c r="E195" s="12">
        <v>5511246208</v>
      </c>
      <c r="F195" s="13">
        <v>8812</v>
      </c>
      <c r="G195" s="13">
        <v>0</v>
      </c>
      <c r="H195" s="13">
        <f t="shared" ref="H195:H258" si="3">F195+G195</f>
        <v>8812</v>
      </c>
      <c r="I195" s="14">
        <v>46011</v>
      </c>
    </row>
    <row r="196" spans="1:9" x14ac:dyDescent="0.3">
      <c r="A196" s="1" t="s">
        <v>17</v>
      </c>
      <c r="B196" s="1" t="s">
        <v>277</v>
      </c>
      <c r="C196" s="1" t="s">
        <v>74</v>
      </c>
      <c r="D196" s="1">
        <v>294851</v>
      </c>
      <c r="E196" s="1">
        <v>5528872468</v>
      </c>
      <c r="F196" s="2">
        <v>10291</v>
      </c>
      <c r="G196" s="2">
        <v>0</v>
      </c>
      <c r="H196" s="2">
        <f t="shared" si="3"/>
        <v>10291</v>
      </c>
      <c r="I196" s="6">
        <v>46011</v>
      </c>
    </row>
    <row r="197" spans="1:9" s="12" customFormat="1" x14ac:dyDescent="0.3">
      <c r="A197" s="12" t="s">
        <v>17</v>
      </c>
      <c r="B197" s="12" t="s">
        <v>277</v>
      </c>
      <c r="C197" s="12" t="s">
        <v>74</v>
      </c>
      <c r="D197" s="12">
        <v>294865</v>
      </c>
      <c r="E197" s="12">
        <v>5528872468</v>
      </c>
      <c r="F197" s="13">
        <v>1020</v>
      </c>
      <c r="G197" s="13">
        <v>0</v>
      </c>
      <c r="H197" s="13">
        <f t="shared" si="3"/>
        <v>1020</v>
      </c>
      <c r="I197" s="14">
        <v>46011</v>
      </c>
    </row>
    <row r="198" spans="1:9" x14ac:dyDescent="0.3">
      <c r="A198" s="1" t="s">
        <v>17</v>
      </c>
      <c r="B198" s="1" t="s">
        <v>278</v>
      </c>
      <c r="C198" s="1" t="s">
        <v>279</v>
      </c>
      <c r="D198" s="1">
        <v>349201</v>
      </c>
      <c r="E198" s="1">
        <v>5571339143</v>
      </c>
      <c r="F198" s="2">
        <v>8160</v>
      </c>
      <c r="G198" s="2">
        <v>0</v>
      </c>
      <c r="H198" s="2">
        <f t="shared" si="3"/>
        <v>8160</v>
      </c>
      <c r="I198" s="6">
        <v>46011</v>
      </c>
    </row>
    <row r="199" spans="1:9" s="24" customFormat="1" x14ac:dyDescent="0.3">
      <c r="A199" s="24" t="s">
        <v>11</v>
      </c>
      <c r="B199" s="24" t="s">
        <v>291</v>
      </c>
      <c r="C199" s="24" t="s">
        <v>292</v>
      </c>
      <c r="D199" s="24">
        <v>177262</v>
      </c>
      <c r="E199" s="24">
        <v>5527440374</v>
      </c>
      <c r="F199" s="25">
        <v>23496.26</v>
      </c>
      <c r="G199" s="25">
        <v>0</v>
      </c>
      <c r="H199" s="25">
        <f t="shared" si="3"/>
        <v>23496.26</v>
      </c>
      <c r="I199" s="26">
        <v>46013</v>
      </c>
    </row>
    <row r="200" spans="1:9" x14ac:dyDescent="0.3">
      <c r="A200" s="1" t="s">
        <v>17</v>
      </c>
      <c r="B200" s="1" t="s">
        <v>294</v>
      </c>
      <c r="C200" s="1" t="s">
        <v>204</v>
      </c>
      <c r="D200" s="1">
        <v>294859</v>
      </c>
      <c r="E200" s="1">
        <v>5532476516</v>
      </c>
      <c r="F200" s="2">
        <v>13430</v>
      </c>
      <c r="G200" s="2">
        <v>0</v>
      </c>
      <c r="H200" s="2">
        <f t="shared" si="3"/>
        <v>13430</v>
      </c>
      <c r="I200" s="6">
        <v>46013</v>
      </c>
    </row>
    <row r="201" spans="1:9" s="24" customFormat="1" x14ac:dyDescent="0.3">
      <c r="A201" s="24" t="s">
        <v>17</v>
      </c>
      <c r="B201" s="24" t="s">
        <v>296</v>
      </c>
      <c r="C201" s="24" t="s">
        <v>297</v>
      </c>
      <c r="D201" s="24">
        <v>294415</v>
      </c>
      <c r="E201" s="24">
        <v>5551784708</v>
      </c>
      <c r="F201" s="25">
        <v>14379.59</v>
      </c>
      <c r="G201" s="25">
        <v>0</v>
      </c>
      <c r="H201" s="25">
        <f t="shared" si="3"/>
        <v>14379.59</v>
      </c>
      <c r="I201" s="26">
        <v>46013</v>
      </c>
    </row>
    <row r="202" spans="1:9" x14ac:dyDescent="0.3">
      <c r="A202" s="1" t="s">
        <v>17</v>
      </c>
      <c r="B202" s="1" t="s">
        <v>298</v>
      </c>
      <c r="C202" s="1" t="s">
        <v>299</v>
      </c>
      <c r="D202" s="1">
        <v>294559</v>
      </c>
      <c r="E202" s="1">
        <v>5591940032</v>
      </c>
      <c r="F202" s="2">
        <v>8694.24</v>
      </c>
      <c r="G202" s="2">
        <v>0</v>
      </c>
      <c r="H202" s="2">
        <f t="shared" si="3"/>
        <v>8694.24</v>
      </c>
      <c r="I202" s="6">
        <v>46013</v>
      </c>
    </row>
    <row r="203" spans="1:9" s="24" customFormat="1" x14ac:dyDescent="0.3">
      <c r="A203" s="24" t="s">
        <v>17</v>
      </c>
      <c r="B203" s="24" t="s">
        <v>295</v>
      </c>
      <c r="C203" s="24" t="s">
        <v>190</v>
      </c>
      <c r="D203" s="24">
        <v>348858</v>
      </c>
      <c r="E203" s="24">
        <v>5529046559</v>
      </c>
      <c r="F203" s="25">
        <v>8550</v>
      </c>
      <c r="G203" s="25">
        <v>0</v>
      </c>
      <c r="H203" s="25">
        <f t="shared" si="3"/>
        <v>8550</v>
      </c>
      <c r="I203" s="26">
        <v>46013</v>
      </c>
    </row>
    <row r="204" spans="1:9" x14ac:dyDescent="0.3">
      <c r="A204" s="1" t="s">
        <v>17</v>
      </c>
      <c r="B204" s="1" t="s">
        <v>300</v>
      </c>
      <c r="C204" s="1" t="s">
        <v>301</v>
      </c>
      <c r="D204" s="1">
        <v>177667</v>
      </c>
      <c r="E204" s="1">
        <v>5612619379</v>
      </c>
      <c r="F204" s="2">
        <v>11157.67</v>
      </c>
      <c r="G204" s="2">
        <v>0</v>
      </c>
      <c r="H204" s="2">
        <f t="shared" si="3"/>
        <v>11157.67</v>
      </c>
      <c r="I204" s="6">
        <v>46013</v>
      </c>
    </row>
    <row r="205" spans="1:9" s="24" customFormat="1" x14ac:dyDescent="0.3">
      <c r="A205" s="24" t="s">
        <v>10</v>
      </c>
      <c r="B205" s="24" t="s">
        <v>302</v>
      </c>
      <c r="C205" s="24" t="s">
        <v>303</v>
      </c>
      <c r="D205" s="24">
        <v>177925</v>
      </c>
      <c r="E205" s="24">
        <v>5520035550</v>
      </c>
      <c r="F205" s="25">
        <v>3962</v>
      </c>
      <c r="G205" s="25">
        <v>0</v>
      </c>
      <c r="H205" s="25">
        <f t="shared" si="3"/>
        <v>3962</v>
      </c>
      <c r="I205" s="26">
        <v>46013</v>
      </c>
    </row>
    <row r="206" spans="1:9" x14ac:dyDescent="0.3">
      <c r="A206" s="1" t="s">
        <v>10</v>
      </c>
      <c r="B206" s="1" t="s">
        <v>304</v>
      </c>
      <c r="C206" s="1" t="s">
        <v>303</v>
      </c>
      <c r="D206" s="1">
        <v>177888</v>
      </c>
      <c r="E206" s="1">
        <v>5577936861</v>
      </c>
      <c r="F206" s="2">
        <v>1420</v>
      </c>
      <c r="G206" s="2">
        <v>0</v>
      </c>
      <c r="H206" s="2">
        <f t="shared" si="3"/>
        <v>1420</v>
      </c>
      <c r="I206" s="6">
        <v>46013</v>
      </c>
    </row>
    <row r="207" spans="1:9" s="24" customFormat="1" x14ac:dyDescent="0.3">
      <c r="A207" s="24" t="s">
        <v>10</v>
      </c>
      <c r="B207" s="24" t="s">
        <v>305</v>
      </c>
      <c r="C207" s="24" t="s">
        <v>313</v>
      </c>
      <c r="D207" s="24">
        <v>177178</v>
      </c>
      <c r="E207" s="24">
        <v>5534341719</v>
      </c>
      <c r="F207" s="25">
        <v>10267.44</v>
      </c>
      <c r="G207" s="25">
        <v>0</v>
      </c>
      <c r="H207" s="25">
        <f t="shared" si="3"/>
        <v>10267.44</v>
      </c>
      <c r="I207" s="26">
        <v>46013</v>
      </c>
    </row>
    <row r="208" spans="1:9" x14ac:dyDescent="0.3">
      <c r="A208" s="1" t="s">
        <v>10</v>
      </c>
      <c r="B208" s="1" t="s">
        <v>240</v>
      </c>
      <c r="C208" s="1" t="s">
        <v>306</v>
      </c>
      <c r="D208" s="1">
        <v>294520</v>
      </c>
      <c r="E208" s="1">
        <v>5538109222</v>
      </c>
      <c r="F208" s="2">
        <v>3999.99</v>
      </c>
      <c r="G208" s="2">
        <v>0</v>
      </c>
      <c r="H208" s="2">
        <f t="shared" si="3"/>
        <v>3999.99</v>
      </c>
      <c r="I208" s="6">
        <v>46013</v>
      </c>
    </row>
    <row r="209" spans="1:9" s="24" customFormat="1" x14ac:dyDescent="0.3">
      <c r="A209" s="24" t="s">
        <v>47</v>
      </c>
      <c r="B209" s="24" t="s">
        <v>318</v>
      </c>
      <c r="C209" s="24" t="s">
        <v>312</v>
      </c>
      <c r="D209" s="24">
        <v>294667</v>
      </c>
      <c r="E209" s="24">
        <v>5512960548</v>
      </c>
      <c r="F209" s="25">
        <v>26850</v>
      </c>
      <c r="G209" s="25">
        <v>0</v>
      </c>
      <c r="H209" s="25">
        <f t="shared" si="3"/>
        <v>26850</v>
      </c>
      <c r="I209" s="26">
        <v>46013</v>
      </c>
    </row>
    <row r="210" spans="1:9" x14ac:dyDescent="0.3">
      <c r="A210" s="1" t="s">
        <v>47</v>
      </c>
      <c r="B210" s="1" t="s">
        <v>307</v>
      </c>
      <c r="C210" s="1" t="s">
        <v>311</v>
      </c>
      <c r="D210" s="1">
        <v>293815</v>
      </c>
      <c r="E210" s="1">
        <v>5528255855</v>
      </c>
      <c r="F210" s="2">
        <v>18317.97</v>
      </c>
      <c r="G210" s="2">
        <v>0</v>
      </c>
      <c r="H210" s="2">
        <f t="shared" si="3"/>
        <v>18317.97</v>
      </c>
      <c r="I210" s="6">
        <v>46013</v>
      </c>
    </row>
    <row r="211" spans="1:9" s="24" customFormat="1" x14ac:dyDescent="0.3">
      <c r="A211" s="24" t="s">
        <v>11</v>
      </c>
      <c r="B211" s="24" t="s">
        <v>325</v>
      </c>
      <c r="C211" s="24" t="s">
        <v>16</v>
      </c>
      <c r="D211" s="24">
        <v>349050</v>
      </c>
      <c r="E211" s="24">
        <v>5613869199</v>
      </c>
      <c r="F211" s="25">
        <v>17623</v>
      </c>
      <c r="G211" s="25">
        <v>0</v>
      </c>
      <c r="H211" s="25">
        <f t="shared" si="3"/>
        <v>17623</v>
      </c>
      <c r="I211" s="26">
        <v>46013</v>
      </c>
    </row>
    <row r="212" spans="1:9" x14ac:dyDescent="0.3">
      <c r="A212" s="1" t="s">
        <v>11</v>
      </c>
      <c r="B212" s="1" t="s">
        <v>308</v>
      </c>
      <c r="C212" s="1" t="s">
        <v>319</v>
      </c>
      <c r="D212" s="1">
        <v>177262</v>
      </c>
      <c r="E212" s="1">
        <v>5527440374</v>
      </c>
      <c r="F212" s="2">
        <v>23496.26</v>
      </c>
      <c r="G212" s="2">
        <v>0</v>
      </c>
      <c r="H212" s="2">
        <f t="shared" si="3"/>
        <v>23496.26</v>
      </c>
      <c r="I212" s="6">
        <v>46013</v>
      </c>
    </row>
    <row r="213" spans="1:9" s="24" customFormat="1" x14ac:dyDescent="0.3">
      <c r="A213" s="24" t="s">
        <v>11</v>
      </c>
      <c r="B213" s="24" t="s">
        <v>309</v>
      </c>
      <c r="C213" s="24" t="s">
        <v>320</v>
      </c>
      <c r="D213" s="24">
        <v>349029</v>
      </c>
      <c r="E213" s="24">
        <v>5568743206</v>
      </c>
      <c r="F213" s="25">
        <v>3855.43</v>
      </c>
      <c r="G213" s="25">
        <v>0</v>
      </c>
      <c r="H213" s="25">
        <f t="shared" si="3"/>
        <v>3855.43</v>
      </c>
      <c r="I213" s="26">
        <v>46013</v>
      </c>
    </row>
    <row r="214" spans="1:9" x14ac:dyDescent="0.3">
      <c r="A214" s="1" t="s">
        <v>11</v>
      </c>
      <c r="B214" s="1" t="s">
        <v>310</v>
      </c>
      <c r="C214" s="1" t="s">
        <v>16</v>
      </c>
      <c r="D214" s="1">
        <v>348981</v>
      </c>
      <c r="E214" s="1">
        <v>5525363916</v>
      </c>
      <c r="F214" s="2">
        <v>4082.79</v>
      </c>
      <c r="G214" s="2">
        <v>0</v>
      </c>
      <c r="H214" s="2">
        <f t="shared" si="3"/>
        <v>4082.79</v>
      </c>
      <c r="I214" s="6">
        <v>46013</v>
      </c>
    </row>
    <row r="215" spans="1:9" s="24" customFormat="1" x14ac:dyDescent="0.3">
      <c r="A215" s="24" t="s">
        <v>316</v>
      </c>
      <c r="B215" s="24" t="s">
        <v>314</v>
      </c>
      <c r="C215" s="24" t="s">
        <v>43</v>
      </c>
      <c r="D215" s="24">
        <v>177380</v>
      </c>
      <c r="E215" s="24">
        <v>5544844808</v>
      </c>
      <c r="F215" s="25">
        <v>7278.87</v>
      </c>
      <c r="G215" s="25">
        <v>0</v>
      </c>
      <c r="H215" s="25">
        <f t="shared" si="3"/>
        <v>7278.87</v>
      </c>
      <c r="I215" s="26">
        <v>46013</v>
      </c>
    </row>
    <row r="216" spans="1:9" x14ac:dyDescent="0.3">
      <c r="A216" s="1" t="s">
        <v>316</v>
      </c>
      <c r="B216" s="1" t="s">
        <v>315</v>
      </c>
      <c r="C216" s="1" t="s">
        <v>82</v>
      </c>
      <c r="D216" s="1">
        <v>349232</v>
      </c>
      <c r="E216" s="1">
        <v>7298891409</v>
      </c>
      <c r="F216" s="2">
        <v>4750</v>
      </c>
      <c r="G216" s="10">
        <v>0</v>
      </c>
      <c r="H216" s="2">
        <f t="shared" si="3"/>
        <v>4750</v>
      </c>
      <c r="I216" s="6">
        <v>46013</v>
      </c>
    </row>
    <row r="217" spans="1:9" s="24" customFormat="1" x14ac:dyDescent="0.3">
      <c r="A217" s="24" t="s">
        <v>316</v>
      </c>
      <c r="B217" s="24" t="s">
        <v>281</v>
      </c>
      <c r="C217" s="24" t="s">
        <v>107</v>
      </c>
      <c r="D217" s="24">
        <v>177835</v>
      </c>
      <c r="E217" s="24">
        <v>5584849265</v>
      </c>
      <c r="F217" s="25">
        <v>562.28</v>
      </c>
      <c r="G217" s="25">
        <v>0</v>
      </c>
      <c r="H217" s="25">
        <f t="shared" si="3"/>
        <v>562.28</v>
      </c>
      <c r="I217" s="26">
        <v>46013</v>
      </c>
    </row>
    <row r="218" spans="1:9" x14ac:dyDescent="0.3">
      <c r="A218" s="1" t="s">
        <v>316</v>
      </c>
      <c r="B218" s="1" t="s">
        <v>282</v>
      </c>
      <c r="C218" s="1" t="s">
        <v>283</v>
      </c>
      <c r="D218" s="1">
        <v>349079</v>
      </c>
      <c r="E218" s="1">
        <v>5523295180</v>
      </c>
      <c r="F218" s="2">
        <v>1170</v>
      </c>
      <c r="G218" s="10">
        <v>0</v>
      </c>
      <c r="H218" s="2">
        <f t="shared" si="3"/>
        <v>1170</v>
      </c>
      <c r="I218" s="6">
        <v>46013</v>
      </c>
    </row>
    <row r="219" spans="1:9" s="24" customFormat="1" x14ac:dyDescent="0.3">
      <c r="A219" s="24" t="s">
        <v>316</v>
      </c>
      <c r="B219" s="24" t="s">
        <v>284</v>
      </c>
      <c r="C219" s="24" t="s">
        <v>285</v>
      </c>
      <c r="D219" s="24">
        <v>177987</v>
      </c>
      <c r="E219" s="24">
        <v>5575268727</v>
      </c>
      <c r="F219" s="25">
        <v>920</v>
      </c>
      <c r="G219" s="25">
        <v>0</v>
      </c>
      <c r="H219" s="25">
        <f t="shared" si="3"/>
        <v>920</v>
      </c>
      <c r="I219" s="26">
        <v>46013</v>
      </c>
    </row>
    <row r="220" spans="1:9" x14ac:dyDescent="0.3">
      <c r="A220" s="1" t="s">
        <v>316</v>
      </c>
      <c r="B220" s="1" t="s">
        <v>286</v>
      </c>
      <c r="C220" s="1" t="s">
        <v>287</v>
      </c>
      <c r="D220" s="1">
        <v>177775</v>
      </c>
      <c r="E220" s="1">
        <v>5540863595</v>
      </c>
      <c r="F220" s="2">
        <v>3497</v>
      </c>
      <c r="G220" s="10">
        <v>0</v>
      </c>
      <c r="H220" s="2">
        <f t="shared" si="3"/>
        <v>3497</v>
      </c>
      <c r="I220" s="6">
        <v>46013</v>
      </c>
    </row>
    <row r="221" spans="1:9" s="24" customFormat="1" x14ac:dyDescent="0.3">
      <c r="A221" s="24" t="s">
        <v>316</v>
      </c>
      <c r="B221" s="24" t="s">
        <v>289</v>
      </c>
      <c r="C221" s="24" t="s">
        <v>290</v>
      </c>
      <c r="D221" s="24">
        <v>177560</v>
      </c>
      <c r="E221" s="24">
        <v>5554754724</v>
      </c>
      <c r="F221" s="25">
        <v>1805</v>
      </c>
      <c r="G221" s="25">
        <v>0</v>
      </c>
      <c r="H221" s="25">
        <f t="shared" si="3"/>
        <v>1805</v>
      </c>
      <c r="I221" s="26">
        <v>46013</v>
      </c>
    </row>
    <row r="222" spans="1:9" x14ac:dyDescent="0.3">
      <c r="A222" s="1" t="s">
        <v>17</v>
      </c>
      <c r="B222" s="1" t="s">
        <v>321</v>
      </c>
      <c r="C222" s="1" t="s">
        <v>293</v>
      </c>
      <c r="D222" s="1">
        <v>177078</v>
      </c>
      <c r="E222" s="1">
        <v>5586164748</v>
      </c>
      <c r="F222" s="2">
        <v>2300</v>
      </c>
      <c r="G222" s="10">
        <v>0</v>
      </c>
      <c r="H222" s="2">
        <f t="shared" si="3"/>
        <v>2300</v>
      </c>
      <c r="I222" s="6">
        <v>46013</v>
      </c>
    </row>
    <row r="223" spans="1:9" s="24" customFormat="1" x14ac:dyDescent="0.3">
      <c r="A223" s="24" t="s">
        <v>17</v>
      </c>
      <c r="B223" s="24" t="s">
        <v>322</v>
      </c>
      <c r="C223" s="24" t="s">
        <v>68</v>
      </c>
      <c r="D223" s="24">
        <v>349051</v>
      </c>
      <c r="E223" s="24">
        <v>5576718568</v>
      </c>
      <c r="F223" s="25">
        <v>5016.8</v>
      </c>
      <c r="G223" s="25">
        <v>0</v>
      </c>
      <c r="H223" s="25">
        <f t="shared" si="3"/>
        <v>5016.8</v>
      </c>
      <c r="I223" s="26">
        <v>46013</v>
      </c>
    </row>
    <row r="224" spans="1:9" x14ac:dyDescent="0.3">
      <c r="A224" s="1" t="s">
        <v>17</v>
      </c>
      <c r="B224" s="1" t="s">
        <v>323</v>
      </c>
      <c r="C224" s="1" t="s">
        <v>324</v>
      </c>
      <c r="D224" s="1">
        <v>177523</v>
      </c>
      <c r="E224" s="1">
        <v>5516934636</v>
      </c>
      <c r="F224" s="2">
        <v>12765.99</v>
      </c>
      <c r="G224" s="10">
        <v>0</v>
      </c>
      <c r="H224" s="2">
        <f t="shared" si="3"/>
        <v>12765.99</v>
      </c>
      <c r="I224" s="6">
        <v>46013</v>
      </c>
    </row>
    <row r="225" spans="1:9" s="24" customFormat="1" x14ac:dyDescent="0.3">
      <c r="A225" s="24" t="s">
        <v>10</v>
      </c>
      <c r="B225" s="24" t="s">
        <v>326</v>
      </c>
      <c r="C225" s="24" t="s">
        <v>327</v>
      </c>
      <c r="D225" s="24">
        <v>294415</v>
      </c>
      <c r="E225" s="24">
        <v>5551784708</v>
      </c>
      <c r="F225" s="25">
        <v>14379.59</v>
      </c>
      <c r="G225" s="25">
        <v>0</v>
      </c>
      <c r="H225" s="25">
        <f t="shared" si="3"/>
        <v>14379.59</v>
      </c>
      <c r="I225" s="26">
        <v>46013</v>
      </c>
    </row>
    <row r="226" spans="1:9" x14ac:dyDescent="0.3">
      <c r="A226" s="1" t="s">
        <v>10</v>
      </c>
      <c r="B226" s="1" t="s">
        <v>328</v>
      </c>
      <c r="C226" s="1" t="s">
        <v>46</v>
      </c>
      <c r="D226" s="1">
        <v>294374</v>
      </c>
      <c r="E226" s="1">
        <v>5582977392</v>
      </c>
      <c r="F226" s="2">
        <v>28559.98</v>
      </c>
      <c r="G226" s="2">
        <v>0</v>
      </c>
      <c r="H226" s="2">
        <f t="shared" si="3"/>
        <v>28559.98</v>
      </c>
      <c r="I226" s="6">
        <v>46014</v>
      </c>
    </row>
    <row r="227" spans="1:9" s="21" customFormat="1" x14ac:dyDescent="0.3">
      <c r="A227" s="21" t="s">
        <v>10</v>
      </c>
      <c r="B227" s="21" t="s">
        <v>347</v>
      </c>
      <c r="C227" s="21" t="s">
        <v>329</v>
      </c>
      <c r="D227" s="21">
        <v>394297</v>
      </c>
      <c r="E227" s="21">
        <v>5560292643</v>
      </c>
      <c r="F227" s="22">
        <v>650</v>
      </c>
      <c r="G227" s="22">
        <v>0</v>
      </c>
      <c r="H227" s="22">
        <f t="shared" si="3"/>
        <v>650</v>
      </c>
      <c r="I227" s="23">
        <v>46014</v>
      </c>
    </row>
    <row r="228" spans="1:9" x14ac:dyDescent="0.3">
      <c r="A228" s="1" t="s">
        <v>10</v>
      </c>
      <c r="B228" s="1" t="s">
        <v>330</v>
      </c>
      <c r="C228" s="1" t="s">
        <v>46</v>
      </c>
      <c r="D228" s="1">
        <v>178487</v>
      </c>
      <c r="E228" s="1">
        <v>5512946475</v>
      </c>
      <c r="F228" s="2">
        <v>1666</v>
      </c>
      <c r="G228" s="2">
        <v>0</v>
      </c>
      <c r="H228" s="2">
        <f t="shared" si="3"/>
        <v>1666</v>
      </c>
      <c r="I228" s="6">
        <v>46014</v>
      </c>
    </row>
    <row r="229" spans="1:9" s="21" customFormat="1" x14ac:dyDescent="0.3">
      <c r="A229" s="21" t="s">
        <v>10</v>
      </c>
      <c r="B229" s="21" t="s">
        <v>331</v>
      </c>
      <c r="C229" s="21" t="s">
        <v>113</v>
      </c>
      <c r="D229" s="21">
        <v>178027</v>
      </c>
      <c r="E229" s="21">
        <v>5611660106</v>
      </c>
      <c r="F229" s="22">
        <v>4905</v>
      </c>
      <c r="G229" s="22">
        <v>1</v>
      </c>
      <c r="H229" s="22">
        <f t="shared" si="3"/>
        <v>4906</v>
      </c>
      <c r="I229" s="23">
        <v>46014</v>
      </c>
    </row>
    <row r="230" spans="1:9" x14ac:dyDescent="0.3">
      <c r="A230" s="1" t="s">
        <v>10</v>
      </c>
      <c r="B230" s="1" t="s">
        <v>332</v>
      </c>
      <c r="C230" s="1" t="s">
        <v>333</v>
      </c>
      <c r="D230" s="1">
        <v>294939</v>
      </c>
      <c r="E230" s="1">
        <v>5544900709</v>
      </c>
      <c r="F230" s="2">
        <v>2238</v>
      </c>
      <c r="G230" s="2">
        <v>0</v>
      </c>
      <c r="H230" s="2">
        <f t="shared" si="3"/>
        <v>2238</v>
      </c>
      <c r="I230" s="6">
        <v>46014</v>
      </c>
    </row>
    <row r="231" spans="1:9" s="21" customFormat="1" x14ac:dyDescent="0.3">
      <c r="A231" s="21" t="s">
        <v>10</v>
      </c>
      <c r="B231" s="21" t="s">
        <v>334</v>
      </c>
      <c r="C231" s="21" t="s">
        <v>115</v>
      </c>
      <c r="D231" s="21">
        <v>294784</v>
      </c>
      <c r="E231" s="21">
        <v>5569846314</v>
      </c>
      <c r="F231" s="22">
        <v>6072</v>
      </c>
      <c r="G231" s="22">
        <v>2</v>
      </c>
      <c r="H231" s="22">
        <f t="shared" si="3"/>
        <v>6074</v>
      </c>
      <c r="I231" s="23">
        <v>46014</v>
      </c>
    </row>
    <row r="232" spans="1:9" x14ac:dyDescent="0.3">
      <c r="A232" s="1" t="s">
        <v>10</v>
      </c>
      <c r="B232" s="1" t="s">
        <v>335</v>
      </c>
      <c r="C232" s="1" t="s">
        <v>336</v>
      </c>
      <c r="D232" s="1">
        <v>178110</v>
      </c>
      <c r="E232" s="1">
        <v>5511317628</v>
      </c>
      <c r="F232" s="2">
        <v>5626.96</v>
      </c>
      <c r="G232" s="2">
        <v>0</v>
      </c>
      <c r="H232" s="2">
        <f t="shared" si="3"/>
        <v>5626.96</v>
      </c>
      <c r="I232" s="6">
        <v>46014</v>
      </c>
    </row>
    <row r="233" spans="1:9" s="21" customFormat="1" x14ac:dyDescent="0.3">
      <c r="A233" s="21" t="s">
        <v>10</v>
      </c>
      <c r="B233" s="21" t="s">
        <v>337</v>
      </c>
      <c r="C233" s="21" t="s">
        <v>204</v>
      </c>
      <c r="D233" s="21">
        <v>294859</v>
      </c>
      <c r="E233" s="21">
        <v>5532476516</v>
      </c>
      <c r="F233" s="22">
        <v>13430</v>
      </c>
      <c r="G233" s="22">
        <v>0</v>
      </c>
      <c r="H233" s="22">
        <f t="shared" si="3"/>
        <v>13430</v>
      </c>
      <c r="I233" s="23">
        <v>46014</v>
      </c>
    </row>
    <row r="234" spans="1:9" x14ac:dyDescent="0.3">
      <c r="A234" s="1" t="s">
        <v>17</v>
      </c>
      <c r="B234" s="1" t="s">
        <v>338</v>
      </c>
      <c r="C234" s="1" t="s">
        <v>339</v>
      </c>
      <c r="D234" s="1">
        <v>349100</v>
      </c>
      <c r="E234" s="1">
        <v>4431916896</v>
      </c>
      <c r="F234" s="2">
        <v>12486.32</v>
      </c>
      <c r="G234" s="2">
        <v>0</v>
      </c>
      <c r="H234" s="2">
        <f t="shared" si="3"/>
        <v>12486.32</v>
      </c>
      <c r="I234" s="6">
        <v>46014</v>
      </c>
    </row>
    <row r="235" spans="1:9" s="21" customFormat="1" x14ac:dyDescent="0.3">
      <c r="A235" s="21" t="s">
        <v>17</v>
      </c>
      <c r="B235" s="21" t="s">
        <v>322</v>
      </c>
      <c r="C235" s="21" t="s">
        <v>68</v>
      </c>
      <c r="D235" s="21">
        <v>349051</v>
      </c>
      <c r="E235" s="21">
        <v>5576718568</v>
      </c>
      <c r="F235" s="22">
        <v>5016.8</v>
      </c>
      <c r="G235" s="22">
        <v>0</v>
      </c>
      <c r="H235" s="22">
        <f t="shared" si="3"/>
        <v>5016.8</v>
      </c>
      <c r="I235" s="23">
        <v>46014</v>
      </c>
    </row>
    <row r="236" spans="1:9" x14ac:dyDescent="0.3">
      <c r="A236" s="1" t="s">
        <v>17</v>
      </c>
      <c r="B236" s="1" t="s">
        <v>131</v>
      </c>
      <c r="C236" s="1" t="s">
        <v>21</v>
      </c>
      <c r="D236" s="1">
        <v>177999</v>
      </c>
      <c r="E236" s="1">
        <v>5551141444</v>
      </c>
      <c r="F236" s="2">
        <v>3730</v>
      </c>
      <c r="G236" s="2">
        <v>0</v>
      </c>
      <c r="H236" s="2">
        <f t="shared" si="3"/>
        <v>3730</v>
      </c>
      <c r="I236" s="6">
        <v>46014</v>
      </c>
    </row>
    <row r="237" spans="1:9" s="21" customFormat="1" x14ac:dyDescent="0.3">
      <c r="A237" s="21" t="s">
        <v>17</v>
      </c>
      <c r="B237" s="21" t="s">
        <v>158</v>
      </c>
      <c r="C237" s="21" t="s">
        <v>159</v>
      </c>
      <c r="D237" s="21">
        <v>294633</v>
      </c>
      <c r="E237" s="21">
        <v>5570826626</v>
      </c>
      <c r="F237" s="22">
        <v>35148.589999999997</v>
      </c>
      <c r="G237" s="22">
        <v>0</v>
      </c>
      <c r="H237" s="22">
        <f t="shared" si="3"/>
        <v>35148.589999999997</v>
      </c>
      <c r="I237" s="23">
        <v>46014</v>
      </c>
    </row>
    <row r="238" spans="1:9" x14ac:dyDescent="0.3">
      <c r="A238" s="1" t="s">
        <v>17</v>
      </c>
      <c r="B238" s="1" t="s">
        <v>317</v>
      </c>
      <c r="C238" s="1" t="s">
        <v>293</v>
      </c>
      <c r="D238" s="1">
        <v>177078</v>
      </c>
      <c r="E238" s="1">
        <v>5547890823</v>
      </c>
      <c r="F238" s="2">
        <v>2300</v>
      </c>
      <c r="G238" s="2">
        <v>0</v>
      </c>
      <c r="H238" s="2">
        <f t="shared" si="3"/>
        <v>2300</v>
      </c>
      <c r="I238" s="6">
        <v>46014</v>
      </c>
    </row>
    <row r="239" spans="1:9" s="21" customFormat="1" x14ac:dyDescent="0.3">
      <c r="A239" s="21" t="s">
        <v>47</v>
      </c>
      <c r="B239" s="21" t="s">
        <v>340</v>
      </c>
      <c r="C239" s="21" t="s">
        <v>341</v>
      </c>
      <c r="D239" s="21">
        <v>349976</v>
      </c>
      <c r="E239" s="21">
        <v>5531994500</v>
      </c>
      <c r="F239" s="22">
        <v>9307.48</v>
      </c>
      <c r="G239" s="22">
        <v>0</v>
      </c>
      <c r="H239" s="22">
        <f t="shared" si="3"/>
        <v>9307.48</v>
      </c>
      <c r="I239" s="23">
        <v>46014</v>
      </c>
    </row>
    <row r="240" spans="1:9" x14ac:dyDescent="0.3">
      <c r="A240" s="1" t="s">
        <v>47</v>
      </c>
      <c r="B240" s="1" t="s">
        <v>288</v>
      </c>
      <c r="C240" s="1" t="s">
        <v>342</v>
      </c>
      <c r="D240" s="1">
        <v>349048</v>
      </c>
      <c r="E240" s="1">
        <v>5534149891</v>
      </c>
      <c r="F240" s="2">
        <v>500</v>
      </c>
      <c r="G240" s="2">
        <v>0</v>
      </c>
      <c r="H240" s="2">
        <f t="shared" si="3"/>
        <v>500</v>
      </c>
      <c r="I240" s="6">
        <v>46014</v>
      </c>
    </row>
    <row r="241" spans="1:9" s="21" customFormat="1" x14ac:dyDescent="0.3">
      <c r="A241" s="21" t="s">
        <v>47</v>
      </c>
      <c r="B241" s="21" t="s">
        <v>288</v>
      </c>
      <c r="C241" s="21" t="s">
        <v>342</v>
      </c>
      <c r="D241" s="21">
        <v>177683</v>
      </c>
      <c r="E241" s="21">
        <v>5534149891</v>
      </c>
      <c r="F241" s="22">
        <v>2319.4</v>
      </c>
      <c r="G241" s="22">
        <v>0</v>
      </c>
      <c r="H241" s="22">
        <f t="shared" si="3"/>
        <v>2319.4</v>
      </c>
      <c r="I241" s="23">
        <v>46014</v>
      </c>
    </row>
    <row r="242" spans="1:9" x14ac:dyDescent="0.3">
      <c r="A242" s="1" t="s">
        <v>47</v>
      </c>
      <c r="B242" s="1" t="s">
        <v>343</v>
      </c>
      <c r="C242" s="1" t="s">
        <v>346</v>
      </c>
      <c r="D242" s="1">
        <v>177251</v>
      </c>
      <c r="E242" s="1">
        <v>5510515165</v>
      </c>
      <c r="F242" s="2">
        <v>21950</v>
      </c>
      <c r="G242" s="2">
        <v>0</v>
      </c>
      <c r="H242" s="2">
        <f t="shared" si="3"/>
        <v>21950</v>
      </c>
      <c r="I242" s="6">
        <v>46014</v>
      </c>
    </row>
    <row r="243" spans="1:9" s="21" customFormat="1" x14ac:dyDescent="0.3">
      <c r="A243" s="21" t="s">
        <v>47</v>
      </c>
      <c r="B243" s="21" t="s">
        <v>344</v>
      </c>
      <c r="C243" s="21" t="s">
        <v>345</v>
      </c>
      <c r="D243" s="21">
        <v>178102</v>
      </c>
      <c r="E243" s="21">
        <v>5514342372</v>
      </c>
      <c r="F243" s="22">
        <v>877.84</v>
      </c>
      <c r="G243" s="22">
        <v>0</v>
      </c>
      <c r="H243" s="22">
        <f t="shared" si="3"/>
        <v>877.84</v>
      </c>
      <c r="I243" s="23">
        <v>46014</v>
      </c>
    </row>
    <row r="244" spans="1:9" x14ac:dyDescent="0.3">
      <c r="A244" s="1" t="s">
        <v>10</v>
      </c>
      <c r="B244" s="1" t="s">
        <v>348</v>
      </c>
      <c r="C244" s="1" t="s">
        <v>349</v>
      </c>
      <c r="D244" s="1">
        <v>349440</v>
      </c>
      <c r="E244" s="1">
        <v>5574136155</v>
      </c>
      <c r="F244" s="2">
        <v>13298.99</v>
      </c>
      <c r="G244" s="2">
        <v>0</v>
      </c>
      <c r="H244" s="2">
        <f t="shared" si="3"/>
        <v>13298.99</v>
      </c>
      <c r="I244" s="6">
        <v>46015</v>
      </c>
    </row>
    <row r="245" spans="1:9" s="27" customFormat="1" x14ac:dyDescent="0.3">
      <c r="A245" s="27" t="s">
        <v>10</v>
      </c>
      <c r="B245" s="27" t="s">
        <v>350</v>
      </c>
      <c r="C245" s="27" t="s">
        <v>204</v>
      </c>
      <c r="D245" s="27">
        <v>349436</v>
      </c>
      <c r="E245" s="27">
        <v>5614749794</v>
      </c>
      <c r="F245" s="28">
        <v>895</v>
      </c>
      <c r="G245" s="28">
        <v>0</v>
      </c>
      <c r="H245" s="28">
        <f t="shared" si="3"/>
        <v>895</v>
      </c>
      <c r="I245" s="29">
        <v>46015</v>
      </c>
    </row>
    <row r="246" spans="1:9" x14ac:dyDescent="0.3">
      <c r="A246" s="1" t="s">
        <v>10</v>
      </c>
      <c r="B246" s="1" t="s">
        <v>351</v>
      </c>
      <c r="C246" s="1" t="s">
        <v>352</v>
      </c>
      <c r="D246" s="1">
        <v>349220</v>
      </c>
      <c r="E246" s="1">
        <v>5612962917</v>
      </c>
      <c r="F246" s="2">
        <v>8450</v>
      </c>
      <c r="G246" s="2">
        <v>0</v>
      </c>
      <c r="H246" s="2">
        <f t="shared" si="3"/>
        <v>8450</v>
      </c>
      <c r="I246" s="6">
        <v>46015</v>
      </c>
    </row>
    <row r="247" spans="1:9" s="27" customFormat="1" x14ac:dyDescent="0.3">
      <c r="A247" s="27" t="s">
        <v>10</v>
      </c>
      <c r="B247" s="27" t="s">
        <v>353</v>
      </c>
      <c r="C247" s="27" t="s">
        <v>354</v>
      </c>
      <c r="D247" s="27">
        <v>294740</v>
      </c>
      <c r="E247" s="27">
        <v>5561759355</v>
      </c>
      <c r="F247" s="28">
        <v>5469.35</v>
      </c>
      <c r="G247" s="28">
        <v>0</v>
      </c>
      <c r="H247" s="28">
        <f t="shared" si="3"/>
        <v>5469.35</v>
      </c>
      <c r="I247" s="29">
        <v>46015</v>
      </c>
    </row>
    <row r="248" spans="1:9" x14ac:dyDescent="0.3">
      <c r="A248" s="1" t="s">
        <v>17</v>
      </c>
      <c r="B248" s="1" t="s">
        <v>355</v>
      </c>
      <c r="C248" s="1" t="s">
        <v>123</v>
      </c>
      <c r="D248" s="1">
        <v>349455</v>
      </c>
      <c r="E248" s="1">
        <v>5531303635</v>
      </c>
      <c r="F248" s="2">
        <v>4405</v>
      </c>
      <c r="G248" s="2">
        <v>0</v>
      </c>
      <c r="H248" s="2">
        <f t="shared" si="3"/>
        <v>4405</v>
      </c>
      <c r="I248" s="6">
        <v>46015</v>
      </c>
    </row>
    <row r="249" spans="1:9" s="27" customFormat="1" x14ac:dyDescent="0.3">
      <c r="A249" s="27" t="s">
        <v>17</v>
      </c>
      <c r="B249" s="27" t="s">
        <v>7</v>
      </c>
      <c r="C249" s="27" t="s">
        <v>30</v>
      </c>
      <c r="D249" s="27">
        <v>294682</v>
      </c>
      <c r="E249" s="27">
        <v>5545758293</v>
      </c>
      <c r="F249" s="28">
        <v>13781.28</v>
      </c>
      <c r="G249" s="28">
        <v>0</v>
      </c>
      <c r="H249" s="28">
        <f t="shared" si="3"/>
        <v>13781.28</v>
      </c>
      <c r="I249" s="29">
        <v>46015</v>
      </c>
    </row>
    <row r="250" spans="1:9" x14ac:dyDescent="0.3">
      <c r="A250" s="1" t="s">
        <v>17</v>
      </c>
      <c r="B250" s="1" t="s">
        <v>363</v>
      </c>
      <c r="C250" s="1" t="s">
        <v>356</v>
      </c>
      <c r="D250" s="1">
        <v>294515</v>
      </c>
      <c r="E250" s="1">
        <v>29596.95</v>
      </c>
      <c r="F250" s="1">
        <v>29596.95</v>
      </c>
      <c r="G250" s="2">
        <v>0</v>
      </c>
      <c r="H250" s="2">
        <f t="shared" si="3"/>
        <v>29596.95</v>
      </c>
      <c r="I250" s="6">
        <v>46015</v>
      </c>
    </row>
    <row r="251" spans="1:9" s="27" customFormat="1" x14ac:dyDescent="0.3">
      <c r="A251" s="27" t="s">
        <v>17</v>
      </c>
      <c r="B251" s="27" t="s">
        <v>357</v>
      </c>
      <c r="C251" s="27" t="s">
        <v>303</v>
      </c>
      <c r="D251" s="27">
        <v>294905</v>
      </c>
      <c r="E251" s="27">
        <v>5546082795</v>
      </c>
      <c r="F251" s="28">
        <v>44593.97</v>
      </c>
      <c r="G251" s="28">
        <v>0</v>
      </c>
      <c r="H251" s="28">
        <f t="shared" si="3"/>
        <v>44593.97</v>
      </c>
      <c r="I251" s="29">
        <v>46015</v>
      </c>
    </row>
    <row r="252" spans="1:9" x14ac:dyDescent="0.3">
      <c r="A252" s="1" t="s">
        <v>47</v>
      </c>
      <c r="B252" s="1" t="s">
        <v>358</v>
      </c>
      <c r="C252" s="1" t="s">
        <v>359</v>
      </c>
      <c r="D252" s="1">
        <v>178563</v>
      </c>
      <c r="E252" s="1">
        <v>5531384764</v>
      </c>
      <c r="G252" s="2">
        <v>0</v>
      </c>
      <c r="H252" s="2">
        <f t="shared" si="3"/>
        <v>0</v>
      </c>
      <c r="I252" s="6">
        <v>46015</v>
      </c>
    </row>
    <row r="253" spans="1:9" s="27" customFormat="1" x14ac:dyDescent="0.3">
      <c r="A253" s="27" t="s">
        <v>47</v>
      </c>
      <c r="B253" s="27" t="s">
        <v>362</v>
      </c>
      <c r="C253" s="27" t="s">
        <v>32</v>
      </c>
      <c r="D253" s="27">
        <v>176131</v>
      </c>
      <c r="E253" s="27">
        <v>5527842592</v>
      </c>
      <c r="F253" s="28">
        <v>3325.76</v>
      </c>
      <c r="G253" s="28">
        <v>0</v>
      </c>
      <c r="H253" s="28">
        <f t="shared" si="3"/>
        <v>3325.76</v>
      </c>
      <c r="I253" s="29">
        <v>46015</v>
      </c>
    </row>
    <row r="254" spans="1:9" x14ac:dyDescent="0.3">
      <c r="A254" s="1" t="s">
        <v>47</v>
      </c>
      <c r="B254" s="1" t="s">
        <v>360</v>
      </c>
      <c r="C254" s="1" t="s">
        <v>361</v>
      </c>
      <c r="D254" s="1">
        <v>349213</v>
      </c>
      <c r="E254" s="1">
        <v>5561172046</v>
      </c>
      <c r="F254" s="2">
        <v>13088</v>
      </c>
      <c r="G254" s="2">
        <v>0</v>
      </c>
      <c r="H254" s="2">
        <f t="shared" si="3"/>
        <v>13088</v>
      </c>
      <c r="I254" s="6">
        <v>46015</v>
      </c>
    </row>
    <row r="255" spans="1:9" s="18" customFormat="1" x14ac:dyDescent="0.3">
      <c r="A255" s="18" t="s">
        <v>10</v>
      </c>
      <c r="B255" s="18" t="s">
        <v>370</v>
      </c>
      <c r="C255" s="18" t="s">
        <v>371</v>
      </c>
      <c r="D255" s="18">
        <v>349487</v>
      </c>
      <c r="E255" s="18">
        <v>5540290136</v>
      </c>
      <c r="F255" s="19">
        <v>3504</v>
      </c>
      <c r="G255" s="19">
        <v>0</v>
      </c>
      <c r="H255" s="19">
        <f t="shared" si="3"/>
        <v>3504</v>
      </c>
      <c r="I255" s="20">
        <v>46017</v>
      </c>
    </row>
    <row r="256" spans="1:9" x14ac:dyDescent="0.3">
      <c r="A256" s="1" t="s">
        <v>10</v>
      </c>
      <c r="B256" s="1" t="s">
        <v>369</v>
      </c>
      <c r="C256" s="1" t="s">
        <v>115</v>
      </c>
      <c r="D256" s="1">
        <v>178325</v>
      </c>
      <c r="E256" s="1">
        <v>5569161860</v>
      </c>
      <c r="F256" s="2">
        <v>13022.35</v>
      </c>
      <c r="G256" s="2">
        <v>0</v>
      </c>
      <c r="H256" s="2">
        <f t="shared" si="3"/>
        <v>13022.35</v>
      </c>
      <c r="I256" s="6">
        <v>46017</v>
      </c>
    </row>
    <row r="257" spans="1:9" s="18" customFormat="1" x14ac:dyDescent="0.3">
      <c r="A257" s="18" t="s">
        <v>10</v>
      </c>
      <c r="B257" s="18" t="s">
        <v>224</v>
      </c>
      <c r="C257" s="18" t="s">
        <v>225</v>
      </c>
      <c r="D257" s="18">
        <v>294933</v>
      </c>
      <c r="E257" s="18">
        <v>5539564988</v>
      </c>
      <c r="F257" s="19">
        <v>4212.1499999999996</v>
      </c>
      <c r="G257" s="19">
        <v>0</v>
      </c>
      <c r="H257" s="19">
        <f t="shared" si="3"/>
        <v>4212.1499999999996</v>
      </c>
      <c r="I257" s="20">
        <v>46017</v>
      </c>
    </row>
    <row r="258" spans="1:9" x14ac:dyDescent="0.3">
      <c r="A258" s="1" t="s">
        <v>17</v>
      </c>
      <c r="B258" s="1" t="s">
        <v>364</v>
      </c>
      <c r="C258" s="1" t="s">
        <v>80</v>
      </c>
      <c r="D258" s="1">
        <v>177963</v>
      </c>
      <c r="F258" s="2">
        <v>21649.97</v>
      </c>
      <c r="G258" s="2">
        <v>0</v>
      </c>
      <c r="H258" s="2">
        <f t="shared" si="3"/>
        <v>21649.97</v>
      </c>
      <c r="I258" s="6">
        <v>46017</v>
      </c>
    </row>
    <row r="259" spans="1:9" s="18" customFormat="1" x14ac:dyDescent="0.3">
      <c r="A259" s="18" t="s">
        <v>17</v>
      </c>
      <c r="B259" s="18" t="s">
        <v>310</v>
      </c>
      <c r="C259" s="18" t="s">
        <v>16</v>
      </c>
      <c r="D259" s="18">
        <v>349417</v>
      </c>
      <c r="E259" s="18">
        <v>5514614910</v>
      </c>
      <c r="F259" s="19">
        <v>4760</v>
      </c>
      <c r="G259" s="19">
        <v>0</v>
      </c>
      <c r="H259" s="19">
        <f t="shared" ref="H259:H317" si="4">F259+G259</f>
        <v>4760</v>
      </c>
      <c r="I259" s="20">
        <v>46017</v>
      </c>
    </row>
    <row r="260" spans="1:9" x14ac:dyDescent="0.3">
      <c r="A260" s="1" t="s">
        <v>11</v>
      </c>
      <c r="B260" s="1" t="s">
        <v>365</v>
      </c>
      <c r="C260" s="1" t="s">
        <v>366</v>
      </c>
      <c r="D260" s="1">
        <v>178695</v>
      </c>
      <c r="E260" s="1">
        <v>5618889470</v>
      </c>
      <c r="F260" s="2">
        <v>2298</v>
      </c>
      <c r="G260" s="2">
        <v>0</v>
      </c>
      <c r="H260" s="2">
        <f t="shared" si="4"/>
        <v>2298</v>
      </c>
      <c r="I260" s="6">
        <v>46017</v>
      </c>
    </row>
    <row r="261" spans="1:9" s="21" customFormat="1" x14ac:dyDescent="0.3">
      <c r="A261" s="21" t="s">
        <v>10</v>
      </c>
      <c r="B261" s="21" t="s">
        <v>372</v>
      </c>
      <c r="C261" s="21" t="s">
        <v>373</v>
      </c>
      <c r="D261" s="21">
        <v>295207</v>
      </c>
      <c r="E261" s="21">
        <v>5581233890</v>
      </c>
      <c r="F261" s="22">
        <v>890</v>
      </c>
      <c r="G261" s="22">
        <v>0</v>
      </c>
      <c r="H261" s="22">
        <f t="shared" si="4"/>
        <v>890</v>
      </c>
      <c r="I261" s="23">
        <v>46018</v>
      </c>
    </row>
    <row r="262" spans="1:9" x14ac:dyDescent="0.3">
      <c r="A262" s="1" t="s">
        <v>10</v>
      </c>
      <c r="B262" s="1" t="s">
        <v>374</v>
      </c>
      <c r="C262" s="1" t="s">
        <v>375</v>
      </c>
      <c r="D262" s="1">
        <v>295190</v>
      </c>
      <c r="E262" s="1">
        <v>5621030826</v>
      </c>
      <c r="F262" s="2">
        <v>2387</v>
      </c>
      <c r="G262" s="2">
        <v>0</v>
      </c>
      <c r="H262" s="2">
        <f t="shared" si="4"/>
        <v>2387</v>
      </c>
      <c r="I262" s="6">
        <v>46018</v>
      </c>
    </row>
    <row r="263" spans="1:9" s="21" customFormat="1" x14ac:dyDescent="0.3">
      <c r="A263" s="21" t="s">
        <v>10</v>
      </c>
      <c r="B263" s="21" t="s">
        <v>376</v>
      </c>
      <c r="C263" s="21" t="s">
        <v>377</v>
      </c>
      <c r="D263" s="21">
        <v>178668</v>
      </c>
      <c r="E263" s="21">
        <v>5548189080</v>
      </c>
      <c r="F263" s="22">
        <v>7150</v>
      </c>
      <c r="G263" s="22">
        <v>0</v>
      </c>
      <c r="H263" s="22">
        <f t="shared" si="4"/>
        <v>7150</v>
      </c>
      <c r="I263" s="23">
        <v>46018</v>
      </c>
    </row>
    <row r="264" spans="1:9" x14ac:dyDescent="0.3">
      <c r="A264" s="1" t="s">
        <v>10</v>
      </c>
      <c r="B264" s="1" t="s">
        <v>378</v>
      </c>
      <c r="C264" s="1" t="s">
        <v>174</v>
      </c>
      <c r="D264" s="1">
        <v>295197</v>
      </c>
      <c r="E264" s="1">
        <v>5519229671</v>
      </c>
      <c r="F264" s="2">
        <v>1920</v>
      </c>
      <c r="G264" s="2">
        <v>0</v>
      </c>
      <c r="H264" s="2">
        <f t="shared" si="4"/>
        <v>1920</v>
      </c>
      <c r="I264" s="6">
        <v>46018</v>
      </c>
    </row>
    <row r="265" spans="1:9" s="21" customFormat="1" x14ac:dyDescent="0.3">
      <c r="A265" s="21" t="s">
        <v>17</v>
      </c>
      <c r="B265" s="21" t="s">
        <v>240</v>
      </c>
      <c r="C265" s="21" t="s">
        <v>379</v>
      </c>
      <c r="D265" s="21">
        <v>295170</v>
      </c>
      <c r="E265" s="21">
        <v>5538109222</v>
      </c>
      <c r="F265" s="22">
        <v>2038.36</v>
      </c>
      <c r="G265" s="22">
        <v>0</v>
      </c>
      <c r="H265" s="22">
        <f t="shared" si="4"/>
        <v>2038.36</v>
      </c>
      <c r="I265" s="23">
        <v>46018</v>
      </c>
    </row>
    <row r="266" spans="1:9" ht="17.25" customHeight="1" x14ac:dyDescent="0.3">
      <c r="A266" s="1" t="s">
        <v>17</v>
      </c>
      <c r="B266" s="1" t="s">
        <v>380</v>
      </c>
      <c r="C266" s="1" t="s">
        <v>214</v>
      </c>
      <c r="D266" s="1">
        <v>295142</v>
      </c>
      <c r="E266" s="1">
        <v>5529870508</v>
      </c>
      <c r="F266" s="2">
        <v>2197</v>
      </c>
      <c r="G266" s="2">
        <v>0</v>
      </c>
      <c r="H266" s="2">
        <f t="shared" si="4"/>
        <v>2197</v>
      </c>
      <c r="I266" s="6">
        <v>46018</v>
      </c>
    </row>
    <row r="267" spans="1:9" s="21" customFormat="1" x14ac:dyDescent="0.3">
      <c r="A267" s="21" t="s">
        <v>17</v>
      </c>
      <c r="B267" s="21" t="s">
        <v>381</v>
      </c>
      <c r="C267" s="21" t="s">
        <v>346</v>
      </c>
      <c r="D267" s="21">
        <v>178757</v>
      </c>
      <c r="E267" s="21">
        <v>5520299235</v>
      </c>
      <c r="F267" s="22">
        <v>2012</v>
      </c>
      <c r="G267" s="22">
        <v>0</v>
      </c>
      <c r="H267" s="22">
        <f t="shared" si="4"/>
        <v>2012</v>
      </c>
      <c r="I267" s="23">
        <v>46018</v>
      </c>
    </row>
    <row r="268" spans="1:9" x14ac:dyDescent="0.3">
      <c r="A268" s="1" t="s">
        <v>11</v>
      </c>
      <c r="B268" s="1" t="s">
        <v>118</v>
      </c>
      <c r="C268" s="1" t="s">
        <v>21</v>
      </c>
      <c r="D268" s="1">
        <v>349395</v>
      </c>
      <c r="E268" s="1">
        <v>5525562517</v>
      </c>
      <c r="F268" s="2">
        <v>2090</v>
      </c>
      <c r="G268" s="2">
        <v>0</v>
      </c>
      <c r="H268" s="2">
        <f t="shared" si="4"/>
        <v>2090</v>
      </c>
      <c r="I268" s="6">
        <v>46018</v>
      </c>
    </row>
    <row r="269" spans="1:9" s="21" customFormat="1" x14ac:dyDescent="0.3">
      <c r="A269" s="21" t="s">
        <v>11</v>
      </c>
      <c r="B269" s="21" t="s">
        <v>367</v>
      </c>
      <c r="C269" s="21" t="s">
        <v>368</v>
      </c>
      <c r="D269" s="21">
        <v>178641</v>
      </c>
      <c r="E269" s="21">
        <v>5525106292</v>
      </c>
      <c r="F269" s="22">
        <v>2250</v>
      </c>
      <c r="G269" s="22">
        <v>0</v>
      </c>
      <c r="H269" s="22">
        <f t="shared" si="4"/>
        <v>2250</v>
      </c>
      <c r="I269" s="23">
        <v>46018</v>
      </c>
    </row>
    <row r="270" spans="1:9" x14ac:dyDescent="0.3">
      <c r="A270" s="1" t="s">
        <v>11</v>
      </c>
      <c r="B270" s="1" t="s">
        <v>382</v>
      </c>
      <c r="C270" s="1" t="s">
        <v>383</v>
      </c>
      <c r="D270" s="1">
        <v>178933</v>
      </c>
      <c r="E270" s="1">
        <v>5578854795</v>
      </c>
      <c r="F270" s="2">
        <v>30659</v>
      </c>
      <c r="G270" s="2">
        <v>0</v>
      </c>
      <c r="H270" s="2">
        <f t="shared" si="4"/>
        <v>30659</v>
      </c>
      <c r="I270" s="6">
        <v>46020</v>
      </c>
    </row>
    <row r="271" spans="1:9" s="27" customFormat="1" x14ac:dyDescent="0.3">
      <c r="A271" s="27" t="s">
        <v>47</v>
      </c>
      <c r="B271" s="27" t="s">
        <v>305</v>
      </c>
      <c r="C271" s="27" t="s">
        <v>385</v>
      </c>
      <c r="D271" s="27">
        <v>178580</v>
      </c>
      <c r="E271" s="27">
        <v>5534341719</v>
      </c>
      <c r="F271" s="28">
        <v>3740.32</v>
      </c>
      <c r="G271" s="28">
        <v>0</v>
      </c>
      <c r="H271" s="28">
        <f t="shared" si="4"/>
        <v>3740.32</v>
      </c>
      <c r="I271" s="29">
        <v>46020</v>
      </c>
    </row>
    <row r="272" spans="1:9" x14ac:dyDescent="0.3">
      <c r="A272" s="1" t="s">
        <v>47</v>
      </c>
      <c r="B272" s="1" t="s">
        <v>384</v>
      </c>
      <c r="C272" s="1" t="s">
        <v>388</v>
      </c>
      <c r="D272" s="1">
        <v>294938</v>
      </c>
      <c r="E272" s="1">
        <v>5521799860</v>
      </c>
      <c r="F272" s="2">
        <v>18860.98</v>
      </c>
      <c r="G272" s="2">
        <v>0</v>
      </c>
      <c r="H272" s="2">
        <f t="shared" si="4"/>
        <v>18860.98</v>
      </c>
      <c r="I272" s="6">
        <v>46020</v>
      </c>
    </row>
    <row r="273" spans="1:9" s="27" customFormat="1" x14ac:dyDescent="0.3">
      <c r="A273" s="27" t="s">
        <v>47</v>
      </c>
      <c r="B273" s="27" t="s">
        <v>384</v>
      </c>
      <c r="C273" s="27" t="s">
        <v>388</v>
      </c>
      <c r="D273" s="27">
        <v>294941</v>
      </c>
      <c r="E273" s="27">
        <v>5521799860</v>
      </c>
      <c r="F273" s="28">
        <v>1536</v>
      </c>
      <c r="G273" s="28">
        <v>0</v>
      </c>
      <c r="H273" s="28">
        <f t="shared" si="4"/>
        <v>1536</v>
      </c>
      <c r="I273" s="29">
        <v>46020</v>
      </c>
    </row>
    <row r="274" spans="1:9" x14ac:dyDescent="0.3">
      <c r="A274" s="1" t="s">
        <v>17</v>
      </c>
      <c r="B274" s="1" t="s">
        <v>158</v>
      </c>
      <c r="C274" s="1" t="s">
        <v>159</v>
      </c>
      <c r="D274" s="1">
        <v>295157</v>
      </c>
      <c r="E274" s="1">
        <v>5570826626</v>
      </c>
      <c r="F274" s="2">
        <v>8010.71</v>
      </c>
      <c r="G274" s="2">
        <v>0</v>
      </c>
      <c r="H274" s="2">
        <f t="shared" si="4"/>
        <v>8010.71</v>
      </c>
      <c r="I274" s="6">
        <v>46020</v>
      </c>
    </row>
    <row r="275" spans="1:9" s="27" customFormat="1" x14ac:dyDescent="0.3">
      <c r="A275" s="27" t="s">
        <v>17</v>
      </c>
      <c r="B275" s="27" t="s">
        <v>386</v>
      </c>
      <c r="C275" s="27" t="s">
        <v>152</v>
      </c>
      <c r="D275" s="27">
        <v>178719</v>
      </c>
      <c r="E275" s="27">
        <v>5612693492</v>
      </c>
      <c r="F275" s="28">
        <v>8578.24</v>
      </c>
      <c r="G275" s="28">
        <v>0</v>
      </c>
      <c r="H275" s="28">
        <f t="shared" si="4"/>
        <v>8578.24</v>
      </c>
      <c r="I275" s="29">
        <v>46020</v>
      </c>
    </row>
    <row r="276" spans="1:9" x14ac:dyDescent="0.3">
      <c r="A276" s="1" t="s">
        <v>17</v>
      </c>
      <c r="B276" s="1" t="s">
        <v>387</v>
      </c>
      <c r="C276" s="1" t="s">
        <v>208</v>
      </c>
      <c r="D276" s="1">
        <v>178525</v>
      </c>
      <c r="E276" s="1">
        <v>5548655754</v>
      </c>
      <c r="F276" s="2">
        <v>1328.56</v>
      </c>
      <c r="G276" s="2">
        <v>0</v>
      </c>
      <c r="H276" s="2">
        <f t="shared" si="4"/>
        <v>1328.56</v>
      </c>
      <c r="I276" s="6">
        <v>46020</v>
      </c>
    </row>
    <row r="277" spans="1:9" s="27" customFormat="1" x14ac:dyDescent="0.3">
      <c r="A277" s="27" t="s">
        <v>11</v>
      </c>
      <c r="B277" s="27" t="s">
        <v>365</v>
      </c>
      <c r="C277" s="27" t="s">
        <v>366</v>
      </c>
      <c r="D277" s="27">
        <v>178695</v>
      </c>
      <c r="E277" s="27">
        <v>5618889470</v>
      </c>
      <c r="F277" s="28">
        <v>2298</v>
      </c>
      <c r="G277" s="28">
        <v>0</v>
      </c>
      <c r="H277" s="28">
        <f t="shared" si="4"/>
        <v>2298</v>
      </c>
      <c r="I277" s="29">
        <v>46020</v>
      </c>
    </row>
    <row r="278" spans="1:9" x14ac:dyDescent="0.3">
      <c r="A278" s="1" t="s">
        <v>10</v>
      </c>
      <c r="B278" s="1" t="s">
        <v>389</v>
      </c>
      <c r="C278" s="1" t="s">
        <v>390</v>
      </c>
      <c r="D278" s="1">
        <v>178807</v>
      </c>
      <c r="E278" s="1">
        <v>5651061983</v>
      </c>
      <c r="F278" s="2">
        <v>1150</v>
      </c>
      <c r="G278" s="2">
        <v>500</v>
      </c>
      <c r="H278" s="2">
        <f t="shared" si="4"/>
        <v>1650</v>
      </c>
      <c r="I278" s="6">
        <v>46020</v>
      </c>
    </row>
    <row r="279" spans="1:9" s="27" customFormat="1" x14ac:dyDescent="0.3">
      <c r="A279" s="27" t="s">
        <v>10</v>
      </c>
      <c r="B279" s="27" t="s">
        <v>391</v>
      </c>
      <c r="C279" s="27" t="s">
        <v>392</v>
      </c>
      <c r="D279" s="27">
        <v>178518</v>
      </c>
      <c r="E279" s="27">
        <v>5538855169</v>
      </c>
      <c r="F279" s="28">
        <v>4135</v>
      </c>
      <c r="G279" s="28">
        <v>0</v>
      </c>
      <c r="H279" s="28">
        <f t="shared" si="4"/>
        <v>4135</v>
      </c>
      <c r="I279" s="29">
        <v>46020</v>
      </c>
    </row>
    <row r="280" spans="1:9" x14ac:dyDescent="0.3">
      <c r="A280" s="1" t="s">
        <v>10</v>
      </c>
      <c r="B280" s="1" t="s">
        <v>249</v>
      </c>
      <c r="C280" s="1" t="s">
        <v>393</v>
      </c>
      <c r="D280" s="1">
        <v>178544</v>
      </c>
      <c r="E280" s="1">
        <v>5535334019</v>
      </c>
      <c r="F280" s="2">
        <v>1300</v>
      </c>
      <c r="G280" s="2">
        <v>0</v>
      </c>
      <c r="H280" s="2">
        <f t="shared" si="4"/>
        <v>1300</v>
      </c>
      <c r="I280" s="6">
        <v>46020</v>
      </c>
    </row>
    <row r="281" spans="1:9" s="27" customFormat="1" x14ac:dyDescent="0.3">
      <c r="A281" s="27" t="s">
        <v>10</v>
      </c>
      <c r="B281" s="27" t="s">
        <v>249</v>
      </c>
      <c r="C281" s="27" t="s">
        <v>393</v>
      </c>
      <c r="D281" s="27">
        <v>178543</v>
      </c>
      <c r="E281" s="27">
        <v>5535334019</v>
      </c>
      <c r="F281" s="28">
        <v>1746</v>
      </c>
      <c r="G281" s="28">
        <v>0</v>
      </c>
      <c r="H281" s="28">
        <f t="shared" si="4"/>
        <v>1746</v>
      </c>
      <c r="I281" s="29">
        <v>46020</v>
      </c>
    </row>
    <row r="282" spans="1:9" x14ac:dyDescent="0.3">
      <c r="A282" s="1" t="s">
        <v>10</v>
      </c>
      <c r="B282" s="1" t="s">
        <v>221</v>
      </c>
      <c r="C282" s="1" t="s">
        <v>88</v>
      </c>
      <c r="D282" s="1">
        <v>295142</v>
      </c>
      <c r="E282" s="1">
        <v>5529870508</v>
      </c>
      <c r="F282" s="2">
        <v>2167</v>
      </c>
      <c r="G282" s="2">
        <v>450</v>
      </c>
      <c r="H282" s="2">
        <f t="shared" si="4"/>
        <v>2617</v>
      </c>
      <c r="I282" s="6">
        <v>46020</v>
      </c>
    </row>
    <row r="283" spans="1:9" s="21" customFormat="1" x14ac:dyDescent="0.3">
      <c r="A283" s="21" t="s">
        <v>11</v>
      </c>
      <c r="B283" s="21" t="s">
        <v>394</v>
      </c>
      <c r="C283" s="21" t="s">
        <v>292</v>
      </c>
      <c r="D283" s="21">
        <v>349453</v>
      </c>
      <c r="E283" s="21">
        <v>5544152434</v>
      </c>
      <c r="F283" s="22">
        <v>1190</v>
      </c>
      <c r="G283" s="22">
        <v>0</v>
      </c>
      <c r="H283" s="22">
        <f t="shared" si="4"/>
        <v>1190</v>
      </c>
      <c r="I283" s="23">
        <v>46021</v>
      </c>
    </row>
    <row r="284" spans="1:9" x14ac:dyDescent="0.3">
      <c r="A284" s="1" t="s">
        <v>11</v>
      </c>
      <c r="B284" s="1" t="s">
        <v>394</v>
      </c>
      <c r="C284" s="1" t="s">
        <v>292</v>
      </c>
      <c r="D284" s="1">
        <v>349447</v>
      </c>
      <c r="E284" s="1">
        <v>5544152434</v>
      </c>
      <c r="F284" s="2">
        <v>14393.32</v>
      </c>
      <c r="G284" s="2">
        <v>0</v>
      </c>
      <c r="H284" s="2">
        <f t="shared" si="4"/>
        <v>14393.32</v>
      </c>
      <c r="I284" s="6">
        <v>46021</v>
      </c>
    </row>
    <row r="285" spans="1:9" s="21" customFormat="1" x14ac:dyDescent="0.3">
      <c r="A285" s="21" t="s">
        <v>11</v>
      </c>
      <c r="B285" s="21" t="s">
        <v>394</v>
      </c>
      <c r="C285" s="21" t="s">
        <v>292</v>
      </c>
      <c r="D285" s="21">
        <v>349446</v>
      </c>
      <c r="E285" s="21">
        <v>5544152434</v>
      </c>
      <c r="F285" s="22">
        <v>2107.64</v>
      </c>
      <c r="G285" s="22">
        <v>0</v>
      </c>
      <c r="H285" s="22">
        <f t="shared" si="4"/>
        <v>2107.64</v>
      </c>
      <c r="I285" s="23">
        <v>46021</v>
      </c>
    </row>
    <row r="286" spans="1:9" x14ac:dyDescent="0.3">
      <c r="A286" s="1" t="s">
        <v>11</v>
      </c>
      <c r="B286" s="1" t="s">
        <v>57</v>
      </c>
      <c r="C286" s="1" t="s">
        <v>58</v>
      </c>
      <c r="D286" s="1">
        <v>295108</v>
      </c>
      <c r="F286" s="2">
        <v>29663.65</v>
      </c>
      <c r="G286" s="2">
        <v>0</v>
      </c>
      <c r="H286" s="2">
        <f t="shared" si="4"/>
        <v>29663.65</v>
      </c>
      <c r="I286" s="6">
        <v>46021</v>
      </c>
    </row>
    <row r="287" spans="1:9" s="21" customFormat="1" x14ac:dyDescent="0.3">
      <c r="A287" s="21" t="s">
        <v>11</v>
      </c>
      <c r="B287" s="21" t="s">
        <v>57</v>
      </c>
      <c r="C287" s="21" t="s">
        <v>58</v>
      </c>
      <c r="D287" s="21">
        <v>295110</v>
      </c>
      <c r="F287" s="22">
        <v>17761.29</v>
      </c>
      <c r="G287" s="22">
        <v>0</v>
      </c>
      <c r="H287" s="22">
        <f t="shared" si="4"/>
        <v>17761.29</v>
      </c>
      <c r="I287" s="23">
        <v>46021</v>
      </c>
    </row>
    <row r="288" spans="1:9" x14ac:dyDescent="0.3">
      <c r="A288" s="1" t="s">
        <v>17</v>
      </c>
      <c r="B288" s="1" t="s">
        <v>395</v>
      </c>
      <c r="C288" s="1" t="s">
        <v>74</v>
      </c>
      <c r="D288" s="1">
        <v>349641</v>
      </c>
      <c r="E288" s="1">
        <v>5521516608</v>
      </c>
      <c r="F288" s="2">
        <v>3504</v>
      </c>
      <c r="G288" s="2">
        <v>0</v>
      </c>
      <c r="H288" s="2">
        <f t="shared" si="4"/>
        <v>3504</v>
      </c>
      <c r="I288" s="6">
        <v>46021</v>
      </c>
    </row>
    <row r="289" spans="1:9" s="21" customFormat="1" x14ac:dyDescent="0.3">
      <c r="A289" s="21" t="s">
        <v>17</v>
      </c>
      <c r="B289" s="21" t="s">
        <v>396</v>
      </c>
      <c r="C289" s="21" t="s">
        <v>167</v>
      </c>
      <c r="D289" s="21">
        <v>349666</v>
      </c>
      <c r="E289" s="21">
        <v>5557557642</v>
      </c>
      <c r="F289" s="22">
        <v>8195.99</v>
      </c>
      <c r="G289" s="22">
        <v>0</v>
      </c>
      <c r="H289" s="22">
        <f t="shared" si="4"/>
        <v>8195.99</v>
      </c>
      <c r="I289" s="23">
        <v>46021</v>
      </c>
    </row>
    <row r="290" spans="1:9" x14ac:dyDescent="0.3">
      <c r="A290" s="1" t="s">
        <v>17</v>
      </c>
      <c r="B290" s="1" t="s">
        <v>397</v>
      </c>
      <c r="C290" s="1" t="s">
        <v>218</v>
      </c>
      <c r="D290" s="1">
        <v>179106</v>
      </c>
      <c r="E290" s="1">
        <v>5520393826</v>
      </c>
      <c r="F290" s="2">
        <v>3888</v>
      </c>
      <c r="G290" s="2">
        <v>0</v>
      </c>
      <c r="H290" s="2">
        <f t="shared" si="4"/>
        <v>3888</v>
      </c>
      <c r="I290" s="6">
        <v>46021</v>
      </c>
    </row>
    <row r="291" spans="1:9" s="21" customFormat="1" x14ac:dyDescent="0.3">
      <c r="A291" s="21" t="s">
        <v>17</v>
      </c>
      <c r="B291" s="21" t="s">
        <v>66</v>
      </c>
      <c r="C291" s="21" t="s">
        <v>274</v>
      </c>
      <c r="D291" s="21">
        <v>295280</v>
      </c>
      <c r="E291" s="21">
        <v>5534651744</v>
      </c>
      <c r="F291" s="22">
        <v>11190</v>
      </c>
      <c r="G291" s="22">
        <v>0</v>
      </c>
      <c r="H291" s="22">
        <f t="shared" si="4"/>
        <v>11190</v>
      </c>
      <c r="I291" s="23">
        <v>46021</v>
      </c>
    </row>
    <row r="292" spans="1:9" x14ac:dyDescent="0.3">
      <c r="A292" s="1" t="s">
        <v>17</v>
      </c>
      <c r="B292" s="1" t="s">
        <v>66</v>
      </c>
      <c r="C292" s="1" t="s">
        <v>274</v>
      </c>
      <c r="D292" s="1">
        <v>295279</v>
      </c>
      <c r="E292" s="1">
        <v>5534651744</v>
      </c>
      <c r="F292" s="2">
        <v>1286.99</v>
      </c>
      <c r="G292" s="2">
        <v>0</v>
      </c>
      <c r="H292" s="2">
        <f t="shared" si="4"/>
        <v>1286.99</v>
      </c>
      <c r="I292" s="6">
        <v>46021</v>
      </c>
    </row>
    <row r="293" spans="1:9" s="21" customFormat="1" x14ac:dyDescent="0.3">
      <c r="A293" s="21" t="s">
        <v>17</v>
      </c>
      <c r="B293" s="21" t="s">
        <v>398</v>
      </c>
      <c r="C293" s="21" t="s">
        <v>253</v>
      </c>
      <c r="D293" s="21">
        <v>349546</v>
      </c>
      <c r="E293" s="21">
        <v>5535173661</v>
      </c>
      <c r="F293" s="22">
        <v>11904.99</v>
      </c>
      <c r="G293" s="22">
        <v>0</v>
      </c>
      <c r="H293" s="22">
        <f t="shared" si="4"/>
        <v>11904.99</v>
      </c>
      <c r="I293" s="23">
        <v>46021</v>
      </c>
    </row>
    <row r="294" spans="1:9" x14ac:dyDescent="0.3">
      <c r="A294" s="1" t="s">
        <v>17</v>
      </c>
      <c r="B294" s="1" t="s">
        <v>376</v>
      </c>
      <c r="C294" s="1" t="s">
        <v>377</v>
      </c>
      <c r="D294" s="1">
        <v>178668</v>
      </c>
      <c r="E294" s="1">
        <v>5548189080</v>
      </c>
      <c r="F294" s="2">
        <v>7150</v>
      </c>
      <c r="G294" s="2">
        <v>0</v>
      </c>
      <c r="H294" s="2">
        <f t="shared" si="4"/>
        <v>7150</v>
      </c>
      <c r="I294" s="6">
        <v>46021</v>
      </c>
    </row>
    <row r="295" spans="1:9" s="21" customFormat="1" x14ac:dyDescent="0.3">
      <c r="A295" s="21" t="s">
        <v>17</v>
      </c>
      <c r="B295" s="21" t="s">
        <v>67</v>
      </c>
      <c r="C295" s="21" t="s">
        <v>68</v>
      </c>
      <c r="D295" s="21">
        <v>295184</v>
      </c>
      <c r="E295" s="21">
        <v>5543450209</v>
      </c>
      <c r="F295" s="22">
        <v>8165.99</v>
      </c>
      <c r="G295" s="22">
        <v>0</v>
      </c>
      <c r="H295" s="22">
        <f t="shared" si="4"/>
        <v>8165.99</v>
      </c>
      <c r="I295" s="23">
        <v>46021</v>
      </c>
    </row>
    <row r="296" spans="1:9" x14ac:dyDescent="0.3">
      <c r="A296" s="1" t="s">
        <v>10</v>
      </c>
      <c r="B296" s="1" t="s">
        <v>402</v>
      </c>
      <c r="C296" s="1" t="s">
        <v>60</v>
      </c>
      <c r="D296" s="1">
        <v>295114</v>
      </c>
      <c r="E296" s="1">
        <v>5574395989</v>
      </c>
      <c r="F296" s="2">
        <v>3250</v>
      </c>
      <c r="G296" s="2">
        <v>0</v>
      </c>
      <c r="H296" s="2">
        <f t="shared" si="4"/>
        <v>3250</v>
      </c>
      <c r="I296" s="6">
        <v>46021</v>
      </c>
    </row>
    <row r="297" spans="1:9" s="21" customFormat="1" x14ac:dyDescent="0.3">
      <c r="A297" s="21" t="s">
        <v>10</v>
      </c>
      <c r="B297" s="21" t="s">
        <v>122</v>
      </c>
      <c r="C297" s="21" t="s">
        <v>123</v>
      </c>
      <c r="D297" s="21">
        <v>179038</v>
      </c>
      <c r="E297" s="21">
        <v>5526754082</v>
      </c>
      <c r="F297" s="22">
        <v>568</v>
      </c>
      <c r="G297" s="22">
        <v>0</v>
      </c>
      <c r="H297" s="22">
        <f t="shared" si="4"/>
        <v>568</v>
      </c>
      <c r="I297" s="23">
        <v>46021</v>
      </c>
    </row>
    <row r="298" spans="1:9" x14ac:dyDescent="0.3">
      <c r="A298" s="1" t="s">
        <v>10</v>
      </c>
      <c r="B298" s="1" t="s">
        <v>399</v>
      </c>
      <c r="C298" s="1" t="s">
        <v>60</v>
      </c>
      <c r="D298" s="1">
        <v>179180</v>
      </c>
      <c r="E298" s="1">
        <v>5614236858</v>
      </c>
      <c r="F298" s="2">
        <v>1892</v>
      </c>
      <c r="G298" s="2">
        <v>0</v>
      </c>
      <c r="H298" s="2">
        <f t="shared" si="4"/>
        <v>1892</v>
      </c>
      <c r="I298" s="6">
        <v>46021</v>
      </c>
    </row>
    <row r="299" spans="1:9" s="21" customFormat="1" x14ac:dyDescent="0.3">
      <c r="A299" s="21" t="s">
        <v>10</v>
      </c>
      <c r="B299" s="21" t="s">
        <v>399</v>
      </c>
      <c r="C299" s="21" t="s">
        <v>60</v>
      </c>
      <c r="D299" s="21">
        <v>295169</v>
      </c>
      <c r="E299" s="21">
        <v>5614236858</v>
      </c>
      <c r="F299" s="22">
        <v>3406.28</v>
      </c>
      <c r="G299" s="22">
        <v>0</v>
      </c>
      <c r="H299" s="22">
        <f t="shared" si="4"/>
        <v>3406.28</v>
      </c>
      <c r="I299" s="23">
        <v>46021</v>
      </c>
    </row>
    <row r="300" spans="1:9" x14ac:dyDescent="0.3">
      <c r="A300" s="1" t="s">
        <v>10</v>
      </c>
      <c r="B300" s="1" t="s">
        <v>400</v>
      </c>
      <c r="C300" s="1" t="s">
        <v>56</v>
      </c>
      <c r="D300" s="1">
        <v>295006</v>
      </c>
      <c r="E300" s="1">
        <v>5536791358</v>
      </c>
      <c r="F300" s="2">
        <v>7911.92</v>
      </c>
      <c r="G300" s="2">
        <v>0</v>
      </c>
      <c r="H300" s="2">
        <f t="shared" si="4"/>
        <v>7911.92</v>
      </c>
      <c r="I300" s="6">
        <v>46021</v>
      </c>
    </row>
    <row r="301" spans="1:9" s="21" customFormat="1" x14ac:dyDescent="0.3">
      <c r="A301" s="21" t="s">
        <v>10</v>
      </c>
      <c r="B301" s="21" t="s">
        <v>401</v>
      </c>
      <c r="C301" s="21" t="s">
        <v>403</v>
      </c>
      <c r="D301" s="21">
        <v>349545</v>
      </c>
      <c r="E301" s="21">
        <v>5521148584</v>
      </c>
      <c r="F301" s="22">
        <v>6030</v>
      </c>
      <c r="G301" s="22">
        <v>0</v>
      </c>
      <c r="H301" s="22">
        <f t="shared" si="4"/>
        <v>6030</v>
      </c>
      <c r="I301" s="23">
        <v>46021</v>
      </c>
    </row>
    <row r="302" spans="1:9" x14ac:dyDescent="0.3">
      <c r="A302" s="1" t="s">
        <v>10</v>
      </c>
      <c r="B302" s="1" t="s">
        <v>404</v>
      </c>
      <c r="C302" s="1" t="s">
        <v>405</v>
      </c>
      <c r="D302" s="1">
        <v>179358</v>
      </c>
      <c r="E302" s="1">
        <v>5529550516</v>
      </c>
      <c r="F302" s="2">
        <v>2936</v>
      </c>
      <c r="G302" s="2">
        <v>0</v>
      </c>
      <c r="H302" s="2">
        <f t="shared" si="4"/>
        <v>2936</v>
      </c>
      <c r="I302" s="6">
        <v>46022</v>
      </c>
    </row>
    <row r="303" spans="1:9" s="27" customFormat="1" x14ac:dyDescent="0.3">
      <c r="A303" s="27" t="s">
        <v>10</v>
      </c>
      <c r="B303" s="27" t="s">
        <v>406</v>
      </c>
      <c r="C303" s="27" t="s">
        <v>153</v>
      </c>
      <c r="D303" s="27">
        <v>179295</v>
      </c>
      <c r="E303" s="27">
        <v>5516528755</v>
      </c>
      <c r="F303" s="28">
        <v>3000</v>
      </c>
      <c r="G303" s="28">
        <v>0</v>
      </c>
      <c r="H303" s="28">
        <f t="shared" si="4"/>
        <v>3000</v>
      </c>
      <c r="I303" s="29">
        <v>46022</v>
      </c>
    </row>
    <row r="304" spans="1:9" x14ac:dyDescent="0.3">
      <c r="A304" s="1" t="s">
        <v>10</v>
      </c>
      <c r="B304" s="1" t="s">
        <v>407</v>
      </c>
      <c r="C304" s="1" t="s">
        <v>237</v>
      </c>
      <c r="D304" s="1">
        <v>349634</v>
      </c>
      <c r="E304" s="1">
        <v>5538288838</v>
      </c>
      <c r="F304" s="2">
        <v>14300</v>
      </c>
      <c r="G304" s="2">
        <v>0</v>
      </c>
      <c r="H304" s="2">
        <f t="shared" si="4"/>
        <v>14300</v>
      </c>
      <c r="I304" s="6">
        <v>46022</v>
      </c>
    </row>
    <row r="305" spans="1:9" s="27" customFormat="1" x14ac:dyDescent="0.3">
      <c r="A305" s="27" t="s">
        <v>10</v>
      </c>
      <c r="B305" s="27" t="s">
        <v>418</v>
      </c>
      <c r="C305" s="27" t="s">
        <v>88</v>
      </c>
      <c r="D305" s="27">
        <v>178818</v>
      </c>
      <c r="E305" s="27">
        <v>5566305829</v>
      </c>
      <c r="F305" s="28">
        <v>2262.8000000000002</v>
      </c>
      <c r="G305" s="28">
        <v>0</v>
      </c>
      <c r="H305" s="28">
        <f t="shared" si="4"/>
        <v>2262.8000000000002</v>
      </c>
      <c r="I305" s="29">
        <v>46022</v>
      </c>
    </row>
    <row r="306" spans="1:9" x14ac:dyDescent="0.3">
      <c r="A306" s="1" t="s">
        <v>10</v>
      </c>
      <c r="B306" s="1" t="s">
        <v>408</v>
      </c>
      <c r="C306" s="1" t="s">
        <v>88</v>
      </c>
      <c r="D306" s="1">
        <v>178837</v>
      </c>
      <c r="E306" s="1">
        <v>5616287678</v>
      </c>
      <c r="F306" s="2">
        <v>3415</v>
      </c>
      <c r="G306" s="2">
        <v>0</v>
      </c>
      <c r="H306" s="2">
        <f t="shared" si="4"/>
        <v>3415</v>
      </c>
      <c r="I306" s="6">
        <v>46022</v>
      </c>
    </row>
    <row r="307" spans="1:9" s="27" customFormat="1" x14ac:dyDescent="0.3">
      <c r="A307" s="27" t="s">
        <v>17</v>
      </c>
      <c r="B307" s="27" t="s">
        <v>245</v>
      </c>
      <c r="C307" s="27" t="s">
        <v>276</v>
      </c>
      <c r="D307" s="27">
        <v>178971</v>
      </c>
      <c r="E307" s="27">
        <v>5511246200</v>
      </c>
      <c r="F307" s="28">
        <v>9843.27</v>
      </c>
      <c r="G307" s="28">
        <v>0</v>
      </c>
      <c r="H307" s="28">
        <f t="shared" si="4"/>
        <v>9843.27</v>
      </c>
      <c r="I307" s="29">
        <v>46022</v>
      </c>
    </row>
    <row r="308" spans="1:9" x14ac:dyDescent="0.3">
      <c r="A308" s="1" t="s">
        <v>17</v>
      </c>
      <c r="B308" s="1" t="s">
        <v>419</v>
      </c>
      <c r="C308" s="1" t="s">
        <v>409</v>
      </c>
      <c r="D308" s="1">
        <v>295390</v>
      </c>
      <c r="E308" s="1">
        <v>5538223623</v>
      </c>
      <c r="F308" s="2">
        <v>1840</v>
      </c>
      <c r="G308" s="2">
        <v>0</v>
      </c>
      <c r="H308" s="2">
        <f t="shared" si="4"/>
        <v>1840</v>
      </c>
      <c r="I308" s="6">
        <v>46022</v>
      </c>
    </row>
    <row r="309" spans="1:9" s="27" customFormat="1" x14ac:dyDescent="0.3">
      <c r="A309" s="27" t="s">
        <v>17</v>
      </c>
      <c r="B309" s="27" t="s">
        <v>410</v>
      </c>
      <c r="C309" s="27" t="s">
        <v>341</v>
      </c>
      <c r="D309" s="27">
        <v>179331</v>
      </c>
      <c r="E309" s="27">
        <v>5528157621</v>
      </c>
      <c r="F309" s="28">
        <v>917</v>
      </c>
      <c r="G309" s="28">
        <v>0</v>
      </c>
      <c r="H309" s="28">
        <f t="shared" si="4"/>
        <v>917</v>
      </c>
      <c r="I309" s="29">
        <v>46022</v>
      </c>
    </row>
    <row r="310" spans="1:9" x14ac:dyDescent="0.3">
      <c r="A310" s="1" t="s">
        <v>17</v>
      </c>
      <c r="B310" s="1" t="s">
        <v>348</v>
      </c>
      <c r="C310" s="1" t="s">
        <v>417</v>
      </c>
      <c r="D310" s="1">
        <v>179319</v>
      </c>
      <c r="E310" s="1">
        <v>5574136155</v>
      </c>
      <c r="F310" s="2">
        <v>5646</v>
      </c>
      <c r="G310" s="2">
        <v>0</v>
      </c>
      <c r="H310" s="2">
        <f t="shared" si="4"/>
        <v>5646</v>
      </c>
      <c r="I310" s="6">
        <v>46022</v>
      </c>
    </row>
    <row r="311" spans="1:9" s="27" customFormat="1" x14ac:dyDescent="0.3">
      <c r="A311" s="27" t="s">
        <v>17</v>
      </c>
      <c r="B311" s="27" t="s">
        <v>411</v>
      </c>
      <c r="C311" s="27" t="s">
        <v>117</v>
      </c>
      <c r="D311" s="27">
        <v>295387</v>
      </c>
      <c r="E311" s="27">
        <v>5518866544</v>
      </c>
      <c r="F311" s="28">
        <v>520</v>
      </c>
      <c r="G311" s="28">
        <v>0</v>
      </c>
      <c r="H311" s="28">
        <f t="shared" si="4"/>
        <v>520</v>
      </c>
      <c r="I311" s="29">
        <v>46022</v>
      </c>
    </row>
    <row r="312" spans="1:9" x14ac:dyDescent="0.3">
      <c r="A312" s="1" t="s">
        <v>17</v>
      </c>
      <c r="B312" s="1" t="s">
        <v>412</v>
      </c>
      <c r="C312" s="1" t="s">
        <v>201</v>
      </c>
      <c r="D312" s="1">
        <v>295396</v>
      </c>
      <c r="E312" s="1">
        <v>9981951537</v>
      </c>
      <c r="F312" s="2">
        <v>18040</v>
      </c>
      <c r="G312" s="2">
        <v>0</v>
      </c>
      <c r="H312" s="2">
        <f t="shared" si="4"/>
        <v>18040</v>
      </c>
      <c r="I312" s="6">
        <v>46022</v>
      </c>
    </row>
    <row r="313" spans="1:9" s="27" customFormat="1" x14ac:dyDescent="0.3">
      <c r="A313" s="27" t="s">
        <v>11</v>
      </c>
      <c r="B313" s="27" t="s">
        <v>224</v>
      </c>
      <c r="C313" s="27" t="s">
        <v>46</v>
      </c>
      <c r="D313" s="27">
        <v>295223</v>
      </c>
      <c r="E313" s="27">
        <v>5539564988</v>
      </c>
      <c r="F313" s="28">
        <v>4151.16</v>
      </c>
      <c r="G313" s="28">
        <v>0</v>
      </c>
      <c r="H313" s="28">
        <f t="shared" si="4"/>
        <v>4151.16</v>
      </c>
      <c r="I313" s="29">
        <v>46022</v>
      </c>
    </row>
    <row r="314" spans="1:9" x14ac:dyDescent="0.3">
      <c r="A314" s="1" t="s">
        <v>11</v>
      </c>
      <c r="B314" s="1" t="s">
        <v>413</v>
      </c>
      <c r="C314" s="1" t="s">
        <v>414</v>
      </c>
      <c r="D314" s="1">
        <v>178994</v>
      </c>
      <c r="E314" s="1">
        <v>4461381662</v>
      </c>
      <c r="F314" s="2">
        <v>2600</v>
      </c>
      <c r="G314" s="2">
        <v>0</v>
      </c>
      <c r="H314" s="2">
        <f t="shared" si="4"/>
        <v>2600</v>
      </c>
      <c r="I314" s="6">
        <v>46022</v>
      </c>
    </row>
    <row r="315" spans="1:9" s="27" customFormat="1" x14ac:dyDescent="0.3">
      <c r="A315" s="27" t="s">
        <v>11</v>
      </c>
      <c r="B315" s="27" t="s">
        <v>415</v>
      </c>
      <c r="C315" s="27" t="s">
        <v>416</v>
      </c>
      <c r="D315" s="27">
        <v>179325</v>
      </c>
      <c r="E315" s="27">
        <v>5574480027</v>
      </c>
      <c r="F315" s="28">
        <v>1950</v>
      </c>
      <c r="G315" s="28">
        <v>0</v>
      </c>
      <c r="H315" s="28">
        <f t="shared" si="4"/>
        <v>1950</v>
      </c>
      <c r="I315" s="29">
        <v>46022</v>
      </c>
    </row>
    <row r="316" spans="1:9" x14ac:dyDescent="0.3">
      <c r="A316" s="1" t="s">
        <v>11</v>
      </c>
      <c r="B316" s="2" t="s">
        <v>367</v>
      </c>
      <c r="C316" s="1" t="s">
        <v>84</v>
      </c>
      <c r="D316" s="1">
        <v>179308</v>
      </c>
      <c r="E316" s="1">
        <v>5525106292</v>
      </c>
      <c r="F316" s="2">
        <v>217</v>
      </c>
      <c r="G316" s="2">
        <v>0</v>
      </c>
      <c r="H316" s="2">
        <f t="shared" si="4"/>
        <v>217</v>
      </c>
      <c r="I316" s="6">
        <v>46022</v>
      </c>
    </row>
    <row r="317" spans="1:9" s="27" customFormat="1" x14ac:dyDescent="0.3">
      <c r="A317" s="27" t="s">
        <v>47</v>
      </c>
      <c r="B317" s="27" t="s">
        <v>420</v>
      </c>
      <c r="C317" s="27" t="s">
        <v>80</v>
      </c>
      <c r="D317" s="27">
        <v>349626</v>
      </c>
      <c r="E317" s="27">
        <v>5542518119</v>
      </c>
      <c r="F317" s="28">
        <v>4205.6000000000004</v>
      </c>
      <c r="G317" s="28">
        <v>0</v>
      </c>
      <c r="H317" s="28">
        <f t="shared" si="4"/>
        <v>4205.6000000000004</v>
      </c>
      <c r="I317" s="29">
        <v>46022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C3577-82F2-41F9-A309-D7595A3B1DCD}">
  <sheetPr codeName="Hoja3"/>
  <dimension ref="A1:C1147"/>
  <sheetViews>
    <sheetView topLeftCell="A905" workbookViewId="0">
      <selection activeCell="B16" sqref="B16"/>
    </sheetView>
  </sheetViews>
  <sheetFormatPr baseColWidth="10" defaultRowHeight="16.5" x14ac:dyDescent="0.3"/>
  <cols>
    <col min="1" max="1" width="43.28515625" style="35" customWidth="1"/>
    <col min="2" max="2" width="41.42578125" style="35" customWidth="1"/>
    <col min="3" max="3" width="13.7109375" style="35" bestFit="1" customWidth="1"/>
  </cols>
  <sheetData>
    <row r="1" spans="1:3" ht="15" x14ac:dyDescent="0.25">
      <c r="A1" s="34" t="s">
        <v>596</v>
      </c>
      <c r="B1" s="34" t="s">
        <v>597</v>
      </c>
      <c r="C1" s="34" t="s">
        <v>598</v>
      </c>
    </row>
    <row r="2" spans="1:3" x14ac:dyDescent="0.3">
      <c r="A2" s="12" t="s">
        <v>298</v>
      </c>
      <c r="B2" s="12" t="s">
        <v>421</v>
      </c>
      <c r="C2" s="12">
        <v>5591940032</v>
      </c>
    </row>
    <row r="3" spans="1:3" x14ac:dyDescent="0.3">
      <c r="A3" s="1" t="s">
        <v>298</v>
      </c>
      <c r="B3" s="1" t="s">
        <v>421</v>
      </c>
      <c r="C3" s="1">
        <v>5591940032</v>
      </c>
    </row>
    <row r="4" spans="1:3" x14ac:dyDescent="0.3">
      <c r="A4" s="12" t="s">
        <v>298</v>
      </c>
      <c r="B4" s="12" t="s">
        <v>421</v>
      </c>
      <c r="C4" s="12">
        <v>5591940032</v>
      </c>
    </row>
    <row r="5" spans="1:3" x14ac:dyDescent="0.3">
      <c r="A5" s="1" t="s">
        <v>8</v>
      </c>
      <c r="B5" s="1" t="s">
        <v>9</v>
      </c>
      <c r="C5" s="1">
        <v>3223271287</v>
      </c>
    </row>
    <row r="6" spans="1:3" x14ac:dyDescent="0.3">
      <c r="A6" s="12" t="s">
        <v>422</v>
      </c>
      <c r="B6" s="12" t="s">
        <v>68</v>
      </c>
      <c r="C6" s="12">
        <v>5520706498</v>
      </c>
    </row>
    <row r="7" spans="1:3" x14ac:dyDescent="0.3">
      <c r="A7" s="1" t="s">
        <v>158</v>
      </c>
      <c r="B7" s="1" t="s">
        <v>159</v>
      </c>
      <c r="C7" s="1">
        <v>5570826626</v>
      </c>
    </row>
    <row r="8" spans="1:3" x14ac:dyDescent="0.3">
      <c r="A8" s="12" t="s">
        <v>423</v>
      </c>
      <c r="B8" s="12" t="s">
        <v>201</v>
      </c>
      <c r="C8" s="12">
        <v>9981951537</v>
      </c>
    </row>
    <row r="9" spans="1:3" x14ac:dyDescent="0.3">
      <c r="A9" s="1" t="s">
        <v>424</v>
      </c>
      <c r="B9" s="1" t="s">
        <v>425</v>
      </c>
      <c r="C9" s="1">
        <v>5517957453</v>
      </c>
    </row>
    <row r="10" spans="1:3" x14ac:dyDescent="0.3">
      <c r="A10" s="12" t="s">
        <v>426</v>
      </c>
      <c r="B10" s="12" t="s">
        <v>63</v>
      </c>
      <c r="C10" s="12">
        <v>5514407771</v>
      </c>
    </row>
    <row r="11" spans="1:3" x14ac:dyDescent="0.3">
      <c r="A11" s="1" t="s">
        <v>427</v>
      </c>
      <c r="B11" s="1" t="s">
        <v>324</v>
      </c>
      <c r="C11" s="1">
        <v>5516934636</v>
      </c>
    </row>
    <row r="12" spans="1:3" x14ac:dyDescent="0.3">
      <c r="A12" s="27" t="s">
        <v>428</v>
      </c>
      <c r="B12" s="27" t="s">
        <v>429</v>
      </c>
      <c r="C12" s="27">
        <v>5571687373</v>
      </c>
    </row>
    <row r="13" spans="1:3" x14ac:dyDescent="0.3">
      <c r="A13" s="1" t="s">
        <v>430</v>
      </c>
      <c r="B13" s="1" t="s">
        <v>431</v>
      </c>
      <c r="C13" s="1">
        <v>5566729678</v>
      </c>
    </row>
    <row r="14" spans="1:3" x14ac:dyDescent="0.3">
      <c r="A14" s="27" t="s">
        <v>441</v>
      </c>
      <c r="B14" s="27" t="s">
        <v>138</v>
      </c>
      <c r="C14" s="27">
        <v>5558383479</v>
      </c>
    </row>
    <row r="15" spans="1:3" x14ac:dyDescent="0.3">
      <c r="A15" s="1" t="s">
        <v>432</v>
      </c>
      <c r="B15" s="1" t="s">
        <v>531</v>
      </c>
      <c r="C15" s="1">
        <v>5614639380</v>
      </c>
    </row>
    <row r="16" spans="1:3" x14ac:dyDescent="0.3">
      <c r="A16" s="27" t="s">
        <v>434</v>
      </c>
      <c r="B16" s="27" t="s">
        <v>435</v>
      </c>
      <c r="C16" s="27">
        <v>5578942575</v>
      </c>
    </row>
    <row r="17" spans="1:3" x14ac:dyDescent="0.3">
      <c r="A17" s="1" t="s">
        <v>436</v>
      </c>
      <c r="B17" s="1" t="s">
        <v>74</v>
      </c>
      <c r="C17" s="1">
        <v>5542058607</v>
      </c>
    </row>
    <row r="18" spans="1:3" x14ac:dyDescent="0.3">
      <c r="A18" s="27" t="s">
        <v>437</v>
      </c>
      <c r="B18" s="27" t="s">
        <v>74</v>
      </c>
      <c r="C18" s="27">
        <v>5534878157</v>
      </c>
    </row>
    <row r="19" spans="1:3" x14ac:dyDescent="0.3">
      <c r="A19" s="5" t="s">
        <v>438</v>
      </c>
      <c r="B19" s="1" t="s">
        <v>208</v>
      </c>
      <c r="C19" s="1">
        <v>5545305498</v>
      </c>
    </row>
    <row r="20" spans="1:3" x14ac:dyDescent="0.3">
      <c r="A20" s="27" t="s">
        <v>439</v>
      </c>
      <c r="B20" s="27" t="s">
        <v>440</v>
      </c>
      <c r="C20" s="27">
        <v>5536604891</v>
      </c>
    </row>
    <row r="21" spans="1:3" x14ac:dyDescent="0.3">
      <c r="A21" s="1" t="s">
        <v>442</v>
      </c>
      <c r="B21" s="1" t="s">
        <v>26</v>
      </c>
      <c r="C21" s="1">
        <v>5557572636</v>
      </c>
    </row>
    <row r="22" spans="1:3" x14ac:dyDescent="0.3">
      <c r="A22" s="21" t="s">
        <v>136</v>
      </c>
      <c r="B22" s="21" t="s">
        <v>4</v>
      </c>
      <c r="C22" s="21">
        <v>5550543681</v>
      </c>
    </row>
    <row r="23" spans="1:3" x14ac:dyDescent="0.3">
      <c r="A23" s="5" t="s">
        <v>136</v>
      </c>
      <c r="B23" s="5" t="s">
        <v>4</v>
      </c>
      <c r="C23" s="5">
        <v>5550543681</v>
      </c>
    </row>
    <row r="24" spans="1:3" x14ac:dyDescent="0.3">
      <c r="A24" s="21" t="s">
        <v>136</v>
      </c>
      <c r="B24" s="21" t="s">
        <v>4</v>
      </c>
      <c r="C24" s="21">
        <v>5550543681</v>
      </c>
    </row>
    <row r="25" spans="1:3" x14ac:dyDescent="0.3">
      <c r="A25" s="5" t="s">
        <v>443</v>
      </c>
      <c r="B25" s="5" t="s">
        <v>444</v>
      </c>
      <c r="C25" s="5">
        <v>5529550516</v>
      </c>
    </row>
    <row r="26" spans="1:3" x14ac:dyDescent="0.3">
      <c r="A26" s="21" t="s">
        <v>445</v>
      </c>
      <c r="B26" s="21" t="s">
        <v>446</v>
      </c>
      <c r="C26" s="21">
        <v>5618867336</v>
      </c>
    </row>
    <row r="27" spans="1:3" x14ac:dyDescent="0.3">
      <c r="A27" s="5" t="s">
        <v>447</v>
      </c>
      <c r="B27" s="5" t="s">
        <v>431</v>
      </c>
      <c r="C27" s="5">
        <v>5566729678</v>
      </c>
    </row>
    <row r="28" spans="1:3" x14ac:dyDescent="0.3">
      <c r="A28" s="21" t="s">
        <v>448</v>
      </c>
      <c r="B28" s="21" t="s">
        <v>218</v>
      </c>
      <c r="C28" s="21">
        <v>5539511994</v>
      </c>
    </row>
    <row r="29" spans="1:3" x14ac:dyDescent="0.3">
      <c r="A29" s="5" t="s">
        <v>448</v>
      </c>
      <c r="B29" s="5" t="s">
        <v>218</v>
      </c>
      <c r="C29" s="5">
        <v>5539511994</v>
      </c>
    </row>
    <row r="30" spans="1:3" x14ac:dyDescent="0.3">
      <c r="A30" s="21" t="s">
        <v>188</v>
      </c>
      <c r="B30" s="21" t="s">
        <v>187</v>
      </c>
      <c r="C30" s="21">
        <v>5529849094</v>
      </c>
    </row>
    <row r="31" spans="1:3" x14ac:dyDescent="0.3">
      <c r="A31" s="5" t="s">
        <v>442</v>
      </c>
      <c r="B31" s="5" t="s">
        <v>26</v>
      </c>
      <c r="C31" s="5">
        <v>5557572636</v>
      </c>
    </row>
    <row r="32" spans="1:3" x14ac:dyDescent="0.3">
      <c r="A32" s="21" t="s">
        <v>449</v>
      </c>
      <c r="B32" s="21" t="s">
        <v>113</v>
      </c>
      <c r="C32" s="21">
        <v>5585922461</v>
      </c>
    </row>
    <row r="33" spans="1:3" x14ac:dyDescent="0.3">
      <c r="A33" s="5" t="s">
        <v>449</v>
      </c>
      <c r="B33" s="5" t="s">
        <v>113</v>
      </c>
      <c r="C33" s="5">
        <v>5585922461</v>
      </c>
    </row>
    <row r="34" spans="1:3" x14ac:dyDescent="0.3">
      <c r="A34" s="21" t="s">
        <v>451</v>
      </c>
      <c r="B34" s="21" t="s">
        <v>450</v>
      </c>
      <c r="C34" s="21">
        <v>5519870496</v>
      </c>
    </row>
    <row r="35" spans="1:3" x14ac:dyDescent="0.3">
      <c r="A35" s="5" t="s">
        <v>452</v>
      </c>
      <c r="B35" s="5" t="s">
        <v>453</v>
      </c>
      <c r="C35" s="5">
        <v>5614731053</v>
      </c>
    </row>
    <row r="36" spans="1:3" x14ac:dyDescent="0.3">
      <c r="A36" s="21" t="s">
        <v>452</v>
      </c>
      <c r="B36" s="21" t="s">
        <v>453</v>
      </c>
      <c r="C36" s="21">
        <v>5614731053</v>
      </c>
    </row>
    <row r="37" spans="1:3" x14ac:dyDescent="0.3">
      <c r="A37" s="5" t="s">
        <v>452</v>
      </c>
      <c r="B37" s="5" t="s">
        <v>453</v>
      </c>
      <c r="C37" s="5">
        <v>5614731053</v>
      </c>
    </row>
    <row r="38" spans="1:3" x14ac:dyDescent="0.3">
      <c r="A38" s="21" t="s">
        <v>120</v>
      </c>
      <c r="B38" s="21" t="s">
        <v>30</v>
      </c>
      <c r="C38" s="21">
        <v>5545758293</v>
      </c>
    </row>
    <row r="39" spans="1:3" x14ac:dyDescent="0.3">
      <c r="A39" s="5" t="s">
        <v>120</v>
      </c>
      <c r="B39" s="1" t="s">
        <v>30</v>
      </c>
      <c r="C39" s="1">
        <v>5545755893</v>
      </c>
    </row>
    <row r="40" spans="1:3" x14ac:dyDescent="0.3">
      <c r="A40" s="21" t="s">
        <v>454</v>
      </c>
      <c r="B40" s="21" t="s">
        <v>28</v>
      </c>
      <c r="C40" s="21">
        <v>5565066303</v>
      </c>
    </row>
    <row r="41" spans="1:3" x14ac:dyDescent="0.3">
      <c r="A41" s="1" t="s">
        <v>455</v>
      </c>
      <c r="B41" s="1" t="s">
        <v>48</v>
      </c>
      <c r="C41" s="1">
        <v>5543469008</v>
      </c>
    </row>
    <row r="42" spans="1:3" x14ac:dyDescent="0.3">
      <c r="A42" s="21" t="s">
        <v>50</v>
      </c>
      <c r="B42" s="21" t="s">
        <v>456</v>
      </c>
      <c r="C42" s="21">
        <v>5529503930</v>
      </c>
    </row>
    <row r="43" spans="1:3" x14ac:dyDescent="0.3">
      <c r="A43" s="1" t="s">
        <v>50</v>
      </c>
      <c r="B43" s="1" t="s">
        <v>456</v>
      </c>
      <c r="C43" s="3">
        <v>5529503930</v>
      </c>
    </row>
    <row r="44" spans="1:3" x14ac:dyDescent="0.3">
      <c r="A44" s="21" t="s">
        <v>50</v>
      </c>
      <c r="B44" s="21" t="s">
        <v>456</v>
      </c>
      <c r="C44" s="21">
        <v>5529503930</v>
      </c>
    </row>
    <row r="45" spans="1:3" x14ac:dyDescent="0.3">
      <c r="A45" s="1" t="s">
        <v>457</v>
      </c>
      <c r="B45" s="1" t="s">
        <v>458</v>
      </c>
      <c r="C45" s="1">
        <v>5610186288</v>
      </c>
    </row>
    <row r="46" spans="1:3" x14ac:dyDescent="0.3">
      <c r="A46" s="21" t="s">
        <v>457</v>
      </c>
      <c r="B46" s="21" t="s">
        <v>458</v>
      </c>
      <c r="C46" s="21">
        <v>5610186288</v>
      </c>
    </row>
    <row r="47" spans="1:3" x14ac:dyDescent="0.3">
      <c r="A47" s="1" t="s">
        <v>459</v>
      </c>
      <c r="B47" s="1" t="s">
        <v>74</v>
      </c>
      <c r="C47" s="1">
        <v>5542058607</v>
      </c>
    </row>
    <row r="48" spans="1:3" x14ac:dyDescent="0.3">
      <c r="A48" s="21" t="s">
        <v>131</v>
      </c>
      <c r="B48" s="21" t="s">
        <v>119</v>
      </c>
      <c r="C48" s="21">
        <v>5551141444</v>
      </c>
    </row>
    <row r="49" spans="1:3" x14ac:dyDescent="0.3">
      <c r="A49" s="1" t="s">
        <v>460</v>
      </c>
      <c r="B49" s="1" t="s">
        <v>274</v>
      </c>
      <c r="C49" s="1">
        <v>5534651744</v>
      </c>
    </row>
    <row r="50" spans="1:3" x14ac:dyDescent="0.3">
      <c r="A50" s="27" t="s">
        <v>464</v>
      </c>
      <c r="B50" s="27" t="s">
        <v>465</v>
      </c>
      <c r="C50" s="27">
        <v>5530077745</v>
      </c>
    </row>
    <row r="51" spans="1:3" x14ac:dyDescent="0.3">
      <c r="A51" s="1" t="s">
        <v>466</v>
      </c>
      <c r="B51" s="1" t="s">
        <v>467</v>
      </c>
      <c r="C51" s="1">
        <v>5645431564</v>
      </c>
    </row>
    <row r="52" spans="1:3" x14ac:dyDescent="0.3">
      <c r="A52" s="27" t="s">
        <v>158</v>
      </c>
      <c r="B52" s="27" t="s">
        <v>159</v>
      </c>
      <c r="C52" s="27">
        <v>5570826626</v>
      </c>
    </row>
    <row r="53" spans="1:3" x14ac:dyDescent="0.3">
      <c r="A53" s="3" t="s">
        <v>158</v>
      </c>
      <c r="B53" s="3" t="s">
        <v>159</v>
      </c>
      <c r="C53" s="1">
        <v>5570826626</v>
      </c>
    </row>
    <row r="54" spans="1:3" x14ac:dyDescent="0.3">
      <c r="A54" s="27" t="s">
        <v>468</v>
      </c>
      <c r="B54" s="27" t="s">
        <v>41</v>
      </c>
      <c r="C54" s="27">
        <v>5517473496</v>
      </c>
    </row>
    <row r="55" spans="1:3" x14ac:dyDescent="0.3">
      <c r="A55" s="1" t="s">
        <v>245</v>
      </c>
      <c r="B55" s="1" t="s">
        <v>469</v>
      </c>
      <c r="C55" s="1">
        <v>5511246208</v>
      </c>
    </row>
    <row r="56" spans="1:3" x14ac:dyDescent="0.3">
      <c r="A56" s="27" t="s">
        <v>457</v>
      </c>
      <c r="B56" s="27" t="s">
        <v>470</v>
      </c>
      <c r="C56" s="27">
        <v>5610186288</v>
      </c>
    </row>
    <row r="57" spans="1:3" x14ac:dyDescent="0.3">
      <c r="A57" s="1" t="s">
        <v>471</v>
      </c>
      <c r="B57" s="1" t="s">
        <v>65</v>
      </c>
      <c r="C57" s="1">
        <v>5634461063</v>
      </c>
    </row>
    <row r="58" spans="1:3" x14ac:dyDescent="0.3">
      <c r="A58" s="27" t="s">
        <v>271</v>
      </c>
      <c r="B58" s="27" t="s">
        <v>339</v>
      </c>
      <c r="C58" s="27">
        <v>5535892760</v>
      </c>
    </row>
    <row r="59" spans="1:3" x14ac:dyDescent="0.3">
      <c r="A59" s="5" t="s">
        <v>472</v>
      </c>
      <c r="B59" s="5" t="s">
        <v>0</v>
      </c>
      <c r="C59" s="5">
        <v>5536695063</v>
      </c>
    </row>
    <row r="60" spans="1:3" x14ac:dyDescent="0.3">
      <c r="A60" s="27" t="s">
        <v>473</v>
      </c>
      <c r="B60" s="27" t="s">
        <v>115</v>
      </c>
      <c r="C60" s="27">
        <v>5638291782</v>
      </c>
    </row>
    <row r="61" spans="1:3" x14ac:dyDescent="0.3">
      <c r="A61" s="5" t="s">
        <v>475</v>
      </c>
      <c r="B61" s="5" t="s">
        <v>474</v>
      </c>
      <c r="C61" s="5">
        <v>5580868743</v>
      </c>
    </row>
    <row r="62" spans="1:3" x14ac:dyDescent="0.3">
      <c r="A62" s="27" t="s">
        <v>475</v>
      </c>
      <c r="B62" s="27" t="s">
        <v>474</v>
      </c>
      <c r="C62" s="27">
        <v>5580868743</v>
      </c>
    </row>
    <row r="63" spans="1:3" x14ac:dyDescent="0.3">
      <c r="A63" s="1" t="s">
        <v>476</v>
      </c>
      <c r="B63" s="1" t="s">
        <v>429</v>
      </c>
      <c r="C63" s="1">
        <v>5549083825</v>
      </c>
    </row>
    <row r="64" spans="1:3" x14ac:dyDescent="0.3">
      <c r="A64" s="27" t="s">
        <v>448</v>
      </c>
      <c r="B64" s="27" t="s">
        <v>218</v>
      </c>
      <c r="C64" s="27">
        <v>5539511994</v>
      </c>
    </row>
    <row r="65" spans="1:3" x14ac:dyDescent="0.3">
      <c r="A65" s="1" t="s">
        <v>477</v>
      </c>
      <c r="B65" s="1" t="s">
        <v>478</v>
      </c>
      <c r="C65" s="1">
        <v>5631001997</v>
      </c>
    </row>
    <row r="66" spans="1:3" x14ac:dyDescent="0.3">
      <c r="A66" s="27" t="s">
        <v>477</v>
      </c>
      <c r="B66" s="27" t="s">
        <v>478</v>
      </c>
      <c r="C66" s="27">
        <v>5631001997</v>
      </c>
    </row>
    <row r="67" spans="1:3" x14ac:dyDescent="0.3">
      <c r="A67" s="1" t="s">
        <v>213</v>
      </c>
      <c r="B67" s="1" t="s">
        <v>6</v>
      </c>
      <c r="C67" s="1">
        <v>5518465090</v>
      </c>
    </row>
    <row r="68" spans="1:3" x14ac:dyDescent="0.3">
      <c r="A68" s="27" t="s">
        <v>485</v>
      </c>
      <c r="B68" s="27" t="s">
        <v>479</v>
      </c>
      <c r="C68" s="27">
        <v>5542916268</v>
      </c>
    </row>
    <row r="69" spans="1:3" x14ac:dyDescent="0.3">
      <c r="A69" s="1" t="s">
        <v>102</v>
      </c>
      <c r="B69" s="1" t="s">
        <v>103</v>
      </c>
      <c r="C69" s="1">
        <v>5541783566</v>
      </c>
    </row>
    <row r="70" spans="1:3" x14ac:dyDescent="0.3">
      <c r="A70" s="27" t="s">
        <v>224</v>
      </c>
      <c r="B70" s="27" t="s">
        <v>480</v>
      </c>
      <c r="C70" s="27">
        <v>5539564988</v>
      </c>
    </row>
    <row r="71" spans="1:3" x14ac:dyDescent="0.3">
      <c r="A71" s="1" t="s">
        <v>121</v>
      </c>
      <c r="B71" s="1" t="s">
        <v>41</v>
      </c>
      <c r="C71" s="1">
        <v>5642852406</v>
      </c>
    </row>
    <row r="72" spans="1:3" x14ac:dyDescent="0.3">
      <c r="A72" s="27" t="s">
        <v>121</v>
      </c>
      <c r="B72" s="27" t="s">
        <v>41</v>
      </c>
      <c r="C72" s="27">
        <v>5642852406</v>
      </c>
    </row>
    <row r="73" spans="1:3" x14ac:dyDescent="0.3">
      <c r="A73" s="1" t="s">
        <v>481</v>
      </c>
      <c r="B73" s="1" t="s">
        <v>482</v>
      </c>
      <c r="C73" s="1"/>
    </row>
    <row r="74" spans="1:3" x14ac:dyDescent="0.3">
      <c r="A74" s="27" t="s">
        <v>483</v>
      </c>
      <c r="B74" s="27" t="s">
        <v>484</v>
      </c>
      <c r="C74" s="27">
        <v>553434179</v>
      </c>
    </row>
    <row r="75" spans="1:3" x14ac:dyDescent="0.3">
      <c r="A75" s="1" t="s">
        <v>483</v>
      </c>
      <c r="B75" s="1" t="s">
        <v>484</v>
      </c>
      <c r="C75" s="1">
        <v>553434179</v>
      </c>
    </row>
    <row r="76" spans="1:3" x14ac:dyDescent="0.3">
      <c r="A76" s="27" t="s">
        <v>486</v>
      </c>
      <c r="B76" s="27" t="s">
        <v>144</v>
      </c>
      <c r="C76" s="27">
        <v>5570114872</v>
      </c>
    </row>
    <row r="77" spans="1:3" x14ac:dyDescent="0.3">
      <c r="A77" s="1" t="s">
        <v>487</v>
      </c>
      <c r="B77" s="1" t="s">
        <v>237</v>
      </c>
      <c r="C77" s="1">
        <v>5627074145</v>
      </c>
    </row>
    <row r="78" spans="1:3" x14ac:dyDescent="0.3">
      <c r="A78" s="12" t="s">
        <v>488</v>
      </c>
      <c r="B78" s="12" t="s">
        <v>201</v>
      </c>
      <c r="C78" s="12">
        <v>5520900916</v>
      </c>
    </row>
    <row r="79" spans="1:3" x14ac:dyDescent="0.3">
      <c r="A79" s="1" t="s">
        <v>489</v>
      </c>
      <c r="B79" s="1" t="s">
        <v>490</v>
      </c>
      <c r="C79" s="1">
        <v>5540964748</v>
      </c>
    </row>
    <row r="80" spans="1:3" x14ac:dyDescent="0.3">
      <c r="A80" s="12" t="s">
        <v>491</v>
      </c>
      <c r="B80" s="12" t="s">
        <v>74</v>
      </c>
      <c r="C80" s="12">
        <v>5540443958</v>
      </c>
    </row>
    <row r="81" spans="1:3" x14ac:dyDescent="0.3">
      <c r="A81" s="1" t="s">
        <v>492</v>
      </c>
      <c r="B81" s="1" t="s">
        <v>493</v>
      </c>
      <c r="C81" s="1">
        <v>5544728797</v>
      </c>
    </row>
    <row r="82" spans="1:3" x14ac:dyDescent="0.3">
      <c r="A82" s="12" t="s">
        <v>492</v>
      </c>
      <c r="B82" s="12" t="s">
        <v>493</v>
      </c>
      <c r="C82" s="12">
        <v>5544728797</v>
      </c>
    </row>
    <row r="83" spans="1:3" x14ac:dyDescent="0.3">
      <c r="A83" s="1" t="s">
        <v>494</v>
      </c>
      <c r="B83" s="1" t="s">
        <v>495</v>
      </c>
      <c r="C83" s="1">
        <v>5575130865</v>
      </c>
    </row>
    <row r="84" spans="1:3" x14ac:dyDescent="0.3">
      <c r="A84" s="12" t="s">
        <v>8</v>
      </c>
      <c r="B84" s="12" t="s">
        <v>9</v>
      </c>
      <c r="C84" s="12">
        <v>3223271288</v>
      </c>
    </row>
    <row r="85" spans="1:3" x14ac:dyDescent="0.3">
      <c r="A85" s="1" t="s">
        <v>8</v>
      </c>
      <c r="B85" s="1" t="s">
        <v>9</v>
      </c>
      <c r="C85" s="1">
        <v>3223271288</v>
      </c>
    </row>
    <row r="86" spans="1:3" x14ac:dyDescent="0.3">
      <c r="A86" s="12" t="s">
        <v>486</v>
      </c>
      <c r="B86" s="12" t="s">
        <v>144</v>
      </c>
      <c r="C86" s="12">
        <v>5570114872</v>
      </c>
    </row>
    <row r="87" spans="1:3" x14ac:dyDescent="0.3">
      <c r="A87" s="1" t="s">
        <v>496</v>
      </c>
      <c r="B87" s="1" t="s">
        <v>41</v>
      </c>
      <c r="C87" s="1">
        <v>5626009250</v>
      </c>
    </row>
    <row r="88" spans="1:3" x14ac:dyDescent="0.3">
      <c r="A88" s="12" t="s">
        <v>496</v>
      </c>
      <c r="B88" s="12" t="s">
        <v>41</v>
      </c>
      <c r="C88" s="12">
        <v>5626009250</v>
      </c>
    </row>
    <row r="89" spans="1:3" x14ac:dyDescent="0.3">
      <c r="A89" s="1" t="s">
        <v>497</v>
      </c>
      <c r="B89" s="1" t="s">
        <v>46</v>
      </c>
      <c r="C89" s="1">
        <v>5534011197</v>
      </c>
    </row>
    <row r="90" spans="1:3" x14ac:dyDescent="0.3">
      <c r="A90" s="12" t="s">
        <v>497</v>
      </c>
      <c r="B90" s="12" t="s">
        <v>46</v>
      </c>
      <c r="C90" s="12">
        <v>5534011197</v>
      </c>
    </row>
    <row r="91" spans="1:3" x14ac:dyDescent="0.3">
      <c r="A91" s="1" t="s">
        <v>504</v>
      </c>
      <c r="B91" s="1" t="s">
        <v>237</v>
      </c>
      <c r="C91" s="1">
        <v>5634489738</v>
      </c>
    </row>
    <row r="92" spans="1:3" x14ac:dyDescent="0.3">
      <c r="A92" s="12" t="s">
        <v>498</v>
      </c>
      <c r="B92" s="12" t="s">
        <v>41</v>
      </c>
      <c r="C92" s="12"/>
    </row>
    <row r="93" spans="1:3" x14ac:dyDescent="0.3">
      <c r="A93" s="1" t="s">
        <v>498</v>
      </c>
      <c r="B93" s="1" t="s">
        <v>41</v>
      </c>
      <c r="C93" s="1"/>
    </row>
    <row r="94" spans="1:3" x14ac:dyDescent="0.3">
      <c r="A94" s="12" t="s">
        <v>499</v>
      </c>
      <c r="B94" s="12" t="s">
        <v>500</v>
      </c>
      <c r="C94" s="12">
        <v>5611618387</v>
      </c>
    </row>
    <row r="95" spans="1:3" x14ac:dyDescent="0.3">
      <c r="A95" s="1" t="s">
        <v>499</v>
      </c>
      <c r="B95" s="1" t="s">
        <v>500</v>
      </c>
      <c r="C95" s="1">
        <v>5611618387</v>
      </c>
    </row>
    <row r="96" spans="1:3" x14ac:dyDescent="0.3">
      <c r="A96" s="12" t="s">
        <v>501</v>
      </c>
      <c r="B96" s="12" t="s">
        <v>107</v>
      </c>
      <c r="C96" s="12">
        <v>5529518233</v>
      </c>
    </row>
    <row r="97" spans="1:3" x14ac:dyDescent="0.3">
      <c r="A97" s="1" t="s">
        <v>502</v>
      </c>
      <c r="B97" s="1" t="s">
        <v>503</v>
      </c>
      <c r="C97" s="1">
        <v>5568148903</v>
      </c>
    </row>
    <row r="98" spans="1:3" x14ac:dyDescent="0.3">
      <c r="A98" s="12" t="s">
        <v>502</v>
      </c>
      <c r="B98" s="12" t="s">
        <v>503</v>
      </c>
      <c r="C98" s="12">
        <v>5568148903</v>
      </c>
    </row>
    <row r="99" spans="1:3" x14ac:dyDescent="0.3">
      <c r="A99" s="1" t="s">
        <v>505</v>
      </c>
      <c r="B99" s="1" t="s">
        <v>506</v>
      </c>
      <c r="C99" s="1">
        <v>5526798693</v>
      </c>
    </row>
    <row r="100" spans="1:3" x14ac:dyDescent="0.3">
      <c r="A100" s="30" t="s">
        <v>476</v>
      </c>
      <c r="B100" s="30" t="s">
        <v>425</v>
      </c>
      <c r="C100" s="30"/>
    </row>
    <row r="101" spans="1:3" x14ac:dyDescent="0.3">
      <c r="A101" s="1" t="s">
        <v>507</v>
      </c>
      <c r="B101" s="1" t="s">
        <v>425</v>
      </c>
      <c r="C101" s="1">
        <v>5664328489</v>
      </c>
    </row>
    <row r="102" spans="1:3" x14ac:dyDescent="0.3">
      <c r="A102" s="30" t="s">
        <v>508</v>
      </c>
      <c r="B102" s="30" t="s">
        <v>14</v>
      </c>
      <c r="C102" s="30">
        <v>5577340401</v>
      </c>
    </row>
    <row r="103" spans="1:3" x14ac:dyDescent="0.3">
      <c r="A103" s="1" t="s">
        <v>509</v>
      </c>
      <c r="B103" s="1" t="s">
        <v>425</v>
      </c>
      <c r="C103" s="1">
        <v>5518145994</v>
      </c>
    </row>
    <row r="104" spans="1:3" x14ac:dyDescent="0.3">
      <c r="A104" s="30" t="s">
        <v>240</v>
      </c>
      <c r="B104" s="30" t="s">
        <v>379</v>
      </c>
      <c r="C104" s="30">
        <v>5538109222</v>
      </c>
    </row>
    <row r="105" spans="1:3" x14ac:dyDescent="0.3">
      <c r="A105" s="1" t="s">
        <v>224</v>
      </c>
      <c r="B105" s="1" t="s">
        <v>480</v>
      </c>
      <c r="C105" s="1">
        <v>5539564988</v>
      </c>
    </row>
    <row r="106" spans="1:3" x14ac:dyDescent="0.3">
      <c r="A106" s="30" t="s">
        <v>510</v>
      </c>
      <c r="B106" s="30" t="s">
        <v>46</v>
      </c>
      <c r="C106" s="30">
        <v>5577352063</v>
      </c>
    </row>
    <row r="107" spans="1:3" x14ac:dyDescent="0.3">
      <c r="A107" s="1" t="s">
        <v>513</v>
      </c>
      <c r="B107" s="1" t="s">
        <v>46</v>
      </c>
      <c r="C107" s="1">
        <v>5565868897</v>
      </c>
    </row>
    <row r="108" spans="1:3" x14ac:dyDescent="0.3">
      <c r="A108" s="30" t="s">
        <v>262</v>
      </c>
      <c r="B108" s="30" t="s">
        <v>511</v>
      </c>
      <c r="C108" s="30">
        <v>5547956325</v>
      </c>
    </row>
    <row r="109" spans="1:3" x14ac:dyDescent="0.3">
      <c r="A109" s="1" t="s">
        <v>262</v>
      </c>
      <c r="B109" s="1" t="s">
        <v>511</v>
      </c>
      <c r="C109" s="1">
        <v>5547956325</v>
      </c>
    </row>
    <row r="110" spans="1:3" x14ac:dyDescent="0.3">
      <c r="A110" s="30" t="s">
        <v>512</v>
      </c>
      <c r="B110" s="30" t="s">
        <v>153</v>
      </c>
      <c r="C110" s="30">
        <v>5557554633</v>
      </c>
    </row>
    <row r="111" spans="1:3" x14ac:dyDescent="0.3">
      <c r="A111" s="1" t="s">
        <v>512</v>
      </c>
      <c r="B111" s="1" t="s">
        <v>153</v>
      </c>
      <c r="C111" s="1">
        <v>5557554633</v>
      </c>
    </row>
    <row r="112" spans="1:3" x14ac:dyDescent="0.3">
      <c r="A112" s="30" t="s">
        <v>515</v>
      </c>
      <c r="B112" s="30" t="s">
        <v>514</v>
      </c>
      <c r="C112" s="30">
        <v>5517483758</v>
      </c>
    </row>
    <row r="113" spans="1:3" x14ac:dyDescent="0.3">
      <c r="A113" s="1" t="s">
        <v>516</v>
      </c>
      <c r="B113" s="1" t="s">
        <v>16</v>
      </c>
      <c r="C113" s="1">
        <v>5514614910</v>
      </c>
    </row>
    <row r="114" spans="1:3" x14ac:dyDescent="0.3">
      <c r="A114" s="31" t="s">
        <v>516</v>
      </c>
      <c r="B114" s="31" t="s">
        <v>16</v>
      </c>
      <c r="C114" s="31">
        <v>5514614910</v>
      </c>
    </row>
    <row r="115" spans="1:3" x14ac:dyDescent="0.3">
      <c r="A115" s="1" t="s">
        <v>517</v>
      </c>
      <c r="B115" s="1" t="s">
        <v>518</v>
      </c>
      <c r="C115" s="1">
        <v>5569318105</v>
      </c>
    </row>
    <row r="116" spans="1:3" x14ac:dyDescent="0.3">
      <c r="A116" s="30" t="s">
        <v>519</v>
      </c>
      <c r="B116" s="30" t="s">
        <v>520</v>
      </c>
      <c r="C116" s="30">
        <v>5531001281</v>
      </c>
    </row>
    <row r="117" spans="1:3" x14ac:dyDescent="0.3">
      <c r="A117" s="1" t="s">
        <v>521</v>
      </c>
      <c r="B117" s="1" t="s">
        <v>161</v>
      </c>
      <c r="C117" s="1">
        <v>5528013590</v>
      </c>
    </row>
    <row r="118" spans="1:3" x14ac:dyDescent="0.3">
      <c r="A118" s="30" t="s">
        <v>475</v>
      </c>
      <c r="B118" s="30" t="s">
        <v>474</v>
      </c>
      <c r="C118" s="30">
        <v>5580868743</v>
      </c>
    </row>
    <row r="119" spans="1:3" x14ac:dyDescent="0.3">
      <c r="A119" s="1" t="s">
        <v>522</v>
      </c>
      <c r="B119" s="1" t="s">
        <v>465</v>
      </c>
      <c r="C119" s="1">
        <v>5635031347</v>
      </c>
    </row>
    <row r="120" spans="1:3" x14ac:dyDescent="0.3">
      <c r="A120" s="30" t="s">
        <v>231</v>
      </c>
      <c r="B120" s="30" t="s">
        <v>28</v>
      </c>
      <c r="C120" s="30">
        <v>5528186245</v>
      </c>
    </row>
    <row r="121" spans="1:3" x14ac:dyDescent="0.3">
      <c r="A121" s="1" t="s">
        <v>523</v>
      </c>
      <c r="B121" s="1" t="s">
        <v>458</v>
      </c>
      <c r="C121" s="1">
        <v>5613536877</v>
      </c>
    </row>
    <row r="122" spans="1:3" x14ac:dyDescent="0.3">
      <c r="A122" s="24" t="s">
        <v>131</v>
      </c>
      <c r="B122" s="24" t="s">
        <v>119</v>
      </c>
      <c r="C122" s="24">
        <v>5551141444</v>
      </c>
    </row>
    <row r="123" spans="1:3" x14ac:dyDescent="0.3">
      <c r="A123" s="1" t="s">
        <v>524</v>
      </c>
      <c r="B123" s="1" t="s">
        <v>339</v>
      </c>
      <c r="C123" s="1">
        <v>5621208844</v>
      </c>
    </row>
    <row r="124" spans="1:3" x14ac:dyDescent="0.3">
      <c r="A124" s="24" t="s">
        <v>524</v>
      </c>
      <c r="B124" s="24" t="s">
        <v>339</v>
      </c>
      <c r="C124" s="24">
        <v>5621208844</v>
      </c>
    </row>
    <row r="125" spans="1:3" x14ac:dyDescent="0.3">
      <c r="A125" s="1" t="s">
        <v>525</v>
      </c>
      <c r="B125" s="1" t="s">
        <v>425</v>
      </c>
      <c r="C125" s="1">
        <v>5578369465</v>
      </c>
    </row>
    <row r="126" spans="1:3" x14ac:dyDescent="0.3">
      <c r="A126" s="24" t="s">
        <v>525</v>
      </c>
      <c r="B126" s="24" t="s">
        <v>425</v>
      </c>
      <c r="C126" s="24">
        <v>5578369465</v>
      </c>
    </row>
    <row r="127" spans="1:3" x14ac:dyDescent="0.3">
      <c r="A127" s="1" t="s">
        <v>526</v>
      </c>
      <c r="B127" s="1" t="s">
        <v>63</v>
      </c>
      <c r="C127" s="1">
        <v>5514407771</v>
      </c>
    </row>
    <row r="128" spans="1:3" x14ac:dyDescent="0.3">
      <c r="A128" s="24" t="s">
        <v>527</v>
      </c>
      <c r="B128" s="24" t="s">
        <v>90</v>
      </c>
      <c r="C128" s="24">
        <v>5513656850</v>
      </c>
    </row>
    <row r="129" spans="1:3" x14ac:dyDescent="0.3">
      <c r="A129" s="1" t="s">
        <v>528</v>
      </c>
      <c r="B129" s="1" t="s">
        <v>0</v>
      </c>
      <c r="C129" s="1">
        <v>5513760260</v>
      </c>
    </row>
    <row r="130" spans="1:3" x14ac:dyDescent="0.3">
      <c r="A130" s="24" t="s">
        <v>529</v>
      </c>
      <c r="B130" s="24" t="s">
        <v>514</v>
      </c>
      <c r="C130" s="24">
        <v>5529662811</v>
      </c>
    </row>
    <row r="131" spans="1:3" x14ac:dyDescent="0.3">
      <c r="A131" s="1" t="s">
        <v>529</v>
      </c>
      <c r="B131" s="1" t="s">
        <v>514</v>
      </c>
      <c r="C131" s="1">
        <v>5529662811</v>
      </c>
    </row>
    <row r="132" spans="1:3" x14ac:dyDescent="0.3">
      <c r="A132" s="24" t="s">
        <v>530</v>
      </c>
      <c r="B132" s="24" t="s">
        <v>252</v>
      </c>
      <c r="C132" s="24">
        <v>5554704647</v>
      </c>
    </row>
    <row r="133" spans="1:3" x14ac:dyDescent="0.3">
      <c r="A133" s="1" t="s">
        <v>530</v>
      </c>
      <c r="B133" s="1" t="s">
        <v>252</v>
      </c>
      <c r="C133" s="1">
        <v>5554704647</v>
      </c>
    </row>
    <row r="134" spans="1:3" x14ac:dyDescent="0.3">
      <c r="A134" s="21" t="s">
        <v>432</v>
      </c>
      <c r="B134" s="21" t="s">
        <v>531</v>
      </c>
      <c r="C134" s="21">
        <v>5614639380</v>
      </c>
    </row>
    <row r="135" spans="1:3" x14ac:dyDescent="0.3">
      <c r="A135" s="1" t="s">
        <v>532</v>
      </c>
      <c r="B135" s="1" t="s">
        <v>208</v>
      </c>
      <c r="C135" s="1">
        <v>5535537817</v>
      </c>
    </row>
    <row r="136" spans="1:3" x14ac:dyDescent="0.3">
      <c r="A136" s="21" t="s">
        <v>533</v>
      </c>
      <c r="B136" s="21" t="s">
        <v>218</v>
      </c>
      <c r="C136" s="21">
        <v>4686896870</v>
      </c>
    </row>
    <row r="137" spans="1:3" x14ac:dyDescent="0.3">
      <c r="A137" s="1" t="s">
        <v>534</v>
      </c>
      <c r="B137" s="1" t="s">
        <v>425</v>
      </c>
      <c r="C137" s="1">
        <v>5544889671</v>
      </c>
    </row>
    <row r="138" spans="1:3" x14ac:dyDescent="0.3">
      <c r="A138" s="21" t="s">
        <v>535</v>
      </c>
      <c r="B138" s="21" t="s">
        <v>536</v>
      </c>
      <c r="C138" s="21">
        <v>5621395439</v>
      </c>
    </row>
    <row r="139" spans="1:3" x14ac:dyDescent="0.3">
      <c r="A139" s="1" t="s">
        <v>224</v>
      </c>
      <c r="B139" s="1" t="s">
        <v>480</v>
      </c>
      <c r="C139" s="1">
        <v>5539564988</v>
      </c>
    </row>
    <row r="140" spans="1:3" x14ac:dyDescent="0.3">
      <c r="A140" s="21" t="s">
        <v>537</v>
      </c>
      <c r="B140" s="21" t="s">
        <v>538</v>
      </c>
      <c r="C140" s="21">
        <v>5541813683</v>
      </c>
    </row>
    <row r="141" spans="1:3" x14ac:dyDescent="0.3">
      <c r="A141" s="1" t="s">
        <v>539</v>
      </c>
      <c r="B141" s="1" t="s">
        <v>540</v>
      </c>
      <c r="C141" s="1">
        <v>5561088792</v>
      </c>
    </row>
    <row r="142" spans="1:3" x14ac:dyDescent="0.3">
      <c r="A142" s="21" t="s">
        <v>59</v>
      </c>
      <c r="B142" s="21" t="s">
        <v>541</v>
      </c>
      <c r="C142" s="21">
        <v>5631653944</v>
      </c>
    </row>
    <row r="143" spans="1:3" x14ac:dyDescent="0.3">
      <c r="A143" s="1" t="s">
        <v>542</v>
      </c>
      <c r="B143" s="1" t="s">
        <v>543</v>
      </c>
      <c r="C143" s="1">
        <v>5548815048</v>
      </c>
    </row>
    <row r="144" spans="1:3" x14ac:dyDescent="0.3">
      <c r="A144" s="21" t="s">
        <v>544</v>
      </c>
      <c r="B144" s="21" t="s">
        <v>545</v>
      </c>
      <c r="C144" s="21">
        <v>5611721511</v>
      </c>
    </row>
    <row r="145" spans="1:3" x14ac:dyDescent="0.3">
      <c r="A145" s="1" t="s">
        <v>546</v>
      </c>
      <c r="B145" s="1" t="s">
        <v>336</v>
      </c>
      <c r="C145" s="1">
        <v>5527577305</v>
      </c>
    </row>
    <row r="146" spans="1:3" x14ac:dyDescent="0.3">
      <c r="A146" s="21" t="s">
        <v>547</v>
      </c>
      <c r="B146" s="21" t="s">
        <v>548</v>
      </c>
      <c r="C146" s="21">
        <v>5543479679</v>
      </c>
    </row>
    <row r="147" spans="1:3" x14ac:dyDescent="0.3">
      <c r="A147" s="1" t="s">
        <v>549</v>
      </c>
      <c r="B147" s="1" t="s">
        <v>550</v>
      </c>
      <c r="C147" s="1">
        <v>5580885800</v>
      </c>
    </row>
    <row r="148" spans="1:3" x14ac:dyDescent="0.3">
      <c r="A148" s="27" t="s">
        <v>551</v>
      </c>
      <c r="B148" s="27" t="s">
        <v>147</v>
      </c>
      <c r="C148" s="27">
        <v>5565742938</v>
      </c>
    </row>
    <row r="149" spans="1:3" x14ac:dyDescent="0.3">
      <c r="A149" s="1" t="s">
        <v>552</v>
      </c>
      <c r="B149" s="1" t="s">
        <v>107</v>
      </c>
      <c r="C149" s="1">
        <v>5514795402</v>
      </c>
    </row>
    <row r="150" spans="1:3" x14ac:dyDescent="0.3">
      <c r="A150" s="27" t="s">
        <v>553</v>
      </c>
      <c r="B150" s="27" t="s">
        <v>345</v>
      </c>
      <c r="C150" s="27">
        <v>5523788617</v>
      </c>
    </row>
    <row r="151" spans="1:3" x14ac:dyDescent="0.3">
      <c r="A151" s="1" t="s">
        <v>554</v>
      </c>
      <c r="B151" s="1" t="s">
        <v>163</v>
      </c>
      <c r="C151" s="1">
        <v>5531441980</v>
      </c>
    </row>
    <row r="152" spans="1:3" x14ac:dyDescent="0.3">
      <c r="A152" s="27" t="s">
        <v>275</v>
      </c>
      <c r="B152" s="27" t="s">
        <v>276</v>
      </c>
      <c r="C152" s="27">
        <v>5511246208</v>
      </c>
    </row>
    <row r="153" spans="1:3" x14ac:dyDescent="0.3">
      <c r="A153" s="1" t="s">
        <v>275</v>
      </c>
      <c r="B153" s="1" t="s">
        <v>276</v>
      </c>
      <c r="C153" s="1">
        <v>5511246208</v>
      </c>
    </row>
    <row r="154" spans="1:3" x14ac:dyDescent="0.3">
      <c r="A154" s="28" t="s">
        <v>549</v>
      </c>
      <c r="B154" s="27" t="s">
        <v>555</v>
      </c>
      <c r="C154" s="27">
        <v>5580885800</v>
      </c>
    </row>
    <row r="155" spans="1:3" x14ac:dyDescent="0.3">
      <c r="A155" s="1" t="s">
        <v>556</v>
      </c>
      <c r="B155" s="1" t="s">
        <v>561</v>
      </c>
      <c r="C155" s="1">
        <v>5630067875</v>
      </c>
    </row>
    <row r="156" spans="1:3" x14ac:dyDescent="0.3">
      <c r="A156" s="27" t="s">
        <v>557</v>
      </c>
      <c r="B156" s="27" t="s">
        <v>558</v>
      </c>
      <c r="C156" s="27">
        <v>5513703531</v>
      </c>
    </row>
    <row r="157" spans="1:3" x14ac:dyDescent="0.3">
      <c r="A157" s="1" t="s">
        <v>532</v>
      </c>
      <c r="B157" s="1" t="s">
        <v>208</v>
      </c>
      <c r="C157" s="1">
        <v>5535537817</v>
      </c>
    </row>
    <row r="158" spans="1:3" x14ac:dyDescent="0.3">
      <c r="A158" s="27" t="s">
        <v>559</v>
      </c>
      <c r="B158" s="27" t="s">
        <v>560</v>
      </c>
      <c r="C158" s="27"/>
    </row>
    <row r="159" spans="1:3" x14ac:dyDescent="0.3">
      <c r="A159" s="1" t="s">
        <v>559</v>
      </c>
      <c r="B159" s="1" t="s">
        <v>560</v>
      </c>
      <c r="C159" s="1"/>
    </row>
    <row r="160" spans="1:3" x14ac:dyDescent="0.3">
      <c r="A160" s="27" t="s">
        <v>559</v>
      </c>
      <c r="B160" s="27" t="s">
        <v>560</v>
      </c>
      <c r="C160" s="27"/>
    </row>
    <row r="161" spans="1:3" x14ac:dyDescent="0.3">
      <c r="A161" s="1" t="s">
        <v>186</v>
      </c>
      <c r="B161" s="1" t="s">
        <v>187</v>
      </c>
      <c r="C161" s="1">
        <v>5610944519</v>
      </c>
    </row>
    <row r="162" spans="1:3" x14ac:dyDescent="0.3">
      <c r="A162" s="12" t="s">
        <v>562</v>
      </c>
      <c r="B162" s="12" t="s">
        <v>297</v>
      </c>
      <c r="C162" s="12">
        <v>5584978785</v>
      </c>
    </row>
    <row r="163" spans="1:3" x14ac:dyDescent="0.3">
      <c r="A163" s="1" t="s">
        <v>563</v>
      </c>
      <c r="B163" s="1" t="s">
        <v>564</v>
      </c>
      <c r="C163" s="1">
        <v>4423392533</v>
      </c>
    </row>
    <row r="164" spans="1:3" x14ac:dyDescent="0.3">
      <c r="A164" s="12" t="s">
        <v>565</v>
      </c>
      <c r="B164" s="12" t="s">
        <v>465</v>
      </c>
      <c r="C164" s="12">
        <v>5559307944</v>
      </c>
    </row>
    <row r="165" spans="1:3" x14ac:dyDescent="0.3">
      <c r="A165" s="1" t="s">
        <v>158</v>
      </c>
      <c r="B165" s="1" t="s">
        <v>159</v>
      </c>
      <c r="C165" s="1">
        <v>5570826626</v>
      </c>
    </row>
    <row r="166" spans="1:3" x14ac:dyDescent="0.3">
      <c r="A166" s="12" t="s">
        <v>566</v>
      </c>
      <c r="B166" s="12" t="s">
        <v>54</v>
      </c>
      <c r="C166" s="12">
        <v>5533096013</v>
      </c>
    </row>
    <row r="167" spans="1:3" x14ac:dyDescent="0.3">
      <c r="A167" s="1" t="s">
        <v>559</v>
      </c>
      <c r="B167" s="1" t="s">
        <v>560</v>
      </c>
      <c r="C167" s="1"/>
    </row>
    <row r="168" spans="1:3" x14ac:dyDescent="0.3">
      <c r="A168" s="12" t="s">
        <v>577</v>
      </c>
      <c r="B168" s="12" t="s">
        <v>578</v>
      </c>
      <c r="C168" s="12">
        <v>5544489801</v>
      </c>
    </row>
    <row r="169" spans="1:3" x14ac:dyDescent="0.3">
      <c r="A169" s="1" t="s">
        <v>579</v>
      </c>
      <c r="B169" s="1" t="s">
        <v>580</v>
      </c>
      <c r="C169" s="1">
        <v>5515369770</v>
      </c>
    </row>
    <row r="170" spans="1:3" x14ac:dyDescent="0.3">
      <c r="A170" s="12" t="s">
        <v>567</v>
      </c>
      <c r="B170" s="12" t="s">
        <v>576</v>
      </c>
      <c r="C170" s="12">
        <v>5644827929</v>
      </c>
    </row>
    <row r="171" spans="1:3" x14ac:dyDescent="0.3">
      <c r="A171" s="1" t="s">
        <v>568</v>
      </c>
      <c r="B171" s="1" t="s">
        <v>123</v>
      </c>
      <c r="C171" s="1">
        <v>5528929533</v>
      </c>
    </row>
    <row r="172" spans="1:3" x14ac:dyDescent="0.3">
      <c r="A172" s="12" t="s">
        <v>146</v>
      </c>
      <c r="B172" s="12" t="s">
        <v>41</v>
      </c>
      <c r="C172" s="12">
        <v>5623922891</v>
      </c>
    </row>
    <row r="173" spans="1:3" x14ac:dyDescent="0.3">
      <c r="A173" s="1" t="s">
        <v>569</v>
      </c>
      <c r="B173" s="1" t="s">
        <v>306</v>
      </c>
      <c r="C173" s="1">
        <v>5513776404</v>
      </c>
    </row>
    <row r="174" spans="1:3" x14ac:dyDescent="0.3">
      <c r="A174" s="12" t="s">
        <v>570</v>
      </c>
      <c r="B174" s="12" t="s">
        <v>161</v>
      </c>
      <c r="C174" s="12">
        <v>5512477942</v>
      </c>
    </row>
    <row r="175" spans="1:3" x14ac:dyDescent="0.3">
      <c r="A175" s="1" t="s">
        <v>571</v>
      </c>
      <c r="B175" s="1" t="s">
        <v>572</v>
      </c>
      <c r="C175" s="1">
        <v>5574395989</v>
      </c>
    </row>
    <row r="176" spans="1:3" x14ac:dyDescent="0.3">
      <c r="A176" s="12" t="s">
        <v>573</v>
      </c>
      <c r="B176" s="12" t="s">
        <v>480</v>
      </c>
      <c r="C176" s="12">
        <v>5566293855</v>
      </c>
    </row>
    <row r="177" spans="1:3" x14ac:dyDescent="0.3">
      <c r="A177" s="1" t="s">
        <v>574</v>
      </c>
      <c r="B177" s="1" t="s">
        <v>575</v>
      </c>
      <c r="C177" s="1">
        <v>5557904336</v>
      </c>
    </row>
    <row r="178" spans="1:3" x14ac:dyDescent="0.3">
      <c r="A178" s="32" t="s">
        <v>108</v>
      </c>
      <c r="B178" s="32" t="s">
        <v>345</v>
      </c>
      <c r="C178" s="32">
        <v>5617630065</v>
      </c>
    </row>
    <row r="179" spans="1:3" x14ac:dyDescent="0.3">
      <c r="A179" s="1" t="s">
        <v>581</v>
      </c>
      <c r="B179" s="1" t="s">
        <v>582</v>
      </c>
      <c r="C179" s="1">
        <v>5578754494</v>
      </c>
    </row>
    <row r="180" spans="1:3" x14ac:dyDescent="0.3">
      <c r="A180" s="32" t="s">
        <v>583</v>
      </c>
      <c r="B180" s="32" t="s">
        <v>425</v>
      </c>
      <c r="C180" s="32">
        <v>5541424331</v>
      </c>
    </row>
    <row r="181" spans="1:3" x14ac:dyDescent="0.3">
      <c r="A181" s="1"/>
      <c r="B181" s="1"/>
      <c r="C181" s="1"/>
    </row>
    <row r="182" spans="1:3" x14ac:dyDescent="0.3">
      <c r="A182" s="32" t="s">
        <v>584</v>
      </c>
      <c r="B182" s="32" t="s">
        <v>324</v>
      </c>
      <c r="C182" s="32">
        <v>5544419441</v>
      </c>
    </row>
    <row r="183" spans="1:3" x14ac:dyDescent="0.3">
      <c r="A183" s="1" t="s">
        <v>585</v>
      </c>
      <c r="B183" s="1" t="s">
        <v>586</v>
      </c>
      <c r="C183" s="1">
        <v>5542503443</v>
      </c>
    </row>
    <row r="184" spans="1:3" x14ac:dyDescent="0.3">
      <c r="A184" s="32" t="s">
        <v>534</v>
      </c>
      <c r="B184" s="32" t="s">
        <v>425</v>
      </c>
      <c r="C184" s="32">
        <v>5544889071</v>
      </c>
    </row>
    <row r="185" spans="1:3" x14ac:dyDescent="0.3">
      <c r="A185" s="1" t="s">
        <v>587</v>
      </c>
      <c r="B185" s="1" t="s">
        <v>43</v>
      </c>
      <c r="C185" s="1">
        <v>5531646109</v>
      </c>
    </row>
    <row r="186" spans="1:3" x14ac:dyDescent="0.3">
      <c r="A186" s="32" t="s">
        <v>427</v>
      </c>
      <c r="B186" s="32" t="s">
        <v>324</v>
      </c>
      <c r="C186" s="32"/>
    </row>
    <row r="187" spans="1:3" x14ac:dyDescent="0.3">
      <c r="A187" s="1" t="s">
        <v>588</v>
      </c>
      <c r="B187" s="1" t="s">
        <v>56</v>
      </c>
      <c r="C187" s="1">
        <v>5523625972</v>
      </c>
    </row>
    <row r="188" spans="1:3" x14ac:dyDescent="0.3">
      <c r="A188" s="32" t="s">
        <v>589</v>
      </c>
      <c r="B188" s="32" t="s">
        <v>56</v>
      </c>
      <c r="C188" s="32">
        <v>5593072105</v>
      </c>
    </row>
    <row r="189" spans="1:3" x14ac:dyDescent="0.3">
      <c r="A189" s="1" t="s">
        <v>603</v>
      </c>
      <c r="B189" s="1" t="s">
        <v>60</v>
      </c>
      <c r="C189" s="1">
        <v>5596903852</v>
      </c>
    </row>
    <row r="190" spans="1:3" x14ac:dyDescent="0.3">
      <c r="A190" s="32" t="s">
        <v>604</v>
      </c>
      <c r="B190" s="32" t="s">
        <v>161</v>
      </c>
      <c r="C190" s="32">
        <v>5614193660</v>
      </c>
    </row>
    <row r="191" spans="1:3" x14ac:dyDescent="0.3">
      <c r="A191" s="1" t="s">
        <v>590</v>
      </c>
      <c r="B191" s="1" t="s">
        <v>123</v>
      </c>
      <c r="C191" s="1">
        <v>5582333678</v>
      </c>
    </row>
    <row r="192" spans="1:3" x14ac:dyDescent="0.3">
      <c r="A192" s="32" t="s">
        <v>298</v>
      </c>
      <c r="B192" s="32" t="s">
        <v>591</v>
      </c>
      <c r="C192" s="32">
        <v>5591940032</v>
      </c>
    </row>
    <row r="193" spans="1:3" x14ac:dyDescent="0.3">
      <c r="A193" s="1" t="s">
        <v>298</v>
      </c>
      <c r="B193" s="1" t="s">
        <v>591</v>
      </c>
      <c r="C193" s="1">
        <v>5591940032</v>
      </c>
    </row>
    <row r="194" spans="1:3" x14ac:dyDescent="0.3">
      <c r="A194" s="32" t="s">
        <v>594</v>
      </c>
      <c r="B194" s="32" t="s">
        <v>54</v>
      </c>
      <c r="C194" s="32">
        <v>5538830394</v>
      </c>
    </row>
    <row r="195" spans="1:3" x14ac:dyDescent="0.3">
      <c r="A195" s="1" t="s">
        <v>592</v>
      </c>
      <c r="B195" s="1" t="s">
        <v>592</v>
      </c>
      <c r="C195" s="1">
        <v>5542991429</v>
      </c>
    </row>
    <row r="196" spans="1:3" x14ac:dyDescent="0.3">
      <c r="A196" s="32" t="s">
        <v>270</v>
      </c>
      <c r="B196" s="32" t="s">
        <v>478</v>
      </c>
      <c r="C196" s="32">
        <v>5527842592</v>
      </c>
    </row>
    <row r="197" spans="1:3" x14ac:dyDescent="0.3">
      <c r="A197" s="1" t="s">
        <v>364</v>
      </c>
      <c r="B197" s="1" t="s">
        <v>593</v>
      </c>
      <c r="C197" s="1">
        <v>5527842592</v>
      </c>
    </row>
    <row r="198" spans="1:3" x14ac:dyDescent="0.3">
      <c r="A198" s="32" t="s">
        <v>364</v>
      </c>
      <c r="B198" s="32" t="s">
        <v>593</v>
      </c>
      <c r="C198" s="32">
        <v>5527842592</v>
      </c>
    </row>
    <row r="199" spans="1:3" x14ac:dyDescent="0.3">
      <c r="A199" s="1" t="s">
        <v>605</v>
      </c>
      <c r="B199" s="1" t="s">
        <v>152</v>
      </c>
      <c r="C199" s="1">
        <v>5540562652</v>
      </c>
    </row>
    <row r="200" spans="1:3" x14ac:dyDescent="0.3">
      <c r="A200" s="33" t="s">
        <v>606</v>
      </c>
      <c r="B200" s="33" t="s">
        <v>336</v>
      </c>
      <c r="C200" s="33">
        <v>5527577305</v>
      </c>
    </row>
    <row r="201" spans="1:3" x14ac:dyDescent="0.3">
      <c r="A201" s="1" t="s">
        <v>607</v>
      </c>
      <c r="B201" s="1" t="s">
        <v>204</v>
      </c>
      <c r="C201" s="1">
        <v>5570265288</v>
      </c>
    </row>
    <row r="202" spans="1:3" x14ac:dyDescent="0.3">
      <c r="A202" s="33" t="s">
        <v>609</v>
      </c>
      <c r="B202" s="33" t="s">
        <v>480</v>
      </c>
      <c r="C202" s="33">
        <v>5578808418</v>
      </c>
    </row>
    <row r="203" spans="1:3" x14ac:dyDescent="0.3">
      <c r="A203" s="1" t="s">
        <v>608</v>
      </c>
      <c r="B203" s="1" t="s">
        <v>297</v>
      </c>
      <c r="C203" s="1">
        <v>5525689508</v>
      </c>
    </row>
    <row r="204" spans="1:3" x14ac:dyDescent="0.3">
      <c r="A204" s="33" t="s">
        <v>224</v>
      </c>
      <c r="B204" s="33" t="s">
        <v>480</v>
      </c>
      <c r="C204" s="33">
        <v>5539564988</v>
      </c>
    </row>
    <row r="205" spans="1:3" x14ac:dyDescent="0.3">
      <c r="A205" s="1" t="s">
        <v>610</v>
      </c>
      <c r="B205" s="1" t="s">
        <v>611</v>
      </c>
      <c r="C205" s="1">
        <v>5582860407</v>
      </c>
    </row>
    <row r="206" spans="1:3" x14ac:dyDescent="0.3">
      <c r="A206" s="33" t="s">
        <v>254</v>
      </c>
      <c r="B206" s="33" t="s">
        <v>58</v>
      </c>
      <c r="C206" s="33"/>
    </row>
    <row r="207" spans="1:3" x14ac:dyDescent="0.3">
      <c r="A207" s="1" t="s">
        <v>310</v>
      </c>
      <c r="B207" s="1" t="s">
        <v>16</v>
      </c>
      <c r="C207" s="1">
        <v>5514614910</v>
      </c>
    </row>
    <row r="208" spans="1:3" x14ac:dyDescent="0.3">
      <c r="A208" s="33" t="s">
        <v>310</v>
      </c>
      <c r="B208" s="33" t="s">
        <v>16</v>
      </c>
      <c r="C208" s="33">
        <v>5514614910</v>
      </c>
    </row>
    <row r="209" spans="1:3" x14ac:dyDescent="0.3">
      <c r="A209" s="1" t="s">
        <v>612</v>
      </c>
      <c r="B209" s="1" t="s">
        <v>138</v>
      </c>
      <c r="C209" s="1">
        <v>5573589145</v>
      </c>
    </row>
    <row r="210" spans="1:3" x14ac:dyDescent="0.3">
      <c r="A210" s="33" t="s">
        <v>613</v>
      </c>
      <c r="B210" s="33" t="s">
        <v>4</v>
      </c>
      <c r="C210" s="33">
        <v>5548544917</v>
      </c>
    </row>
    <row r="211" spans="1:3" x14ac:dyDescent="0.3">
      <c r="A211" s="1" t="s">
        <v>428</v>
      </c>
      <c r="B211" s="1" t="s">
        <v>425</v>
      </c>
      <c r="C211" s="1">
        <v>5571687373</v>
      </c>
    </row>
    <row r="212" spans="1:3" x14ac:dyDescent="0.3">
      <c r="A212" s="33" t="s">
        <v>268</v>
      </c>
      <c r="B212" s="33" t="s">
        <v>614</v>
      </c>
      <c r="C212" s="33">
        <v>5512282267</v>
      </c>
    </row>
    <row r="213" spans="1:3" x14ac:dyDescent="0.3">
      <c r="A213" s="1" t="s">
        <v>615</v>
      </c>
      <c r="B213" s="1" t="s">
        <v>4</v>
      </c>
      <c r="C213" s="1">
        <v>5630057041</v>
      </c>
    </row>
    <row r="214" spans="1:3" x14ac:dyDescent="0.3">
      <c r="A214" s="33" t="s">
        <v>271</v>
      </c>
      <c r="B214" s="33" t="s">
        <v>616</v>
      </c>
      <c r="C214" s="33">
        <v>5535892760</v>
      </c>
    </row>
    <row r="215" spans="1:3" x14ac:dyDescent="0.3">
      <c r="A215" s="1" t="s">
        <v>314</v>
      </c>
      <c r="B215" s="1" t="s">
        <v>43</v>
      </c>
      <c r="C215" s="1">
        <v>5544844808</v>
      </c>
    </row>
    <row r="216" spans="1:3" x14ac:dyDescent="0.3">
      <c r="A216" s="24" t="s">
        <v>617</v>
      </c>
      <c r="B216" s="24"/>
      <c r="C216" s="24">
        <v>5578042002</v>
      </c>
    </row>
    <row r="217" spans="1:3" x14ac:dyDescent="0.3">
      <c r="A217" s="1" t="s">
        <v>618</v>
      </c>
      <c r="B217" s="1" t="s">
        <v>373</v>
      </c>
      <c r="C217" s="1">
        <v>5621347476</v>
      </c>
    </row>
    <row r="218" spans="1:3" x14ac:dyDescent="0.3">
      <c r="A218" s="24" t="s">
        <v>619</v>
      </c>
      <c r="B218" s="24" t="s">
        <v>41</v>
      </c>
      <c r="C218" s="24">
        <v>5527288634</v>
      </c>
    </row>
    <row r="219" spans="1:3" x14ac:dyDescent="0.3">
      <c r="A219" s="1" t="s">
        <v>620</v>
      </c>
      <c r="B219" s="1" t="s">
        <v>123</v>
      </c>
      <c r="C219" s="1">
        <v>5539252389</v>
      </c>
    </row>
    <row r="220" spans="1:3" x14ac:dyDescent="0.3">
      <c r="A220" s="24" t="s">
        <v>621</v>
      </c>
      <c r="B220" s="24" t="s">
        <v>622</v>
      </c>
      <c r="C220" s="24">
        <v>5610070561</v>
      </c>
    </row>
    <row r="221" spans="1:3" x14ac:dyDescent="0.3">
      <c r="A221" s="1" t="s">
        <v>623</v>
      </c>
      <c r="B221" s="1" t="s">
        <v>624</v>
      </c>
      <c r="C221" s="1">
        <v>5528831545</v>
      </c>
    </row>
    <row r="222" spans="1:3" x14ac:dyDescent="0.3">
      <c r="A222" s="24" t="s">
        <v>321</v>
      </c>
      <c r="B222" s="24" t="s">
        <v>293</v>
      </c>
      <c r="C222" s="24">
        <v>5547890823</v>
      </c>
    </row>
    <row r="223" spans="1:3" x14ac:dyDescent="0.3">
      <c r="A223" s="1" t="s">
        <v>625</v>
      </c>
      <c r="B223" s="1" t="s">
        <v>626</v>
      </c>
      <c r="C223" s="1">
        <v>5578992575</v>
      </c>
    </row>
    <row r="224" spans="1:3" x14ac:dyDescent="0.3">
      <c r="A224" s="24" t="s">
        <v>627</v>
      </c>
      <c r="B224" s="24" t="s">
        <v>68</v>
      </c>
      <c r="C224" s="24">
        <v>5539114957</v>
      </c>
    </row>
    <row r="225" spans="1:3" x14ac:dyDescent="0.3">
      <c r="A225" s="1" t="s">
        <v>628</v>
      </c>
      <c r="B225" s="1" t="s">
        <v>629</v>
      </c>
      <c r="C225" s="1">
        <v>5516841620</v>
      </c>
    </row>
    <row r="226" spans="1:3" x14ac:dyDescent="0.3">
      <c r="A226" s="24" t="s">
        <v>630</v>
      </c>
      <c r="B226" s="24" t="s">
        <v>631</v>
      </c>
      <c r="C226" s="24">
        <v>5517957453</v>
      </c>
    </row>
    <row r="227" spans="1:3" x14ac:dyDescent="0.3">
      <c r="A227" s="1" t="s">
        <v>258</v>
      </c>
      <c r="B227" s="1" t="s">
        <v>74</v>
      </c>
      <c r="C227" s="1">
        <v>5534755530</v>
      </c>
    </row>
    <row r="228" spans="1:3" x14ac:dyDescent="0.3">
      <c r="A228" s="24" t="s">
        <v>632</v>
      </c>
      <c r="B228" s="24" t="s">
        <v>274</v>
      </c>
      <c r="C228" s="24">
        <v>5539075497</v>
      </c>
    </row>
    <row r="229" spans="1:3" x14ac:dyDescent="0.3">
      <c r="A229" s="1" t="s">
        <v>633</v>
      </c>
      <c r="B229" s="1" t="s">
        <v>548</v>
      </c>
      <c r="C229" s="1">
        <v>5543730332</v>
      </c>
    </row>
    <row r="230" spans="1:3" x14ac:dyDescent="0.3">
      <c r="A230" s="24" t="s">
        <v>11</v>
      </c>
      <c r="B230" s="24" t="s">
        <v>143</v>
      </c>
      <c r="C230" s="24">
        <v>5518666206</v>
      </c>
    </row>
    <row r="231" spans="1:3" x14ac:dyDescent="0.3">
      <c r="A231" s="1" t="s">
        <v>634</v>
      </c>
      <c r="B231" s="1" t="s">
        <v>635</v>
      </c>
      <c r="C231" s="1">
        <v>4773993291</v>
      </c>
    </row>
    <row r="232" spans="1:3" x14ac:dyDescent="0.3">
      <c r="A232" s="24" t="s">
        <v>398</v>
      </c>
      <c r="B232" s="24" t="s">
        <v>253</v>
      </c>
      <c r="C232" s="24">
        <v>5535173661</v>
      </c>
    </row>
    <row r="233" spans="1:3" x14ac:dyDescent="0.3">
      <c r="A233" s="1" t="s">
        <v>636</v>
      </c>
      <c r="B233" s="1" t="s">
        <v>637</v>
      </c>
      <c r="C233" s="1">
        <v>5637294747</v>
      </c>
    </row>
    <row r="234" spans="1:3" x14ac:dyDescent="0.3">
      <c r="A234" s="24" t="s">
        <v>249</v>
      </c>
      <c r="B234" s="24" t="s">
        <v>250</v>
      </c>
      <c r="C234" s="24">
        <v>5535334019</v>
      </c>
    </row>
    <row r="235" spans="1:3" x14ac:dyDescent="0.3">
      <c r="A235" s="1" t="s">
        <v>638</v>
      </c>
      <c r="B235" s="1" t="s">
        <v>6</v>
      </c>
      <c r="C235" s="1">
        <v>5519234967</v>
      </c>
    </row>
    <row r="236" spans="1:3" x14ac:dyDescent="0.3">
      <c r="A236" s="21" t="s">
        <v>639</v>
      </c>
      <c r="B236" s="21" t="s">
        <v>640</v>
      </c>
      <c r="C236" s="21">
        <v>5583085008</v>
      </c>
    </row>
    <row r="237" spans="1:3" x14ac:dyDescent="0.3">
      <c r="A237" s="1" t="s">
        <v>641</v>
      </c>
      <c r="B237" s="1" t="s">
        <v>6</v>
      </c>
      <c r="C237" s="1">
        <v>5531384764</v>
      </c>
    </row>
    <row r="238" spans="1:3" x14ac:dyDescent="0.3">
      <c r="A238" s="21" t="s">
        <v>642</v>
      </c>
      <c r="B238" s="21" t="s">
        <v>478</v>
      </c>
      <c r="C238" s="21">
        <v>5512491180</v>
      </c>
    </row>
    <row r="239" spans="1:3" x14ac:dyDescent="0.3">
      <c r="A239" s="1" t="s">
        <v>636</v>
      </c>
      <c r="B239" s="1" t="s">
        <v>637</v>
      </c>
      <c r="C239" s="1">
        <v>5637294747</v>
      </c>
    </row>
    <row r="240" spans="1:3" x14ac:dyDescent="0.3">
      <c r="A240" s="21" t="s">
        <v>643</v>
      </c>
      <c r="B240" s="21" t="s">
        <v>626</v>
      </c>
      <c r="C240" s="21">
        <v>5538191584</v>
      </c>
    </row>
    <row r="241" spans="1:3" x14ac:dyDescent="0.3">
      <c r="A241" s="1" t="s">
        <v>644</v>
      </c>
      <c r="B241" s="1" t="s">
        <v>458</v>
      </c>
      <c r="C241" s="1">
        <v>5514476029</v>
      </c>
    </row>
    <row r="242" spans="1:3" x14ac:dyDescent="0.3">
      <c r="A242" s="21" t="s">
        <v>645</v>
      </c>
      <c r="B242" s="21" t="s">
        <v>311</v>
      </c>
      <c r="C242" s="21" t="s">
        <v>646</v>
      </c>
    </row>
    <row r="243" spans="1:3" x14ac:dyDescent="0.3">
      <c r="A243" s="1" t="s">
        <v>143</v>
      </c>
      <c r="B243" s="1" t="s">
        <v>41</v>
      </c>
      <c r="C243" s="1">
        <v>5518666206</v>
      </c>
    </row>
    <row r="244" spans="1:3" x14ac:dyDescent="0.3">
      <c r="A244" s="21" t="s">
        <v>143</v>
      </c>
      <c r="B244" s="21" t="s">
        <v>41</v>
      </c>
      <c r="C244" s="21">
        <v>5518666206</v>
      </c>
    </row>
    <row r="245" spans="1:3" x14ac:dyDescent="0.3">
      <c r="A245" s="1" t="s">
        <v>579</v>
      </c>
      <c r="B245" s="1" t="s">
        <v>580</v>
      </c>
      <c r="C245" s="1">
        <v>5515369770</v>
      </c>
    </row>
    <row r="246" spans="1:3" x14ac:dyDescent="0.3">
      <c r="A246" s="24" t="s">
        <v>647</v>
      </c>
      <c r="B246" s="24" t="s">
        <v>648</v>
      </c>
      <c r="C246" s="24">
        <v>5531175650</v>
      </c>
    </row>
    <row r="247" spans="1:3" x14ac:dyDescent="0.3">
      <c r="A247" s="1" t="s">
        <v>651</v>
      </c>
      <c r="B247" s="1" t="s">
        <v>652</v>
      </c>
      <c r="C247" s="1">
        <v>5578854795</v>
      </c>
    </row>
    <row r="248" spans="1:3" x14ac:dyDescent="0.3">
      <c r="A248" s="24" t="s">
        <v>452</v>
      </c>
      <c r="B248" s="24" t="s">
        <v>649</v>
      </c>
      <c r="C248" s="24">
        <v>5614731053</v>
      </c>
    </row>
    <row r="249" spans="1:3" x14ac:dyDescent="0.3">
      <c r="A249" s="1" t="s">
        <v>452</v>
      </c>
      <c r="B249" s="1" t="s">
        <v>649</v>
      </c>
      <c r="C249" s="1">
        <v>5614731053</v>
      </c>
    </row>
    <row r="250" spans="1:3" x14ac:dyDescent="0.3">
      <c r="A250" s="24" t="s">
        <v>650</v>
      </c>
      <c r="B250" s="24" t="s">
        <v>653</v>
      </c>
      <c r="C250" s="24">
        <v>5640045103</v>
      </c>
    </row>
    <row r="251" spans="1:3" x14ac:dyDescent="0.3">
      <c r="A251" s="1" t="s">
        <v>360</v>
      </c>
      <c r="B251" s="1" t="s">
        <v>654</v>
      </c>
      <c r="C251" s="1"/>
    </row>
    <row r="252" spans="1:3" x14ac:dyDescent="0.3">
      <c r="A252" s="24" t="s">
        <v>655</v>
      </c>
      <c r="B252" s="24" t="s">
        <v>656</v>
      </c>
      <c r="C252" s="24">
        <v>5577549766</v>
      </c>
    </row>
    <row r="253" spans="1:3" x14ac:dyDescent="0.3">
      <c r="A253" s="1" t="s">
        <v>657</v>
      </c>
      <c r="B253" s="1" t="s">
        <v>658</v>
      </c>
      <c r="C253" s="1">
        <v>5527372432</v>
      </c>
    </row>
    <row r="254" spans="1:3" x14ac:dyDescent="0.3">
      <c r="A254" s="24" t="s">
        <v>659</v>
      </c>
      <c r="B254" s="24" t="s">
        <v>480</v>
      </c>
      <c r="C254" s="24">
        <v>5636102900</v>
      </c>
    </row>
    <row r="255" spans="1:3" x14ac:dyDescent="0.3">
      <c r="A255" s="1" t="s">
        <v>660</v>
      </c>
      <c r="B255" s="1" t="s">
        <v>336</v>
      </c>
      <c r="C255" s="1">
        <v>5547402145</v>
      </c>
    </row>
    <row r="256" spans="1:3" x14ac:dyDescent="0.3">
      <c r="A256" s="24"/>
      <c r="B256" s="24" t="s">
        <v>661</v>
      </c>
      <c r="C256" s="24">
        <v>5569711887</v>
      </c>
    </row>
    <row r="257" spans="1:3" x14ac:dyDescent="0.3">
      <c r="A257" s="1" t="s">
        <v>662</v>
      </c>
      <c r="B257" s="1" t="s">
        <v>663</v>
      </c>
      <c r="C257" s="1">
        <v>5570730112</v>
      </c>
    </row>
    <row r="258" spans="1:3" x14ac:dyDescent="0.3">
      <c r="A258" s="24" t="s">
        <v>565</v>
      </c>
      <c r="B258" s="24" t="s">
        <v>465</v>
      </c>
      <c r="C258" s="24">
        <v>5559307944</v>
      </c>
    </row>
    <row r="259" spans="1:3" x14ac:dyDescent="0.3">
      <c r="A259" s="1" t="s">
        <v>186</v>
      </c>
      <c r="B259" s="1" t="s">
        <v>187</v>
      </c>
      <c r="C259" s="1">
        <v>5610944519</v>
      </c>
    </row>
    <row r="260" spans="1:3" x14ac:dyDescent="0.3">
      <c r="A260" s="24" t="s">
        <v>664</v>
      </c>
      <c r="B260" s="24" t="s">
        <v>665</v>
      </c>
      <c r="C260" s="24">
        <v>5627230201</v>
      </c>
    </row>
    <row r="261" spans="1:3" x14ac:dyDescent="0.3">
      <c r="A261" s="1" t="s">
        <v>666</v>
      </c>
      <c r="B261" s="1" t="s">
        <v>297</v>
      </c>
      <c r="C261" s="1">
        <v>5532476516</v>
      </c>
    </row>
    <row r="262" spans="1:3" x14ac:dyDescent="0.3">
      <c r="A262" s="21" t="s">
        <v>667</v>
      </c>
      <c r="B262" s="21" t="s">
        <v>208</v>
      </c>
      <c r="C262" s="21">
        <v>5541320075</v>
      </c>
    </row>
    <row r="263" spans="1:3" x14ac:dyDescent="0.3">
      <c r="A263" s="1" t="s">
        <v>668</v>
      </c>
      <c r="B263" s="1" t="s">
        <v>138</v>
      </c>
      <c r="C263" s="1">
        <v>5528872468</v>
      </c>
    </row>
    <row r="264" spans="1:3" x14ac:dyDescent="0.3">
      <c r="A264" s="21" t="s">
        <v>669</v>
      </c>
      <c r="B264" s="21" t="s">
        <v>167</v>
      </c>
      <c r="C264" s="21">
        <v>5616065307</v>
      </c>
    </row>
    <row r="265" spans="1:3" x14ac:dyDescent="0.3">
      <c r="A265" s="1" t="s">
        <v>526</v>
      </c>
      <c r="B265" s="1" t="s">
        <v>63</v>
      </c>
      <c r="C265" s="1">
        <v>5514407771</v>
      </c>
    </row>
    <row r="266" spans="1:3" x14ac:dyDescent="0.3">
      <c r="A266" s="21" t="s">
        <v>207</v>
      </c>
      <c r="B266" s="21" t="s">
        <v>670</v>
      </c>
      <c r="C266" s="21">
        <v>5617501876</v>
      </c>
    </row>
    <row r="267" spans="1:3" x14ac:dyDescent="0.3">
      <c r="A267" s="1" t="s">
        <v>671</v>
      </c>
      <c r="B267" s="1" t="s">
        <v>68</v>
      </c>
      <c r="C267" s="1">
        <v>5575130865</v>
      </c>
    </row>
    <row r="268" spans="1:3" x14ac:dyDescent="0.3">
      <c r="A268" s="21" t="s">
        <v>664</v>
      </c>
      <c r="B268" s="21" t="s">
        <v>672</v>
      </c>
      <c r="C268" s="21">
        <v>5627230201</v>
      </c>
    </row>
    <row r="269" spans="1:3" x14ac:dyDescent="0.3">
      <c r="A269" s="1" t="s">
        <v>673</v>
      </c>
      <c r="B269" s="1" t="s">
        <v>674</v>
      </c>
      <c r="C269" s="1">
        <v>5563285106</v>
      </c>
    </row>
    <row r="270" spans="1:3" x14ac:dyDescent="0.3">
      <c r="A270" s="21" t="s">
        <v>675</v>
      </c>
      <c r="B270" s="21"/>
      <c r="C270" s="21"/>
    </row>
    <row r="271" spans="1:3" x14ac:dyDescent="0.3">
      <c r="A271" s="1" t="s">
        <v>55</v>
      </c>
      <c r="B271" s="1" t="s">
        <v>56</v>
      </c>
      <c r="C271" s="1">
        <v>5620807201</v>
      </c>
    </row>
    <row r="272" spans="1:3" x14ac:dyDescent="0.3">
      <c r="A272" s="21" t="s">
        <v>676</v>
      </c>
      <c r="B272" s="21" t="s">
        <v>56</v>
      </c>
      <c r="C272" s="21">
        <v>55367913698</v>
      </c>
    </row>
    <row r="273" spans="1:3" x14ac:dyDescent="0.3">
      <c r="A273" s="1" t="s">
        <v>108</v>
      </c>
      <c r="B273" s="1" t="s">
        <v>214</v>
      </c>
      <c r="C273" s="1">
        <v>5573263874</v>
      </c>
    </row>
    <row r="274" spans="1:3" x14ac:dyDescent="0.3">
      <c r="A274" s="21" t="s">
        <v>528</v>
      </c>
      <c r="B274" s="21" t="s">
        <v>0</v>
      </c>
      <c r="C274" s="21"/>
    </row>
    <row r="275" spans="1:3" x14ac:dyDescent="0.3">
      <c r="A275" s="1" t="s">
        <v>528</v>
      </c>
      <c r="B275" s="1" t="s">
        <v>0</v>
      </c>
      <c r="C275" s="1"/>
    </row>
    <row r="276" spans="1:3" x14ac:dyDescent="0.3">
      <c r="A276" s="21" t="s">
        <v>528</v>
      </c>
      <c r="B276" s="21" t="s">
        <v>0</v>
      </c>
      <c r="C276" s="21"/>
    </row>
    <row r="277" spans="1:3" x14ac:dyDescent="0.3">
      <c r="A277" s="1" t="s">
        <v>677</v>
      </c>
      <c r="B277" s="1" t="s">
        <v>292</v>
      </c>
      <c r="C277" s="1">
        <v>3221115096</v>
      </c>
    </row>
    <row r="278" spans="1:3" x14ac:dyDescent="0.3">
      <c r="A278" s="21" t="s">
        <v>684</v>
      </c>
      <c r="B278" s="21" t="s">
        <v>138</v>
      </c>
      <c r="C278" s="21">
        <v>3524382300</v>
      </c>
    </row>
    <row r="279" spans="1:3" x14ac:dyDescent="0.3">
      <c r="A279" s="1" t="s">
        <v>678</v>
      </c>
      <c r="B279" s="1" t="s">
        <v>138</v>
      </c>
      <c r="C279" s="1">
        <v>5558383479</v>
      </c>
    </row>
    <row r="280" spans="1:3" x14ac:dyDescent="0.3">
      <c r="A280" s="21" t="s">
        <v>680</v>
      </c>
      <c r="B280" s="21" t="s">
        <v>679</v>
      </c>
      <c r="C280" s="21">
        <v>5514418521</v>
      </c>
    </row>
    <row r="281" spans="1:3" x14ac:dyDescent="0.3">
      <c r="A281" s="1" t="s">
        <v>681</v>
      </c>
      <c r="B281" s="1" t="s">
        <v>41</v>
      </c>
      <c r="C281" s="1">
        <v>5581066482</v>
      </c>
    </row>
    <row r="282" spans="1:3" x14ac:dyDescent="0.3">
      <c r="A282" s="21" t="s">
        <v>682</v>
      </c>
      <c r="B282" s="21" t="s">
        <v>41</v>
      </c>
      <c r="C282" s="21">
        <v>5569331404</v>
      </c>
    </row>
    <row r="283" spans="1:3" x14ac:dyDescent="0.3">
      <c r="A283" s="1" t="s">
        <v>683</v>
      </c>
      <c r="B283" s="1" t="s">
        <v>41</v>
      </c>
      <c r="C283" s="1">
        <v>5535078507</v>
      </c>
    </row>
    <row r="284" spans="1:3" x14ac:dyDescent="0.3">
      <c r="A284" s="24" t="s">
        <v>685</v>
      </c>
      <c r="B284" s="24" t="s">
        <v>159</v>
      </c>
      <c r="C284" s="24">
        <v>5573743760</v>
      </c>
    </row>
    <row r="285" spans="1:3" x14ac:dyDescent="0.3">
      <c r="A285" s="1" t="s">
        <v>686</v>
      </c>
      <c r="B285" s="1" t="s">
        <v>687</v>
      </c>
      <c r="C285" s="1">
        <v>5526596510</v>
      </c>
    </row>
    <row r="286" spans="1:3" x14ac:dyDescent="0.3">
      <c r="A286" s="24" t="s">
        <v>667</v>
      </c>
      <c r="B286" s="24" t="s">
        <v>208</v>
      </c>
      <c r="C286" s="24">
        <v>5541320075</v>
      </c>
    </row>
    <row r="287" spans="1:3" x14ac:dyDescent="0.3">
      <c r="A287" s="1" t="s">
        <v>184</v>
      </c>
      <c r="B287" s="1" t="s">
        <v>688</v>
      </c>
      <c r="C287" s="1">
        <v>5572111897</v>
      </c>
    </row>
    <row r="288" spans="1:3" x14ac:dyDescent="0.3">
      <c r="A288" s="24" t="s">
        <v>689</v>
      </c>
      <c r="B288" s="24" t="s">
        <v>70</v>
      </c>
      <c r="C288" s="24">
        <v>5573090751</v>
      </c>
    </row>
    <row r="289" spans="1:3" x14ac:dyDescent="0.3">
      <c r="A289" s="1" t="s">
        <v>690</v>
      </c>
      <c r="B289" s="1" t="s">
        <v>115</v>
      </c>
      <c r="C289" s="1">
        <v>5593899825</v>
      </c>
    </row>
    <row r="290" spans="1:3" x14ac:dyDescent="0.3">
      <c r="A290" s="24" t="s">
        <v>691</v>
      </c>
      <c r="B290" s="24" t="s">
        <v>72</v>
      </c>
      <c r="C290" s="24">
        <v>5532346493</v>
      </c>
    </row>
    <row r="291" spans="1:3" x14ac:dyDescent="0.3">
      <c r="A291" s="1" t="s">
        <v>692</v>
      </c>
      <c r="B291" s="1" t="s">
        <v>694</v>
      </c>
      <c r="C291" s="1">
        <v>5539486141</v>
      </c>
    </row>
    <row r="292" spans="1:3" x14ac:dyDescent="0.3">
      <c r="A292" s="24" t="s">
        <v>693</v>
      </c>
      <c r="B292" s="24" t="s">
        <v>695</v>
      </c>
      <c r="C292" s="24">
        <v>5530262395</v>
      </c>
    </row>
    <row r="293" spans="1:3" x14ac:dyDescent="0.3">
      <c r="A293" s="1" t="s">
        <v>696</v>
      </c>
      <c r="B293" s="1" t="s">
        <v>88</v>
      </c>
      <c r="C293" s="1">
        <v>5529570508</v>
      </c>
    </row>
    <row r="294" spans="1:3" x14ac:dyDescent="0.3">
      <c r="A294" s="24" t="s">
        <v>121</v>
      </c>
      <c r="B294" s="24" t="s">
        <v>129</v>
      </c>
      <c r="C294" s="24">
        <v>5612852406</v>
      </c>
    </row>
    <row r="295" spans="1:3" x14ac:dyDescent="0.3">
      <c r="A295" s="1" t="s">
        <v>121</v>
      </c>
      <c r="B295" s="1" t="s">
        <v>129</v>
      </c>
      <c r="C295" s="1">
        <v>5612852406</v>
      </c>
    </row>
    <row r="296" spans="1:3" x14ac:dyDescent="0.3">
      <c r="A296" s="24" t="s">
        <v>697</v>
      </c>
      <c r="B296" s="24" t="s">
        <v>698</v>
      </c>
      <c r="C296" s="24">
        <v>5536807808</v>
      </c>
    </row>
    <row r="297" spans="1:3" x14ac:dyDescent="0.3">
      <c r="A297" s="1" t="s">
        <v>697</v>
      </c>
      <c r="B297" s="1" t="s">
        <v>698</v>
      </c>
      <c r="C297" s="1">
        <v>5536807808</v>
      </c>
    </row>
    <row r="298" spans="1:3" x14ac:dyDescent="0.3">
      <c r="A298" s="24" t="s">
        <v>703</v>
      </c>
      <c r="B298" s="24" t="s">
        <v>336</v>
      </c>
      <c r="C298" s="24">
        <v>5547402145</v>
      </c>
    </row>
    <row r="299" spans="1:3" x14ac:dyDescent="0.3">
      <c r="A299" s="1" t="s">
        <v>241</v>
      </c>
      <c r="B299" s="1" t="s">
        <v>138</v>
      </c>
      <c r="C299" s="1">
        <v>5581262737</v>
      </c>
    </row>
    <row r="300" spans="1:3" x14ac:dyDescent="0.3">
      <c r="A300" s="24" t="s">
        <v>684</v>
      </c>
      <c r="B300" s="24" t="s">
        <v>138</v>
      </c>
      <c r="C300" s="24">
        <v>3524382300</v>
      </c>
    </row>
    <row r="301" spans="1:3" x14ac:dyDescent="0.3">
      <c r="A301" s="1" t="s">
        <v>389</v>
      </c>
      <c r="B301" s="1" t="s">
        <v>514</v>
      </c>
      <c r="C301" s="1">
        <v>5631061983</v>
      </c>
    </row>
    <row r="302" spans="1:3" x14ac:dyDescent="0.3">
      <c r="A302" s="24" t="s">
        <v>389</v>
      </c>
      <c r="B302" s="24" t="s">
        <v>514</v>
      </c>
      <c r="C302" s="24">
        <v>5631061983</v>
      </c>
    </row>
    <row r="303" spans="1:3" x14ac:dyDescent="0.3">
      <c r="A303" s="2" t="s">
        <v>57</v>
      </c>
      <c r="B303" s="1" t="s">
        <v>58</v>
      </c>
      <c r="C303" s="1"/>
    </row>
    <row r="304" spans="1:3" x14ac:dyDescent="0.3">
      <c r="A304" s="25" t="s">
        <v>57</v>
      </c>
      <c r="B304" s="24" t="s">
        <v>699</v>
      </c>
      <c r="C304" s="24"/>
    </row>
    <row r="305" spans="1:3" x14ac:dyDescent="0.3">
      <c r="A305" s="1" t="s">
        <v>700</v>
      </c>
      <c r="B305" s="1" t="s">
        <v>252</v>
      </c>
      <c r="C305" s="1">
        <v>5534704647</v>
      </c>
    </row>
    <row r="306" spans="1:3" x14ac:dyDescent="0.3">
      <c r="A306" s="24" t="s">
        <v>701</v>
      </c>
      <c r="B306" s="24" t="s">
        <v>702</v>
      </c>
      <c r="C306" s="24">
        <v>5523769704</v>
      </c>
    </row>
    <row r="307" spans="1:3" x14ac:dyDescent="0.3">
      <c r="A307" s="1" t="s">
        <v>701</v>
      </c>
      <c r="B307" s="1" t="s">
        <v>702</v>
      </c>
      <c r="C307" s="1">
        <v>5523769704</v>
      </c>
    </row>
    <row r="308" spans="1:3" x14ac:dyDescent="0.3">
      <c r="A308" s="21" t="s">
        <v>224</v>
      </c>
      <c r="B308" s="21" t="s">
        <v>480</v>
      </c>
      <c r="C308" s="21">
        <v>5539564988</v>
      </c>
    </row>
    <row r="309" spans="1:3" x14ac:dyDescent="0.3">
      <c r="A309" s="1" t="s">
        <v>224</v>
      </c>
      <c r="B309" s="1" t="s">
        <v>480</v>
      </c>
      <c r="C309" s="1">
        <v>5539564988</v>
      </c>
    </row>
    <row r="310" spans="1:3" x14ac:dyDescent="0.3">
      <c r="A310" s="21" t="s">
        <v>270</v>
      </c>
      <c r="B310" s="21" t="s">
        <v>478</v>
      </c>
      <c r="C310" s="21">
        <v>5527842592</v>
      </c>
    </row>
    <row r="311" spans="1:3" x14ac:dyDescent="0.3">
      <c r="A311" s="1" t="s">
        <v>704</v>
      </c>
      <c r="B311" s="1" t="s">
        <v>285</v>
      </c>
      <c r="C311" s="1">
        <v>5523434869</v>
      </c>
    </row>
    <row r="312" spans="1:3" x14ac:dyDescent="0.3">
      <c r="A312" s="21" t="s">
        <v>314</v>
      </c>
      <c r="B312" s="21" t="s">
        <v>88</v>
      </c>
      <c r="C312" s="21">
        <v>5544844808</v>
      </c>
    </row>
    <row r="313" spans="1:3" x14ac:dyDescent="0.3">
      <c r="A313" s="1" t="s">
        <v>289</v>
      </c>
      <c r="B313" s="1" t="s">
        <v>345</v>
      </c>
      <c r="C313" s="1">
        <v>5528522239</v>
      </c>
    </row>
    <row r="314" spans="1:3" x14ac:dyDescent="0.3">
      <c r="A314" s="21" t="s">
        <v>448</v>
      </c>
      <c r="B314" s="21" t="s">
        <v>218</v>
      </c>
      <c r="C314" s="21">
        <v>5539511994</v>
      </c>
    </row>
    <row r="315" spans="1:3" x14ac:dyDescent="0.3">
      <c r="A315" s="1" t="s">
        <v>705</v>
      </c>
      <c r="B315" s="1" t="s">
        <v>6</v>
      </c>
      <c r="C315" s="1">
        <v>5549432984</v>
      </c>
    </row>
    <row r="316" spans="1:3" x14ac:dyDescent="0.3">
      <c r="A316" s="21" t="s">
        <v>364</v>
      </c>
      <c r="B316" s="21" t="s">
        <v>593</v>
      </c>
      <c r="C316" s="21">
        <v>5540809412</v>
      </c>
    </row>
    <row r="317" spans="1:3" x14ac:dyDescent="0.3">
      <c r="A317" s="1" t="s">
        <v>706</v>
      </c>
      <c r="B317" s="1" t="s">
        <v>707</v>
      </c>
      <c r="C317" s="1">
        <v>5518104007</v>
      </c>
    </row>
    <row r="318" spans="1:3" x14ac:dyDescent="0.3">
      <c r="A318" s="21" t="s">
        <v>708</v>
      </c>
      <c r="B318" s="21" t="s">
        <v>88</v>
      </c>
      <c r="C318" s="21">
        <v>5613221228</v>
      </c>
    </row>
    <row r="319" spans="1:3" x14ac:dyDescent="0.3">
      <c r="A319" s="1" t="s">
        <v>709</v>
      </c>
      <c r="B319" s="1" t="s">
        <v>560</v>
      </c>
      <c r="C319" s="1"/>
    </row>
    <row r="320" spans="1:3" x14ac:dyDescent="0.3">
      <c r="A320" s="21" t="s">
        <v>709</v>
      </c>
      <c r="B320" s="21" t="s">
        <v>560</v>
      </c>
      <c r="C320" s="21"/>
    </row>
    <row r="321" spans="1:3" x14ac:dyDescent="0.3">
      <c r="A321" s="1" t="s">
        <v>709</v>
      </c>
      <c r="B321" s="1" t="s">
        <v>560</v>
      </c>
      <c r="C321" s="1"/>
    </row>
    <row r="322" spans="1:3" x14ac:dyDescent="0.3">
      <c r="A322" s="21" t="s">
        <v>184</v>
      </c>
      <c r="B322" s="21" t="s">
        <v>688</v>
      </c>
      <c r="C322" s="21">
        <v>5572111897</v>
      </c>
    </row>
    <row r="323" spans="1:3" x14ac:dyDescent="0.3">
      <c r="A323" s="1" t="s">
        <v>710</v>
      </c>
      <c r="B323" s="1" t="s">
        <v>206</v>
      </c>
      <c r="C323" s="1">
        <v>5528872468</v>
      </c>
    </row>
    <row r="324" spans="1:3" x14ac:dyDescent="0.3">
      <c r="A324" s="21" t="s">
        <v>711</v>
      </c>
      <c r="B324" s="21" t="s">
        <v>712</v>
      </c>
      <c r="C324" s="21">
        <v>5544902932</v>
      </c>
    </row>
    <row r="325" spans="1:3" x14ac:dyDescent="0.3">
      <c r="A325" s="1" t="s">
        <v>711</v>
      </c>
      <c r="B325" s="1" t="s">
        <v>712</v>
      </c>
      <c r="C325" s="1">
        <v>5544902933</v>
      </c>
    </row>
    <row r="326" spans="1:3" x14ac:dyDescent="0.3">
      <c r="A326" s="21" t="s">
        <v>713</v>
      </c>
      <c r="B326" s="21" t="s">
        <v>714</v>
      </c>
      <c r="C326" s="21">
        <v>5554098239</v>
      </c>
    </row>
    <row r="327" spans="1:3" x14ac:dyDescent="0.3">
      <c r="A327" s="1" t="s">
        <v>715</v>
      </c>
      <c r="B327" s="1" t="s">
        <v>161</v>
      </c>
      <c r="C327" s="1">
        <v>5616522274</v>
      </c>
    </row>
    <row r="328" spans="1:3" x14ac:dyDescent="0.3">
      <c r="A328" s="21" t="s">
        <v>298</v>
      </c>
      <c r="B328" s="21" t="s">
        <v>356</v>
      </c>
      <c r="C328" s="21">
        <v>5591940032</v>
      </c>
    </row>
    <row r="329" spans="1:3" x14ac:dyDescent="0.3">
      <c r="A329" s="1" t="s">
        <v>568</v>
      </c>
      <c r="B329" s="1" t="s">
        <v>123</v>
      </c>
      <c r="C329" s="1">
        <v>5528929533</v>
      </c>
    </row>
    <row r="330" spans="1:3" x14ac:dyDescent="0.3">
      <c r="A330" s="24" t="s">
        <v>716</v>
      </c>
      <c r="B330" s="24" t="s">
        <v>115</v>
      </c>
      <c r="C330" s="24">
        <v>5541756109</v>
      </c>
    </row>
    <row r="331" spans="1:3" x14ac:dyDescent="0.3">
      <c r="A331" s="1" t="s">
        <v>703</v>
      </c>
      <c r="B331" s="1" t="s">
        <v>336</v>
      </c>
      <c r="C331" s="1">
        <v>5547402145</v>
      </c>
    </row>
    <row r="332" spans="1:3" x14ac:dyDescent="0.3">
      <c r="A332" s="24" t="s">
        <v>696</v>
      </c>
      <c r="B332" s="24" t="s">
        <v>717</v>
      </c>
      <c r="C332" s="24">
        <v>5529570508</v>
      </c>
    </row>
    <row r="333" spans="1:3" x14ac:dyDescent="0.3">
      <c r="A333" s="1" t="s">
        <v>696</v>
      </c>
      <c r="B333" s="1" t="s">
        <v>717</v>
      </c>
      <c r="C333" s="1">
        <v>5529570508</v>
      </c>
    </row>
    <row r="334" spans="1:3" x14ac:dyDescent="0.3">
      <c r="A334" s="24" t="s">
        <v>696</v>
      </c>
      <c r="B334" s="24" t="s">
        <v>717</v>
      </c>
      <c r="C334" s="24">
        <v>5529570508</v>
      </c>
    </row>
    <row r="335" spans="1:3" x14ac:dyDescent="0.3">
      <c r="A335" s="1" t="s">
        <v>696</v>
      </c>
      <c r="B335" s="1" t="s">
        <v>717</v>
      </c>
      <c r="C335" s="1">
        <v>5529570508</v>
      </c>
    </row>
    <row r="336" spans="1:3" x14ac:dyDescent="0.3">
      <c r="A336" s="24" t="s">
        <v>718</v>
      </c>
      <c r="B336" s="24" t="s">
        <v>161</v>
      </c>
      <c r="C336" s="24">
        <v>5616522274</v>
      </c>
    </row>
    <row r="337" spans="1:3" x14ac:dyDescent="0.3">
      <c r="A337" s="1" t="s">
        <v>719</v>
      </c>
      <c r="B337" s="1" t="s">
        <v>165</v>
      </c>
      <c r="C337" s="1">
        <v>5553203522</v>
      </c>
    </row>
    <row r="338" spans="1:3" x14ac:dyDescent="0.3">
      <c r="A338" s="24" t="s">
        <v>121</v>
      </c>
      <c r="B338" s="24" t="s">
        <v>129</v>
      </c>
      <c r="C338" s="24">
        <v>5612852406</v>
      </c>
    </row>
    <row r="339" spans="1:3" x14ac:dyDescent="0.3">
      <c r="A339" s="1" t="s">
        <v>718</v>
      </c>
      <c r="B339" s="1" t="s">
        <v>43</v>
      </c>
      <c r="C339" s="1">
        <v>5544844808</v>
      </c>
    </row>
    <row r="340" spans="1:3" x14ac:dyDescent="0.3">
      <c r="A340" s="24" t="s">
        <v>720</v>
      </c>
      <c r="B340" s="24" t="s">
        <v>721</v>
      </c>
      <c r="C340" s="24">
        <v>5526907271</v>
      </c>
    </row>
    <row r="341" spans="1:3" x14ac:dyDescent="0.3">
      <c r="A341" s="1" t="s">
        <v>528</v>
      </c>
      <c r="B341" s="1" t="s">
        <v>0</v>
      </c>
      <c r="C341" s="1"/>
    </row>
    <row r="342" spans="1:3" x14ac:dyDescent="0.3">
      <c r="A342" s="24" t="s">
        <v>249</v>
      </c>
      <c r="B342" s="24" t="s">
        <v>250</v>
      </c>
      <c r="C342" s="24">
        <v>5535334019</v>
      </c>
    </row>
    <row r="343" spans="1:3" x14ac:dyDescent="0.3">
      <c r="A343" s="1" t="s">
        <v>249</v>
      </c>
      <c r="B343" s="1" t="s">
        <v>250</v>
      </c>
      <c r="C343" s="1">
        <v>5535334019</v>
      </c>
    </row>
    <row r="344" spans="1:3" x14ac:dyDescent="0.3">
      <c r="A344" s="24" t="s">
        <v>249</v>
      </c>
      <c r="B344" s="24" t="s">
        <v>250</v>
      </c>
      <c r="C344" s="24">
        <v>5535334019</v>
      </c>
    </row>
    <row r="345" spans="1:3" x14ac:dyDescent="0.3">
      <c r="A345" s="1" t="s">
        <v>249</v>
      </c>
      <c r="B345" s="1" t="s">
        <v>250</v>
      </c>
      <c r="C345" s="1">
        <v>5535334019</v>
      </c>
    </row>
    <row r="346" spans="1:3" x14ac:dyDescent="0.3">
      <c r="A346" s="24" t="s">
        <v>722</v>
      </c>
      <c r="B346" s="24" t="s">
        <v>16</v>
      </c>
      <c r="C346" s="24">
        <v>5511166878</v>
      </c>
    </row>
    <row r="347" spans="1:3" x14ac:dyDescent="0.3">
      <c r="A347" s="1" t="s">
        <v>723</v>
      </c>
      <c r="B347" s="1" t="s">
        <v>582</v>
      </c>
      <c r="C347" s="1">
        <v>5535358475</v>
      </c>
    </row>
    <row r="348" spans="1:3" x14ac:dyDescent="0.3">
      <c r="A348" s="24" t="s">
        <v>723</v>
      </c>
      <c r="B348" s="24" t="s">
        <v>582</v>
      </c>
      <c r="C348" s="24">
        <v>5535358476</v>
      </c>
    </row>
    <row r="349" spans="1:3" x14ac:dyDescent="0.3">
      <c r="A349" s="1" t="s">
        <v>725</v>
      </c>
      <c r="B349" s="1" t="s">
        <v>724</v>
      </c>
      <c r="C349" s="1">
        <v>5511246208</v>
      </c>
    </row>
    <row r="350" spans="1:3" x14ac:dyDescent="0.3">
      <c r="A350" s="24" t="s">
        <v>726</v>
      </c>
      <c r="B350" s="24" t="s">
        <v>465</v>
      </c>
      <c r="C350" s="24">
        <v>5530077745</v>
      </c>
    </row>
    <row r="351" spans="1:3" x14ac:dyDescent="0.3">
      <c r="A351" s="1" t="s">
        <v>727</v>
      </c>
      <c r="B351" s="1" t="s">
        <v>68</v>
      </c>
      <c r="C351" s="1">
        <v>5537825635</v>
      </c>
    </row>
    <row r="352" spans="1:3" x14ac:dyDescent="0.3">
      <c r="A352" s="24" t="s">
        <v>728</v>
      </c>
      <c r="B352" s="24" t="s">
        <v>729</v>
      </c>
      <c r="C352" s="24">
        <v>5515712212</v>
      </c>
    </row>
    <row r="353" spans="1:3" x14ac:dyDescent="0.3">
      <c r="A353" s="1" t="s">
        <v>730</v>
      </c>
      <c r="B353" s="1" t="s">
        <v>731</v>
      </c>
      <c r="C353" s="1">
        <v>5523322825</v>
      </c>
    </row>
    <row r="354" spans="1:3" x14ac:dyDescent="0.3">
      <c r="A354" s="24" t="s">
        <v>732</v>
      </c>
      <c r="B354" s="24" t="s">
        <v>65</v>
      </c>
      <c r="C354" s="24">
        <v>5548617128</v>
      </c>
    </row>
    <row r="355" spans="1:3" x14ac:dyDescent="0.3">
      <c r="A355" s="1" t="s">
        <v>322</v>
      </c>
      <c r="B355" s="1" t="s">
        <v>733</v>
      </c>
      <c r="C355" s="1">
        <v>5667905307</v>
      </c>
    </row>
    <row r="356" spans="1:3" x14ac:dyDescent="0.3">
      <c r="A356" s="21" t="s">
        <v>734</v>
      </c>
      <c r="B356" s="21" t="s">
        <v>735</v>
      </c>
      <c r="C356" s="21">
        <v>5636650944</v>
      </c>
    </row>
    <row r="357" spans="1:3" x14ac:dyDescent="0.3">
      <c r="A357" s="1" t="s">
        <v>736</v>
      </c>
      <c r="B357" s="1" t="s">
        <v>737</v>
      </c>
      <c r="C357" s="1">
        <v>5530372126</v>
      </c>
    </row>
    <row r="358" spans="1:3" x14ac:dyDescent="0.3">
      <c r="A358" s="21" t="s">
        <v>738</v>
      </c>
      <c r="B358" s="21" t="s">
        <v>739</v>
      </c>
      <c r="C358" s="21">
        <v>5527567342</v>
      </c>
    </row>
    <row r="359" spans="1:3" x14ac:dyDescent="0.3">
      <c r="A359" s="1" t="s">
        <v>738</v>
      </c>
      <c r="B359" s="1" t="s">
        <v>739</v>
      </c>
      <c r="C359" s="1">
        <v>5527567342</v>
      </c>
    </row>
    <row r="360" spans="1:3" x14ac:dyDescent="0.3">
      <c r="A360" s="21" t="s">
        <v>738</v>
      </c>
      <c r="B360" s="21" t="s">
        <v>739</v>
      </c>
      <c r="C360" s="21">
        <v>5527567342</v>
      </c>
    </row>
    <row r="361" spans="1:3" x14ac:dyDescent="0.3">
      <c r="A361" s="1" t="s">
        <v>738</v>
      </c>
      <c r="B361" s="1" t="s">
        <v>739</v>
      </c>
      <c r="C361" s="1">
        <v>5527567342</v>
      </c>
    </row>
    <row r="362" spans="1:3" x14ac:dyDescent="0.3">
      <c r="A362" s="21" t="s">
        <v>728</v>
      </c>
      <c r="B362" s="21" t="s">
        <v>729</v>
      </c>
      <c r="C362" s="21">
        <v>5515712212</v>
      </c>
    </row>
    <row r="363" spans="1:3" x14ac:dyDescent="0.3">
      <c r="A363" s="1" t="s">
        <v>740</v>
      </c>
      <c r="B363" s="1" t="s">
        <v>103</v>
      </c>
      <c r="C363" s="1">
        <v>5542220501</v>
      </c>
    </row>
    <row r="364" spans="1:3" x14ac:dyDescent="0.3">
      <c r="A364" s="21" t="s">
        <v>741</v>
      </c>
      <c r="B364" s="21" t="s">
        <v>511</v>
      </c>
      <c r="C364" s="21">
        <v>5547956325</v>
      </c>
    </row>
    <row r="365" spans="1:3" x14ac:dyDescent="0.3">
      <c r="A365" s="1" t="s">
        <v>742</v>
      </c>
      <c r="B365" s="1" t="s">
        <v>743</v>
      </c>
      <c r="C365" s="1">
        <v>5532623277</v>
      </c>
    </row>
    <row r="366" spans="1:3" x14ac:dyDescent="0.3">
      <c r="A366" s="21" t="s">
        <v>742</v>
      </c>
      <c r="B366" s="21" t="s">
        <v>745</v>
      </c>
      <c r="C366" s="21">
        <v>5532623277</v>
      </c>
    </row>
    <row r="367" spans="1:3" x14ac:dyDescent="0.3">
      <c r="A367" s="1" t="s">
        <v>744</v>
      </c>
      <c r="B367" s="1" t="s">
        <v>698</v>
      </c>
      <c r="C367" s="1">
        <v>3342915004</v>
      </c>
    </row>
    <row r="368" spans="1:3" x14ac:dyDescent="0.3">
      <c r="A368" s="21" t="s">
        <v>744</v>
      </c>
      <c r="B368" s="21" t="s">
        <v>698</v>
      </c>
      <c r="C368" s="21">
        <v>3342915004</v>
      </c>
    </row>
    <row r="369" spans="1:3" x14ac:dyDescent="0.3">
      <c r="A369" s="1" t="s">
        <v>746</v>
      </c>
      <c r="B369" s="1" t="s">
        <v>138</v>
      </c>
      <c r="C369" s="1">
        <v>5620912591</v>
      </c>
    </row>
    <row r="370" spans="1:3" x14ac:dyDescent="0.3">
      <c r="A370" s="21" t="s">
        <v>143</v>
      </c>
      <c r="B370" s="21" t="s">
        <v>41</v>
      </c>
      <c r="C370" s="21">
        <v>5620912591</v>
      </c>
    </row>
    <row r="371" spans="1:3" x14ac:dyDescent="0.3">
      <c r="A371" s="1" t="s">
        <v>143</v>
      </c>
      <c r="B371" s="1" t="s">
        <v>41</v>
      </c>
      <c r="C371" s="1">
        <v>5620912591</v>
      </c>
    </row>
    <row r="372" spans="1:3" x14ac:dyDescent="0.3">
      <c r="A372" s="21" t="s">
        <v>751</v>
      </c>
      <c r="B372" s="21" t="s">
        <v>747</v>
      </c>
      <c r="C372" s="21">
        <v>5617630065</v>
      </c>
    </row>
    <row r="373" spans="1:3" x14ac:dyDescent="0.3">
      <c r="A373" s="1" t="s">
        <v>748</v>
      </c>
      <c r="B373" s="1" t="s">
        <v>712</v>
      </c>
      <c r="C373" s="1">
        <v>5520900490</v>
      </c>
    </row>
    <row r="374" spans="1:3" x14ac:dyDescent="0.3">
      <c r="A374" s="21" t="s">
        <v>749</v>
      </c>
      <c r="B374" s="21" t="s">
        <v>750</v>
      </c>
      <c r="C374" s="21">
        <v>5538070985</v>
      </c>
    </row>
    <row r="375" spans="1:3" x14ac:dyDescent="0.3">
      <c r="A375" s="1" t="s">
        <v>749</v>
      </c>
      <c r="B375" s="1" t="s">
        <v>56</v>
      </c>
      <c r="C375" s="1">
        <v>5538070985</v>
      </c>
    </row>
    <row r="376" spans="1:3" x14ac:dyDescent="0.3">
      <c r="A376" s="27" t="s">
        <v>50</v>
      </c>
      <c r="B376" s="27" t="s">
        <v>456</v>
      </c>
      <c r="C376" s="27">
        <v>5529503930</v>
      </c>
    </row>
    <row r="377" spans="1:3" x14ac:dyDescent="0.3">
      <c r="A377" s="1" t="s">
        <v>50</v>
      </c>
      <c r="B377" s="1" t="s">
        <v>456</v>
      </c>
      <c r="C377" s="1">
        <v>5529503931</v>
      </c>
    </row>
    <row r="378" spans="1:3" x14ac:dyDescent="0.3">
      <c r="A378" s="27" t="s">
        <v>752</v>
      </c>
      <c r="B378" s="27" t="s">
        <v>753</v>
      </c>
      <c r="C378" s="27">
        <v>5528013590</v>
      </c>
    </row>
    <row r="379" spans="1:3" x14ac:dyDescent="0.3">
      <c r="A379" s="1" t="s">
        <v>754</v>
      </c>
      <c r="B379" s="1" t="s">
        <v>345</v>
      </c>
      <c r="C379" s="1">
        <v>5617630065</v>
      </c>
    </row>
    <row r="380" spans="1:3" x14ac:dyDescent="0.3">
      <c r="A380" s="27" t="s">
        <v>691</v>
      </c>
      <c r="B380" s="27" t="s">
        <v>117</v>
      </c>
      <c r="C380" s="27">
        <v>5532346493</v>
      </c>
    </row>
    <row r="381" spans="1:3" x14ac:dyDescent="0.3">
      <c r="A381" s="1" t="s">
        <v>364</v>
      </c>
      <c r="B381" s="1" t="s">
        <v>756</v>
      </c>
      <c r="C381" s="1">
        <v>5540809412</v>
      </c>
    </row>
    <row r="382" spans="1:3" x14ac:dyDescent="0.3">
      <c r="A382" s="27" t="s">
        <v>364</v>
      </c>
      <c r="B382" s="27" t="s">
        <v>757</v>
      </c>
      <c r="C382" s="27">
        <v>5588018004</v>
      </c>
    </row>
    <row r="383" spans="1:3" x14ac:dyDescent="0.3">
      <c r="A383" s="12" t="s">
        <v>298</v>
      </c>
      <c r="B383" s="12" t="s">
        <v>421</v>
      </c>
      <c r="C383" s="12">
        <v>5591940032</v>
      </c>
    </row>
    <row r="384" spans="1:3" x14ac:dyDescent="0.3">
      <c r="A384" s="1" t="s">
        <v>298</v>
      </c>
      <c r="B384" s="1" t="s">
        <v>421</v>
      </c>
      <c r="C384" s="1">
        <v>5591940032</v>
      </c>
    </row>
    <row r="385" spans="1:3" x14ac:dyDescent="0.3">
      <c r="A385" s="12" t="s">
        <v>298</v>
      </c>
      <c r="B385" s="12" t="s">
        <v>421</v>
      </c>
      <c r="C385" s="12">
        <v>5591940032</v>
      </c>
    </row>
    <row r="386" spans="1:3" x14ac:dyDescent="0.3">
      <c r="A386" s="1" t="s">
        <v>8</v>
      </c>
      <c r="B386" s="1" t="s">
        <v>9</v>
      </c>
      <c r="C386" s="1">
        <v>3223271287</v>
      </c>
    </row>
    <row r="387" spans="1:3" x14ac:dyDescent="0.3">
      <c r="A387" s="12" t="s">
        <v>422</v>
      </c>
      <c r="B387" s="12" t="s">
        <v>68</v>
      </c>
      <c r="C387" s="12">
        <v>5520706498</v>
      </c>
    </row>
    <row r="388" spans="1:3" x14ac:dyDescent="0.3">
      <c r="A388" s="1" t="s">
        <v>158</v>
      </c>
      <c r="B388" s="1" t="s">
        <v>159</v>
      </c>
      <c r="C388" s="1">
        <v>5570826626</v>
      </c>
    </row>
    <row r="389" spans="1:3" x14ac:dyDescent="0.3">
      <c r="A389" s="12" t="s">
        <v>423</v>
      </c>
      <c r="B389" s="12" t="s">
        <v>201</v>
      </c>
      <c r="C389" s="12">
        <v>9981951537</v>
      </c>
    </row>
    <row r="390" spans="1:3" x14ac:dyDescent="0.3">
      <c r="A390" s="1" t="s">
        <v>424</v>
      </c>
      <c r="B390" s="1" t="s">
        <v>425</v>
      </c>
      <c r="C390" s="1">
        <v>5517957453</v>
      </c>
    </row>
    <row r="391" spans="1:3" x14ac:dyDescent="0.3">
      <c r="A391" s="12" t="s">
        <v>426</v>
      </c>
      <c r="B391" s="12" t="s">
        <v>63</v>
      </c>
      <c r="C391" s="12">
        <v>5514407771</v>
      </c>
    </row>
    <row r="392" spans="1:3" x14ac:dyDescent="0.3">
      <c r="A392" s="1" t="s">
        <v>427</v>
      </c>
      <c r="B392" s="1" t="s">
        <v>324</v>
      </c>
      <c r="C392" s="1">
        <v>5516934636</v>
      </c>
    </row>
    <row r="393" spans="1:3" x14ac:dyDescent="0.3">
      <c r="A393" s="27" t="s">
        <v>428</v>
      </c>
      <c r="B393" s="27" t="s">
        <v>429</v>
      </c>
      <c r="C393" s="27">
        <v>5571687373</v>
      </c>
    </row>
    <row r="394" spans="1:3" x14ac:dyDescent="0.3">
      <c r="A394" s="1" t="s">
        <v>430</v>
      </c>
      <c r="B394" s="1" t="s">
        <v>431</v>
      </c>
      <c r="C394" s="1">
        <v>5566729678</v>
      </c>
    </row>
    <row r="395" spans="1:3" x14ac:dyDescent="0.3">
      <c r="A395" s="27" t="s">
        <v>441</v>
      </c>
      <c r="B395" s="27" t="s">
        <v>138</v>
      </c>
      <c r="C395" s="27">
        <v>5558383479</v>
      </c>
    </row>
    <row r="396" spans="1:3" x14ac:dyDescent="0.3">
      <c r="A396" s="1" t="s">
        <v>432</v>
      </c>
      <c r="B396" s="1" t="s">
        <v>433</v>
      </c>
      <c r="C396" s="1">
        <v>5614639380</v>
      </c>
    </row>
    <row r="397" spans="1:3" x14ac:dyDescent="0.3">
      <c r="A397" s="27" t="s">
        <v>434</v>
      </c>
      <c r="B397" s="27" t="s">
        <v>435</v>
      </c>
      <c r="C397" s="27">
        <v>5578942575</v>
      </c>
    </row>
    <row r="398" spans="1:3" x14ac:dyDescent="0.3">
      <c r="A398" s="1" t="s">
        <v>436</v>
      </c>
      <c r="B398" s="1" t="s">
        <v>74</v>
      </c>
      <c r="C398" s="1">
        <v>5542058607</v>
      </c>
    </row>
    <row r="399" spans="1:3" x14ac:dyDescent="0.3">
      <c r="A399" s="27" t="s">
        <v>437</v>
      </c>
      <c r="B399" s="27" t="s">
        <v>74</v>
      </c>
      <c r="C399" s="27">
        <v>5534878157</v>
      </c>
    </row>
    <row r="400" spans="1:3" x14ac:dyDescent="0.3">
      <c r="A400" s="5" t="s">
        <v>438</v>
      </c>
      <c r="B400" s="1" t="s">
        <v>208</v>
      </c>
      <c r="C400" s="1">
        <v>5545305498</v>
      </c>
    </row>
    <row r="401" spans="1:3" x14ac:dyDescent="0.3">
      <c r="A401" s="27" t="s">
        <v>439</v>
      </c>
      <c r="B401" s="27" t="s">
        <v>440</v>
      </c>
      <c r="C401" s="27">
        <v>5536604891</v>
      </c>
    </row>
    <row r="402" spans="1:3" x14ac:dyDescent="0.3">
      <c r="A402" s="1" t="s">
        <v>442</v>
      </c>
      <c r="B402" s="1" t="s">
        <v>26</v>
      </c>
      <c r="C402" s="1">
        <v>5557572636</v>
      </c>
    </row>
    <row r="403" spans="1:3" x14ac:dyDescent="0.3">
      <c r="A403" s="21" t="s">
        <v>136</v>
      </c>
      <c r="B403" s="21" t="s">
        <v>4</v>
      </c>
      <c r="C403" s="21">
        <v>5550543681</v>
      </c>
    </row>
    <row r="404" spans="1:3" x14ac:dyDescent="0.3">
      <c r="A404" s="5" t="s">
        <v>136</v>
      </c>
      <c r="B404" s="5" t="s">
        <v>4</v>
      </c>
      <c r="C404" s="5">
        <v>5550543681</v>
      </c>
    </row>
    <row r="405" spans="1:3" x14ac:dyDescent="0.3">
      <c r="A405" s="21" t="s">
        <v>136</v>
      </c>
      <c r="B405" s="21" t="s">
        <v>4</v>
      </c>
      <c r="C405" s="21">
        <v>5550543681</v>
      </c>
    </row>
    <row r="406" spans="1:3" x14ac:dyDescent="0.3">
      <c r="A406" s="5" t="s">
        <v>443</v>
      </c>
      <c r="B406" s="5" t="s">
        <v>444</v>
      </c>
      <c r="C406" s="5">
        <v>5529550516</v>
      </c>
    </row>
    <row r="407" spans="1:3" x14ac:dyDescent="0.3">
      <c r="A407" s="21" t="s">
        <v>445</v>
      </c>
      <c r="B407" s="21" t="s">
        <v>446</v>
      </c>
      <c r="C407" s="21">
        <v>5618867336</v>
      </c>
    </row>
    <row r="408" spans="1:3" x14ac:dyDescent="0.3">
      <c r="A408" s="5" t="s">
        <v>447</v>
      </c>
      <c r="B408" s="5" t="s">
        <v>431</v>
      </c>
      <c r="C408" s="5">
        <v>5566729678</v>
      </c>
    </row>
    <row r="409" spans="1:3" x14ac:dyDescent="0.3">
      <c r="A409" s="21" t="s">
        <v>448</v>
      </c>
      <c r="B409" s="21" t="s">
        <v>218</v>
      </c>
      <c r="C409" s="21">
        <v>5539511994</v>
      </c>
    </row>
    <row r="410" spans="1:3" x14ac:dyDescent="0.3">
      <c r="A410" s="5" t="s">
        <v>448</v>
      </c>
      <c r="B410" s="5" t="s">
        <v>218</v>
      </c>
      <c r="C410" s="5">
        <v>5539511994</v>
      </c>
    </row>
    <row r="411" spans="1:3" x14ac:dyDescent="0.3">
      <c r="A411" s="21" t="s">
        <v>188</v>
      </c>
      <c r="B411" s="21" t="s">
        <v>187</v>
      </c>
      <c r="C411" s="21">
        <v>5529849094</v>
      </c>
    </row>
    <row r="412" spans="1:3" x14ac:dyDescent="0.3">
      <c r="A412" s="5" t="s">
        <v>442</v>
      </c>
      <c r="B412" s="5" t="s">
        <v>26</v>
      </c>
      <c r="C412" s="5">
        <v>5557572636</v>
      </c>
    </row>
    <row r="413" spans="1:3" x14ac:dyDescent="0.3">
      <c r="A413" s="21" t="s">
        <v>449</v>
      </c>
      <c r="B413" s="21" t="s">
        <v>113</v>
      </c>
      <c r="C413" s="21">
        <v>5585922461</v>
      </c>
    </row>
    <row r="414" spans="1:3" x14ac:dyDescent="0.3">
      <c r="A414" s="5" t="s">
        <v>449</v>
      </c>
      <c r="B414" s="5" t="s">
        <v>113</v>
      </c>
      <c r="C414" s="5">
        <v>5585922461</v>
      </c>
    </row>
    <row r="415" spans="1:3" x14ac:dyDescent="0.3">
      <c r="A415" s="21" t="s">
        <v>451</v>
      </c>
      <c r="B415" s="21" t="s">
        <v>450</v>
      </c>
      <c r="C415" s="21">
        <v>5519870496</v>
      </c>
    </row>
    <row r="416" spans="1:3" x14ac:dyDescent="0.3">
      <c r="A416" s="5" t="s">
        <v>452</v>
      </c>
      <c r="B416" s="5" t="s">
        <v>453</v>
      </c>
      <c r="C416" s="5">
        <v>5614731053</v>
      </c>
    </row>
    <row r="417" spans="1:3" x14ac:dyDescent="0.3">
      <c r="A417" s="21" t="s">
        <v>452</v>
      </c>
      <c r="B417" s="21" t="s">
        <v>453</v>
      </c>
      <c r="C417" s="21">
        <v>5614731053</v>
      </c>
    </row>
    <row r="418" spans="1:3" x14ac:dyDescent="0.3">
      <c r="A418" s="5" t="s">
        <v>452</v>
      </c>
      <c r="B418" s="5" t="s">
        <v>453</v>
      </c>
      <c r="C418" s="5">
        <v>5614731053</v>
      </c>
    </row>
    <row r="419" spans="1:3" x14ac:dyDescent="0.3">
      <c r="A419" s="21" t="s">
        <v>120</v>
      </c>
      <c r="B419" s="21" t="s">
        <v>30</v>
      </c>
      <c r="C419" s="21">
        <v>5545758293</v>
      </c>
    </row>
    <row r="420" spans="1:3" x14ac:dyDescent="0.3">
      <c r="A420" s="5" t="s">
        <v>120</v>
      </c>
      <c r="B420" s="1" t="s">
        <v>30</v>
      </c>
      <c r="C420" s="1">
        <v>5545755893</v>
      </c>
    </row>
    <row r="421" spans="1:3" x14ac:dyDescent="0.3">
      <c r="A421" s="21" t="s">
        <v>454</v>
      </c>
      <c r="B421" s="21" t="s">
        <v>28</v>
      </c>
      <c r="C421" s="21">
        <v>5565066303</v>
      </c>
    </row>
    <row r="422" spans="1:3" x14ac:dyDescent="0.3">
      <c r="A422" s="1" t="s">
        <v>455</v>
      </c>
      <c r="B422" s="1" t="s">
        <v>48</v>
      </c>
      <c r="C422" s="1">
        <v>5543469008</v>
      </c>
    </row>
    <row r="423" spans="1:3" x14ac:dyDescent="0.3">
      <c r="A423" s="21" t="s">
        <v>50</v>
      </c>
      <c r="B423" s="21" t="s">
        <v>456</v>
      </c>
      <c r="C423" s="21">
        <v>5529503930</v>
      </c>
    </row>
    <row r="424" spans="1:3" x14ac:dyDescent="0.3">
      <c r="A424" s="1" t="s">
        <v>50</v>
      </c>
      <c r="B424" s="1" t="s">
        <v>456</v>
      </c>
      <c r="C424" s="3">
        <v>5529503930</v>
      </c>
    </row>
    <row r="425" spans="1:3" x14ac:dyDescent="0.3">
      <c r="A425" s="21" t="s">
        <v>50</v>
      </c>
      <c r="B425" s="21" t="s">
        <v>456</v>
      </c>
      <c r="C425" s="21">
        <v>5529503930</v>
      </c>
    </row>
    <row r="426" spans="1:3" x14ac:dyDescent="0.3">
      <c r="A426" s="1" t="s">
        <v>457</v>
      </c>
      <c r="B426" s="1" t="s">
        <v>458</v>
      </c>
      <c r="C426" s="1">
        <v>5610186288</v>
      </c>
    </row>
    <row r="427" spans="1:3" x14ac:dyDescent="0.3">
      <c r="A427" s="21" t="s">
        <v>457</v>
      </c>
      <c r="B427" s="21" t="s">
        <v>458</v>
      </c>
      <c r="C427" s="21">
        <v>5610186288</v>
      </c>
    </row>
    <row r="428" spans="1:3" x14ac:dyDescent="0.3">
      <c r="A428" s="1" t="s">
        <v>459</v>
      </c>
      <c r="B428" s="1" t="s">
        <v>74</v>
      </c>
      <c r="C428" s="1">
        <v>5542058607</v>
      </c>
    </row>
    <row r="429" spans="1:3" x14ac:dyDescent="0.3">
      <c r="A429" s="21" t="s">
        <v>131</v>
      </c>
      <c r="B429" s="21" t="s">
        <v>119</v>
      </c>
      <c r="C429" s="21">
        <v>5551141444</v>
      </c>
    </row>
    <row r="430" spans="1:3" x14ac:dyDescent="0.3">
      <c r="A430" s="1" t="s">
        <v>460</v>
      </c>
      <c r="B430" s="1" t="s">
        <v>274</v>
      </c>
      <c r="C430" s="1">
        <v>5534651744</v>
      </c>
    </row>
    <row r="431" spans="1:3" x14ac:dyDescent="0.3">
      <c r="A431" s="27" t="s">
        <v>464</v>
      </c>
      <c r="B431" s="27" t="s">
        <v>465</v>
      </c>
      <c r="C431" s="27">
        <v>5530077745</v>
      </c>
    </row>
    <row r="432" spans="1:3" x14ac:dyDescent="0.3">
      <c r="A432" s="1" t="s">
        <v>466</v>
      </c>
      <c r="B432" s="1" t="s">
        <v>467</v>
      </c>
      <c r="C432" s="1">
        <v>5645431564</v>
      </c>
    </row>
    <row r="433" spans="1:3" x14ac:dyDescent="0.3">
      <c r="A433" s="27" t="s">
        <v>158</v>
      </c>
      <c r="B433" s="27" t="s">
        <v>159</v>
      </c>
      <c r="C433" s="27">
        <v>5570826626</v>
      </c>
    </row>
    <row r="434" spans="1:3" x14ac:dyDescent="0.3">
      <c r="A434" s="3" t="s">
        <v>158</v>
      </c>
      <c r="B434" s="3" t="s">
        <v>159</v>
      </c>
      <c r="C434" s="1">
        <v>5570826626</v>
      </c>
    </row>
    <row r="435" spans="1:3" x14ac:dyDescent="0.3">
      <c r="A435" s="27" t="s">
        <v>468</v>
      </c>
      <c r="B435" s="27" t="s">
        <v>41</v>
      </c>
      <c r="C435" s="27">
        <v>5517473496</v>
      </c>
    </row>
    <row r="436" spans="1:3" x14ac:dyDescent="0.3">
      <c r="A436" s="1" t="s">
        <v>245</v>
      </c>
      <c r="B436" s="1" t="s">
        <v>469</v>
      </c>
      <c r="C436" s="1">
        <v>5511246208</v>
      </c>
    </row>
    <row r="437" spans="1:3" x14ac:dyDescent="0.3">
      <c r="A437" s="27" t="s">
        <v>457</v>
      </c>
      <c r="B437" s="27" t="s">
        <v>470</v>
      </c>
      <c r="C437" s="27">
        <v>5610186288</v>
      </c>
    </row>
    <row r="438" spans="1:3" x14ac:dyDescent="0.3">
      <c r="A438" s="1" t="s">
        <v>471</v>
      </c>
      <c r="B438" s="1" t="s">
        <v>65</v>
      </c>
      <c r="C438" s="1">
        <v>5634461063</v>
      </c>
    </row>
    <row r="439" spans="1:3" x14ac:dyDescent="0.3">
      <c r="A439" s="27" t="s">
        <v>271</v>
      </c>
      <c r="B439" s="27" t="s">
        <v>339</v>
      </c>
      <c r="C439" s="27">
        <v>5535892760</v>
      </c>
    </row>
    <row r="440" spans="1:3" x14ac:dyDescent="0.3">
      <c r="A440" s="5" t="s">
        <v>472</v>
      </c>
      <c r="B440" s="5" t="s">
        <v>0</v>
      </c>
      <c r="C440" s="5">
        <v>5536695063</v>
      </c>
    </row>
    <row r="441" spans="1:3" x14ac:dyDescent="0.3">
      <c r="A441" s="27" t="s">
        <v>473</v>
      </c>
      <c r="B441" s="27" t="s">
        <v>115</v>
      </c>
      <c r="C441" s="27">
        <v>5638291782</v>
      </c>
    </row>
    <row r="442" spans="1:3" x14ac:dyDescent="0.3">
      <c r="A442" s="5" t="s">
        <v>475</v>
      </c>
      <c r="B442" s="5" t="s">
        <v>474</v>
      </c>
      <c r="C442" s="5">
        <v>5580868743</v>
      </c>
    </row>
    <row r="443" spans="1:3" x14ac:dyDescent="0.3">
      <c r="A443" s="27" t="s">
        <v>475</v>
      </c>
      <c r="B443" s="27" t="s">
        <v>474</v>
      </c>
      <c r="C443" s="27">
        <v>5580868743</v>
      </c>
    </row>
    <row r="444" spans="1:3" x14ac:dyDescent="0.3">
      <c r="A444" s="1" t="s">
        <v>476</v>
      </c>
      <c r="B444" s="1" t="s">
        <v>429</v>
      </c>
      <c r="C444" s="1">
        <v>5549083825</v>
      </c>
    </row>
    <row r="445" spans="1:3" x14ac:dyDescent="0.3">
      <c r="A445" s="27" t="s">
        <v>448</v>
      </c>
      <c r="B445" s="27" t="s">
        <v>218</v>
      </c>
      <c r="C445" s="27">
        <v>5539511994</v>
      </c>
    </row>
    <row r="446" spans="1:3" x14ac:dyDescent="0.3">
      <c r="A446" s="1" t="s">
        <v>477</v>
      </c>
      <c r="B446" s="1" t="s">
        <v>478</v>
      </c>
      <c r="C446" s="1">
        <v>5631001997</v>
      </c>
    </row>
    <row r="447" spans="1:3" x14ac:dyDescent="0.3">
      <c r="A447" s="27" t="s">
        <v>477</v>
      </c>
      <c r="B447" s="27" t="s">
        <v>478</v>
      </c>
      <c r="C447" s="27">
        <v>5631001997</v>
      </c>
    </row>
    <row r="448" spans="1:3" x14ac:dyDescent="0.3">
      <c r="A448" s="1" t="s">
        <v>213</v>
      </c>
      <c r="B448" s="1" t="s">
        <v>6</v>
      </c>
      <c r="C448" s="1">
        <v>5518465090</v>
      </c>
    </row>
    <row r="449" spans="1:3" x14ac:dyDescent="0.3">
      <c r="A449" s="27" t="s">
        <v>485</v>
      </c>
      <c r="B449" s="27" t="s">
        <v>479</v>
      </c>
      <c r="C449" s="27">
        <v>5542916268</v>
      </c>
    </row>
    <row r="450" spans="1:3" x14ac:dyDescent="0.3">
      <c r="A450" s="1" t="s">
        <v>102</v>
      </c>
      <c r="B450" s="1" t="s">
        <v>103</v>
      </c>
      <c r="C450" s="1">
        <v>5541783566</v>
      </c>
    </row>
    <row r="451" spans="1:3" x14ac:dyDescent="0.3">
      <c r="A451" s="27" t="s">
        <v>224</v>
      </c>
      <c r="B451" s="27" t="s">
        <v>480</v>
      </c>
      <c r="C451" s="27">
        <v>5539564988</v>
      </c>
    </row>
    <row r="452" spans="1:3" x14ac:dyDescent="0.3">
      <c r="A452" s="1" t="s">
        <v>121</v>
      </c>
      <c r="B452" s="1" t="s">
        <v>41</v>
      </c>
      <c r="C452" s="1">
        <v>5642852406</v>
      </c>
    </row>
    <row r="453" spans="1:3" x14ac:dyDescent="0.3">
      <c r="A453" s="27" t="s">
        <v>121</v>
      </c>
      <c r="B453" s="27" t="s">
        <v>41</v>
      </c>
      <c r="C453" s="27">
        <v>5642852406</v>
      </c>
    </row>
    <row r="454" spans="1:3" x14ac:dyDescent="0.3">
      <c r="A454" s="1" t="s">
        <v>481</v>
      </c>
      <c r="B454" s="1" t="s">
        <v>482</v>
      </c>
      <c r="C454" s="1"/>
    </row>
    <row r="455" spans="1:3" x14ac:dyDescent="0.3">
      <c r="A455" s="27" t="s">
        <v>483</v>
      </c>
      <c r="B455" s="27" t="s">
        <v>484</v>
      </c>
      <c r="C455" s="27">
        <v>553434179</v>
      </c>
    </row>
    <row r="456" spans="1:3" x14ac:dyDescent="0.3">
      <c r="A456" s="1" t="s">
        <v>483</v>
      </c>
      <c r="B456" s="1" t="s">
        <v>484</v>
      </c>
      <c r="C456" s="1">
        <v>553434179</v>
      </c>
    </row>
    <row r="457" spans="1:3" x14ac:dyDescent="0.3">
      <c r="A457" s="27" t="s">
        <v>486</v>
      </c>
      <c r="B457" s="27" t="s">
        <v>144</v>
      </c>
      <c r="C457" s="27">
        <v>5570114872</v>
      </c>
    </row>
    <row r="458" spans="1:3" x14ac:dyDescent="0.3">
      <c r="A458" s="1" t="s">
        <v>487</v>
      </c>
      <c r="B458" s="1" t="s">
        <v>237</v>
      </c>
      <c r="C458" s="1">
        <v>5627074145</v>
      </c>
    </row>
    <row r="459" spans="1:3" x14ac:dyDescent="0.3">
      <c r="A459" s="12" t="s">
        <v>488</v>
      </c>
      <c r="B459" s="12" t="s">
        <v>201</v>
      </c>
      <c r="C459" s="12">
        <v>5520900916</v>
      </c>
    </row>
    <row r="460" spans="1:3" x14ac:dyDescent="0.3">
      <c r="A460" s="1" t="s">
        <v>489</v>
      </c>
      <c r="B460" s="1" t="s">
        <v>490</v>
      </c>
      <c r="C460" s="1">
        <v>5540964748</v>
      </c>
    </row>
    <row r="461" spans="1:3" x14ac:dyDescent="0.3">
      <c r="A461" s="12" t="s">
        <v>491</v>
      </c>
      <c r="B461" s="12" t="s">
        <v>74</v>
      </c>
      <c r="C461" s="12">
        <v>5540443958</v>
      </c>
    </row>
    <row r="462" spans="1:3" x14ac:dyDescent="0.3">
      <c r="A462" s="1" t="s">
        <v>492</v>
      </c>
      <c r="B462" s="1" t="s">
        <v>493</v>
      </c>
      <c r="C462" s="1">
        <v>5544728797</v>
      </c>
    </row>
    <row r="463" spans="1:3" x14ac:dyDescent="0.3">
      <c r="A463" s="12" t="s">
        <v>492</v>
      </c>
      <c r="B463" s="12" t="s">
        <v>493</v>
      </c>
      <c r="C463" s="12">
        <v>5544728797</v>
      </c>
    </row>
    <row r="464" spans="1:3" x14ac:dyDescent="0.3">
      <c r="A464" s="1" t="s">
        <v>494</v>
      </c>
      <c r="B464" s="1" t="s">
        <v>495</v>
      </c>
      <c r="C464" s="1">
        <v>5575130865</v>
      </c>
    </row>
    <row r="465" spans="1:3" x14ac:dyDescent="0.3">
      <c r="A465" s="12" t="s">
        <v>8</v>
      </c>
      <c r="B465" s="12" t="s">
        <v>9</v>
      </c>
      <c r="C465" s="12">
        <v>3223271288</v>
      </c>
    </row>
    <row r="466" spans="1:3" x14ac:dyDescent="0.3">
      <c r="A466" s="1" t="s">
        <v>8</v>
      </c>
      <c r="B466" s="1" t="s">
        <v>9</v>
      </c>
      <c r="C466" s="1">
        <v>3223271288</v>
      </c>
    </row>
    <row r="467" spans="1:3" x14ac:dyDescent="0.3">
      <c r="A467" s="12" t="s">
        <v>486</v>
      </c>
      <c r="B467" s="12" t="s">
        <v>144</v>
      </c>
      <c r="C467" s="12">
        <v>5570114872</v>
      </c>
    </row>
    <row r="468" spans="1:3" x14ac:dyDescent="0.3">
      <c r="A468" s="1" t="s">
        <v>496</v>
      </c>
      <c r="B468" s="1" t="s">
        <v>41</v>
      </c>
      <c r="C468" s="1">
        <v>5626009250</v>
      </c>
    </row>
    <row r="469" spans="1:3" x14ac:dyDescent="0.3">
      <c r="A469" s="12" t="s">
        <v>496</v>
      </c>
      <c r="B469" s="12" t="s">
        <v>41</v>
      </c>
      <c r="C469" s="12">
        <v>5626009250</v>
      </c>
    </row>
    <row r="470" spans="1:3" x14ac:dyDescent="0.3">
      <c r="A470" s="1" t="s">
        <v>497</v>
      </c>
      <c r="B470" s="1" t="s">
        <v>46</v>
      </c>
      <c r="C470" s="1">
        <v>5534011197</v>
      </c>
    </row>
    <row r="471" spans="1:3" x14ac:dyDescent="0.3">
      <c r="A471" s="12" t="s">
        <v>497</v>
      </c>
      <c r="B471" s="12" t="s">
        <v>46</v>
      </c>
      <c r="C471" s="12">
        <v>5534011197</v>
      </c>
    </row>
    <row r="472" spans="1:3" x14ac:dyDescent="0.3">
      <c r="A472" s="1" t="s">
        <v>504</v>
      </c>
      <c r="B472" s="1" t="s">
        <v>237</v>
      </c>
      <c r="C472" s="1">
        <v>5634489738</v>
      </c>
    </row>
    <row r="473" spans="1:3" x14ac:dyDescent="0.3">
      <c r="A473" s="12" t="s">
        <v>498</v>
      </c>
      <c r="B473" s="12" t="s">
        <v>41</v>
      </c>
      <c r="C473" s="12"/>
    </row>
    <row r="474" spans="1:3" x14ac:dyDescent="0.3">
      <c r="A474" s="1" t="s">
        <v>498</v>
      </c>
      <c r="B474" s="1" t="s">
        <v>41</v>
      </c>
      <c r="C474" s="1"/>
    </row>
    <row r="475" spans="1:3" x14ac:dyDescent="0.3">
      <c r="A475" s="12" t="s">
        <v>499</v>
      </c>
      <c r="B475" s="12" t="s">
        <v>500</v>
      </c>
      <c r="C475" s="12">
        <v>5611618387</v>
      </c>
    </row>
    <row r="476" spans="1:3" x14ac:dyDescent="0.3">
      <c r="A476" s="1" t="s">
        <v>499</v>
      </c>
      <c r="B476" s="1" t="s">
        <v>500</v>
      </c>
      <c r="C476" s="1">
        <v>5611618387</v>
      </c>
    </row>
    <row r="477" spans="1:3" x14ac:dyDescent="0.3">
      <c r="A477" s="12" t="s">
        <v>501</v>
      </c>
      <c r="B477" s="12" t="s">
        <v>107</v>
      </c>
      <c r="C477" s="12">
        <v>5529518233</v>
      </c>
    </row>
    <row r="478" spans="1:3" x14ac:dyDescent="0.3">
      <c r="A478" s="1" t="s">
        <v>502</v>
      </c>
      <c r="B478" s="1" t="s">
        <v>503</v>
      </c>
      <c r="C478" s="1">
        <v>5568148903</v>
      </c>
    </row>
    <row r="479" spans="1:3" x14ac:dyDescent="0.3">
      <c r="A479" s="12" t="s">
        <v>502</v>
      </c>
      <c r="B479" s="12" t="s">
        <v>503</v>
      </c>
      <c r="C479" s="12">
        <v>5568148903</v>
      </c>
    </row>
    <row r="480" spans="1:3" x14ac:dyDescent="0.3">
      <c r="A480" s="1" t="s">
        <v>505</v>
      </c>
      <c r="B480" s="1" t="s">
        <v>506</v>
      </c>
      <c r="C480" s="1">
        <v>5526798693</v>
      </c>
    </row>
    <row r="481" spans="1:3" x14ac:dyDescent="0.3">
      <c r="A481" s="30" t="s">
        <v>476</v>
      </c>
      <c r="B481" s="30" t="s">
        <v>425</v>
      </c>
      <c r="C481" s="30"/>
    </row>
    <row r="482" spans="1:3" x14ac:dyDescent="0.3">
      <c r="A482" s="1" t="s">
        <v>507</v>
      </c>
      <c r="B482" s="1" t="s">
        <v>425</v>
      </c>
      <c r="C482" s="1">
        <v>5664328489</v>
      </c>
    </row>
    <row r="483" spans="1:3" x14ac:dyDescent="0.3">
      <c r="A483" s="30" t="s">
        <v>508</v>
      </c>
      <c r="B483" s="30" t="s">
        <v>14</v>
      </c>
      <c r="C483" s="30">
        <v>5577340401</v>
      </c>
    </row>
    <row r="484" spans="1:3" x14ac:dyDescent="0.3">
      <c r="A484" s="1" t="s">
        <v>509</v>
      </c>
      <c r="B484" s="1" t="s">
        <v>425</v>
      </c>
      <c r="C484" s="1">
        <v>5518145994</v>
      </c>
    </row>
    <row r="485" spans="1:3" x14ac:dyDescent="0.3">
      <c r="A485" s="30" t="s">
        <v>240</v>
      </c>
      <c r="B485" s="30" t="s">
        <v>379</v>
      </c>
      <c r="C485" s="30">
        <v>5538109222</v>
      </c>
    </row>
    <row r="486" spans="1:3" x14ac:dyDescent="0.3">
      <c r="A486" s="1" t="s">
        <v>224</v>
      </c>
      <c r="B486" s="1" t="s">
        <v>480</v>
      </c>
      <c r="C486" s="1">
        <v>5539564988</v>
      </c>
    </row>
    <row r="487" spans="1:3" x14ac:dyDescent="0.3">
      <c r="A487" s="30" t="s">
        <v>510</v>
      </c>
      <c r="B487" s="30" t="s">
        <v>46</v>
      </c>
      <c r="C487" s="30">
        <v>5577352063</v>
      </c>
    </row>
    <row r="488" spans="1:3" x14ac:dyDescent="0.3">
      <c r="A488" s="1" t="s">
        <v>513</v>
      </c>
      <c r="B488" s="1" t="s">
        <v>46</v>
      </c>
      <c r="C488" s="1">
        <v>5565868897</v>
      </c>
    </row>
    <row r="489" spans="1:3" x14ac:dyDescent="0.3">
      <c r="A489" s="30" t="s">
        <v>262</v>
      </c>
      <c r="B489" s="30" t="s">
        <v>511</v>
      </c>
      <c r="C489" s="30">
        <v>5547956325</v>
      </c>
    </row>
    <row r="490" spans="1:3" x14ac:dyDescent="0.3">
      <c r="A490" s="1" t="s">
        <v>262</v>
      </c>
      <c r="B490" s="1" t="s">
        <v>511</v>
      </c>
      <c r="C490" s="1">
        <v>5547956325</v>
      </c>
    </row>
    <row r="491" spans="1:3" x14ac:dyDescent="0.3">
      <c r="A491" s="30" t="s">
        <v>512</v>
      </c>
      <c r="B491" s="30" t="s">
        <v>153</v>
      </c>
      <c r="C491" s="30">
        <v>5557554633</v>
      </c>
    </row>
    <row r="492" spans="1:3" x14ac:dyDescent="0.3">
      <c r="A492" s="1" t="s">
        <v>512</v>
      </c>
      <c r="B492" s="1" t="s">
        <v>153</v>
      </c>
      <c r="C492" s="1">
        <v>5557554633</v>
      </c>
    </row>
    <row r="493" spans="1:3" x14ac:dyDescent="0.3">
      <c r="A493" s="30" t="s">
        <v>515</v>
      </c>
      <c r="B493" s="30" t="s">
        <v>514</v>
      </c>
      <c r="C493" s="30">
        <v>5517483758</v>
      </c>
    </row>
    <row r="494" spans="1:3" x14ac:dyDescent="0.3">
      <c r="A494" s="1" t="s">
        <v>516</v>
      </c>
      <c r="B494" s="1" t="s">
        <v>16</v>
      </c>
      <c r="C494" s="1">
        <v>5514614910</v>
      </c>
    </row>
    <row r="495" spans="1:3" x14ac:dyDescent="0.3">
      <c r="A495" s="31" t="s">
        <v>516</v>
      </c>
      <c r="B495" s="31" t="s">
        <v>16</v>
      </c>
      <c r="C495" s="31">
        <v>5514614910</v>
      </c>
    </row>
    <row r="496" spans="1:3" x14ac:dyDescent="0.3">
      <c r="A496" s="1" t="s">
        <v>517</v>
      </c>
      <c r="B496" s="1" t="s">
        <v>518</v>
      </c>
      <c r="C496" s="1">
        <v>5569318105</v>
      </c>
    </row>
    <row r="497" spans="1:3" x14ac:dyDescent="0.3">
      <c r="A497" s="30" t="s">
        <v>519</v>
      </c>
      <c r="B497" s="30" t="s">
        <v>520</v>
      </c>
      <c r="C497" s="30">
        <v>5531001281</v>
      </c>
    </row>
    <row r="498" spans="1:3" x14ac:dyDescent="0.3">
      <c r="A498" s="1" t="s">
        <v>521</v>
      </c>
      <c r="B498" s="1" t="s">
        <v>161</v>
      </c>
      <c r="C498" s="1">
        <v>5528013590</v>
      </c>
    </row>
    <row r="499" spans="1:3" x14ac:dyDescent="0.3">
      <c r="A499" s="30" t="s">
        <v>475</v>
      </c>
      <c r="B499" s="30" t="s">
        <v>474</v>
      </c>
      <c r="C499" s="30">
        <v>5580868743</v>
      </c>
    </row>
    <row r="500" spans="1:3" x14ac:dyDescent="0.3">
      <c r="A500" s="1" t="s">
        <v>522</v>
      </c>
      <c r="B500" s="1" t="s">
        <v>465</v>
      </c>
      <c r="C500" s="1">
        <v>5635031347</v>
      </c>
    </row>
    <row r="501" spans="1:3" x14ac:dyDescent="0.3">
      <c r="A501" s="30" t="s">
        <v>231</v>
      </c>
      <c r="B501" s="30" t="s">
        <v>28</v>
      </c>
      <c r="C501" s="30">
        <v>5528186245</v>
      </c>
    </row>
    <row r="502" spans="1:3" x14ac:dyDescent="0.3">
      <c r="A502" s="1" t="s">
        <v>523</v>
      </c>
      <c r="B502" s="1" t="s">
        <v>458</v>
      </c>
      <c r="C502" s="1">
        <v>5613536877</v>
      </c>
    </row>
    <row r="503" spans="1:3" x14ac:dyDescent="0.3">
      <c r="A503" s="24" t="s">
        <v>131</v>
      </c>
      <c r="B503" s="24" t="s">
        <v>119</v>
      </c>
      <c r="C503" s="24">
        <v>5551141444</v>
      </c>
    </row>
    <row r="504" spans="1:3" x14ac:dyDescent="0.3">
      <c r="A504" s="1" t="s">
        <v>524</v>
      </c>
      <c r="B504" s="1" t="s">
        <v>339</v>
      </c>
      <c r="C504" s="1">
        <v>5621208844</v>
      </c>
    </row>
    <row r="505" spans="1:3" x14ac:dyDescent="0.3">
      <c r="A505" s="24" t="s">
        <v>524</v>
      </c>
      <c r="B505" s="24" t="s">
        <v>339</v>
      </c>
      <c r="C505" s="24">
        <v>5621208844</v>
      </c>
    </row>
    <row r="506" spans="1:3" x14ac:dyDescent="0.3">
      <c r="A506" s="1" t="s">
        <v>525</v>
      </c>
      <c r="B506" s="1" t="s">
        <v>425</v>
      </c>
      <c r="C506" s="1">
        <v>5578369465</v>
      </c>
    </row>
    <row r="507" spans="1:3" x14ac:dyDescent="0.3">
      <c r="A507" s="24" t="s">
        <v>525</v>
      </c>
      <c r="B507" s="24" t="s">
        <v>425</v>
      </c>
      <c r="C507" s="24">
        <v>5578369465</v>
      </c>
    </row>
    <row r="508" spans="1:3" x14ac:dyDescent="0.3">
      <c r="A508" s="1" t="s">
        <v>526</v>
      </c>
      <c r="B508" s="1" t="s">
        <v>63</v>
      </c>
      <c r="C508" s="1">
        <v>5514407771</v>
      </c>
    </row>
    <row r="509" spans="1:3" x14ac:dyDescent="0.3">
      <c r="A509" s="24" t="s">
        <v>527</v>
      </c>
      <c r="B509" s="24" t="s">
        <v>90</v>
      </c>
      <c r="C509" s="24">
        <v>5513656850</v>
      </c>
    </row>
    <row r="510" spans="1:3" x14ac:dyDescent="0.3">
      <c r="A510" s="1" t="s">
        <v>528</v>
      </c>
      <c r="B510" s="1" t="s">
        <v>0</v>
      </c>
      <c r="C510" s="1">
        <v>5513760260</v>
      </c>
    </row>
    <row r="511" spans="1:3" x14ac:dyDescent="0.3">
      <c r="A511" s="24" t="s">
        <v>529</v>
      </c>
      <c r="B511" s="24" t="s">
        <v>514</v>
      </c>
      <c r="C511" s="24">
        <v>5529662811</v>
      </c>
    </row>
    <row r="512" spans="1:3" x14ac:dyDescent="0.3">
      <c r="A512" s="1" t="s">
        <v>529</v>
      </c>
      <c r="B512" s="1" t="s">
        <v>514</v>
      </c>
      <c r="C512" s="1">
        <v>5529662811</v>
      </c>
    </row>
    <row r="513" spans="1:3" x14ac:dyDescent="0.3">
      <c r="A513" s="24" t="s">
        <v>530</v>
      </c>
      <c r="B513" s="24" t="s">
        <v>252</v>
      </c>
      <c r="C513" s="24">
        <v>5554704647</v>
      </c>
    </row>
    <row r="514" spans="1:3" x14ac:dyDescent="0.3">
      <c r="A514" s="1" t="s">
        <v>530</v>
      </c>
      <c r="B514" s="1" t="s">
        <v>252</v>
      </c>
      <c r="C514" s="1">
        <v>5554704647</v>
      </c>
    </row>
    <row r="515" spans="1:3" x14ac:dyDescent="0.3">
      <c r="A515" s="21" t="s">
        <v>432</v>
      </c>
      <c r="B515" s="21" t="s">
        <v>531</v>
      </c>
      <c r="C515" s="21">
        <v>5614639380</v>
      </c>
    </row>
    <row r="516" spans="1:3" x14ac:dyDescent="0.3">
      <c r="A516" s="1" t="s">
        <v>532</v>
      </c>
      <c r="B516" s="1" t="s">
        <v>208</v>
      </c>
      <c r="C516" s="1">
        <v>5535537817</v>
      </c>
    </row>
    <row r="517" spans="1:3" x14ac:dyDescent="0.3">
      <c r="A517" s="21" t="s">
        <v>533</v>
      </c>
      <c r="B517" s="21" t="s">
        <v>218</v>
      </c>
      <c r="C517" s="21">
        <v>4686896870</v>
      </c>
    </row>
    <row r="518" spans="1:3" x14ac:dyDescent="0.3">
      <c r="A518" s="1" t="s">
        <v>534</v>
      </c>
      <c r="B518" s="1" t="s">
        <v>425</v>
      </c>
      <c r="C518" s="1">
        <v>5544889671</v>
      </c>
    </row>
    <row r="519" spans="1:3" x14ac:dyDescent="0.3">
      <c r="A519" s="21" t="s">
        <v>535</v>
      </c>
      <c r="B519" s="21" t="s">
        <v>536</v>
      </c>
      <c r="C519" s="21">
        <v>5621395439</v>
      </c>
    </row>
    <row r="520" spans="1:3" x14ac:dyDescent="0.3">
      <c r="A520" s="1" t="s">
        <v>224</v>
      </c>
      <c r="B520" s="1" t="s">
        <v>480</v>
      </c>
      <c r="C520" s="1">
        <v>5539564988</v>
      </c>
    </row>
    <row r="521" spans="1:3" x14ac:dyDescent="0.3">
      <c r="A521" s="21" t="s">
        <v>537</v>
      </c>
      <c r="B521" s="21" t="s">
        <v>538</v>
      </c>
      <c r="C521" s="21">
        <v>5541813683</v>
      </c>
    </row>
    <row r="522" spans="1:3" x14ac:dyDescent="0.3">
      <c r="A522" s="1" t="s">
        <v>539</v>
      </c>
      <c r="B522" s="1" t="s">
        <v>540</v>
      </c>
      <c r="C522" s="1">
        <v>5561088792</v>
      </c>
    </row>
    <row r="523" spans="1:3" x14ac:dyDescent="0.3">
      <c r="A523" s="21" t="s">
        <v>59</v>
      </c>
      <c r="B523" s="21" t="s">
        <v>541</v>
      </c>
      <c r="C523" s="21">
        <v>5631653944</v>
      </c>
    </row>
    <row r="524" spans="1:3" x14ac:dyDescent="0.3">
      <c r="A524" s="1" t="s">
        <v>542</v>
      </c>
      <c r="B524" s="1" t="s">
        <v>543</v>
      </c>
      <c r="C524" s="1">
        <v>5548815048</v>
      </c>
    </row>
    <row r="525" spans="1:3" x14ac:dyDescent="0.3">
      <c r="A525" s="21" t="s">
        <v>544</v>
      </c>
      <c r="B525" s="21" t="s">
        <v>545</v>
      </c>
      <c r="C525" s="21">
        <v>5611721511</v>
      </c>
    </row>
    <row r="526" spans="1:3" x14ac:dyDescent="0.3">
      <c r="A526" s="1" t="s">
        <v>546</v>
      </c>
      <c r="B526" s="1" t="s">
        <v>336</v>
      </c>
      <c r="C526" s="1">
        <v>5527577305</v>
      </c>
    </row>
    <row r="527" spans="1:3" x14ac:dyDescent="0.3">
      <c r="A527" s="21" t="s">
        <v>547</v>
      </c>
      <c r="B527" s="21" t="s">
        <v>548</v>
      </c>
      <c r="C527" s="21">
        <v>5543479679</v>
      </c>
    </row>
    <row r="528" spans="1:3" x14ac:dyDescent="0.3">
      <c r="A528" s="1" t="s">
        <v>549</v>
      </c>
      <c r="B528" s="1" t="s">
        <v>550</v>
      </c>
      <c r="C528" s="1">
        <v>5580885800</v>
      </c>
    </row>
    <row r="529" spans="1:3" x14ac:dyDescent="0.3">
      <c r="A529" s="27" t="s">
        <v>551</v>
      </c>
      <c r="B529" s="27" t="s">
        <v>147</v>
      </c>
      <c r="C529" s="27">
        <v>5565742938</v>
      </c>
    </row>
    <row r="530" spans="1:3" x14ac:dyDescent="0.3">
      <c r="A530" s="1" t="s">
        <v>552</v>
      </c>
      <c r="B530" s="1" t="s">
        <v>107</v>
      </c>
      <c r="C530" s="1">
        <v>5514795402</v>
      </c>
    </row>
    <row r="531" spans="1:3" x14ac:dyDescent="0.3">
      <c r="A531" s="27" t="s">
        <v>553</v>
      </c>
      <c r="B531" s="27" t="s">
        <v>345</v>
      </c>
      <c r="C531" s="27">
        <v>5523788617</v>
      </c>
    </row>
    <row r="532" spans="1:3" x14ac:dyDescent="0.3">
      <c r="A532" s="1" t="s">
        <v>554</v>
      </c>
      <c r="B532" s="1" t="s">
        <v>163</v>
      </c>
      <c r="C532" s="1">
        <v>5531441980</v>
      </c>
    </row>
    <row r="533" spans="1:3" x14ac:dyDescent="0.3">
      <c r="A533" s="27" t="s">
        <v>275</v>
      </c>
      <c r="B533" s="27" t="s">
        <v>276</v>
      </c>
      <c r="C533" s="27">
        <v>5511246208</v>
      </c>
    </row>
    <row r="534" spans="1:3" x14ac:dyDescent="0.3">
      <c r="A534" s="1" t="s">
        <v>275</v>
      </c>
      <c r="B534" s="1" t="s">
        <v>276</v>
      </c>
      <c r="C534" s="1">
        <v>5511246208</v>
      </c>
    </row>
    <row r="535" spans="1:3" x14ac:dyDescent="0.3">
      <c r="A535" s="28" t="s">
        <v>549</v>
      </c>
      <c r="B535" s="27" t="s">
        <v>555</v>
      </c>
      <c r="C535" s="27">
        <v>5580885800</v>
      </c>
    </row>
    <row r="536" spans="1:3" x14ac:dyDescent="0.3">
      <c r="A536" s="1" t="s">
        <v>556</v>
      </c>
      <c r="B536" s="1" t="s">
        <v>561</v>
      </c>
      <c r="C536" s="1">
        <v>5630067875</v>
      </c>
    </row>
    <row r="537" spans="1:3" x14ac:dyDescent="0.3">
      <c r="A537" s="27" t="s">
        <v>557</v>
      </c>
      <c r="B537" s="27" t="s">
        <v>558</v>
      </c>
      <c r="C537" s="27">
        <v>5513703531</v>
      </c>
    </row>
    <row r="538" spans="1:3" x14ac:dyDescent="0.3">
      <c r="A538" s="1" t="s">
        <v>532</v>
      </c>
      <c r="B538" s="1" t="s">
        <v>208</v>
      </c>
      <c r="C538" s="1">
        <v>5535537817</v>
      </c>
    </row>
    <row r="539" spans="1:3" x14ac:dyDescent="0.3">
      <c r="A539" s="27" t="s">
        <v>559</v>
      </c>
      <c r="B539" s="27" t="s">
        <v>560</v>
      </c>
      <c r="C539" s="27"/>
    </row>
    <row r="540" spans="1:3" x14ac:dyDescent="0.3">
      <c r="A540" s="1" t="s">
        <v>559</v>
      </c>
      <c r="B540" s="1" t="s">
        <v>560</v>
      </c>
      <c r="C540" s="1"/>
    </row>
    <row r="541" spans="1:3" x14ac:dyDescent="0.3">
      <c r="A541" s="27" t="s">
        <v>559</v>
      </c>
      <c r="B541" s="27" t="s">
        <v>560</v>
      </c>
      <c r="C541" s="27"/>
    </row>
    <row r="542" spans="1:3" x14ac:dyDescent="0.3">
      <c r="A542" s="1" t="s">
        <v>186</v>
      </c>
      <c r="B542" s="1" t="s">
        <v>187</v>
      </c>
      <c r="C542" s="1">
        <v>5610944519</v>
      </c>
    </row>
    <row r="543" spans="1:3" x14ac:dyDescent="0.3">
      <c r="A543" s="12" t="s">
        <v>562</v>
      </c>
      <c r="B543" s="12" t="s">
        <v>297</v>
      </c>
      <c r="C543" s="12">
        <v>5584978785</v>
      </c>
    </row>
    <row r="544" spans="1:3" x14ac:dyDescent="0.3">
      <c r="A544" s="1" t="s">
        <v>563</v>
      </c>
      <c r="B544" s="1" t="s">
        <v>564</v>
      </c>
      <c r="C544" s="1">
        <v>4423392533</v>
      </c>
    </row>
    <row r="545" spans="1:3" x14ac:dyDescent="0.3">
      <c r="A545" s="12" t="s">
        <v>565</v>
      </c>
      <c r="B545" s="12" t="s">
        <v>465</v>
      </c>
      <c r="C545" s="12">
        <v>5559307944</v>
      </c>
    </row>
    <row r="546" spans="1:3" x14ac:dyDescent="0.3">
      <c r="A546" s="1" t="s">
        <v>158</v>
      </c>
      <c r="B546" s="1" t="s">
        <v>159</v>
      </c>
      <c r="C546" s="1">
        <v>5570826626</v>
      </c>
    </row>
    <row r="547" spans="1:3" x14ac:dyDescent="0.3">
      <c r="A547" s="12" t="s">
        <v>566</v>
      </c>
      <c r="B547" s="12" t="s">
        <v>54</v>
      </c>
      <c r="C547" s="12">
        <v>5533096013</v>
      </c>
    </row>
    <row r="548" spans="1:3" x14ac:dyDescent="0.3">
      <c r="A548" s="1" t="s">
        <v>559</v>
      </c>
      <c r="B548" s="1" t="s">
        <v>560</v>
      </c>
      <c r="C548" s="1"/>
    </row>
    <row r="549" spans="1:3" x14ac:dyDescent="0.3">
      <c r="A549" s="12" t="s">
        <v>577</v>
      </c>
      <c r="B549" s="12" t="s">
        <v>578</v>
      </c>
      <c r="C549" s="12">
        <v>5544489801</v>
      </c>
    </row>
    <row r="550" spans="1:3" x14ac:dyDescent="0.3">
      <c r="A550" s="1" t="s">
        <v>579</v>
      </c>
      <c r="B550" s="1" t="s">
        <v>580</v>
      </c>
      <c r="C550" s="1">
        <v>5515369770</v>
      </c>
    </row>
    <row r="551" spans="1:3" x14ac:dyDescent="0.3">
      <c r="A551" s="12" t="s">
        <v>567</v>
      </c>
      <c r="B551" s="12" t="s">
        <v>576</v>
      </c>
      <c r="C551" s="12">
        <v>5644827929</v>
      </c>
    </row>
    <row r="552" spans="1:3" x14ac:dyDescent="0.3">
      <c r="A552" s="1" t="s">
        <v>568</v>
      </c>
      <c r="B552" s="1" t="s">
        <v>123</v>
      </c>
      <c r="C552" s="1">
        <v>5528929533</v>
      </c>
    </row>
    <row r="553" spans="1:3" x14ac:dyDescent="0.3">
      <c r="A553" s="12" t="s">
        <v>146</v>
      </c>
      <c r="B553" s="12" t="s">
        <v>41</v>
      </c>
      <c r="C553" s="12">
        <v>5623922891</v>
      </c>
    </row>
    <row r="554" spans="1:3" x14ac:dyDescent="0.3">
      <c r="A554" s="1" t="s">
        <v>569</v>
      </c>
      <c r="B554" s="1" t="s">
        <v>306</v>
      </c>
      <c r="C554" s="1">
        <v>5513776404</v>
      </c>
    </row>
    <row r="555" spans="1:3" x14ac:dyDescent="0.3">
      <c r="A555" s="12" t="s">
        <v>570</v>
      </c>
      <c r="B555" s="12" t="s">
        <v>161</v>
      </c>
      <c r="C555" s="12">
        <v>5512477942</v>
      </c>
    </row>
    <row r="556" spans="1:3" x14ac:dyDescent="0.3">
      <c r="A556" s="1" t="s">
        <v>571</v>
      </c>
      <c r="B556" s="1" t="s">
        <v>572</v>
      </c>
      <c r="C556" s="1">
        <v>5574395989</v>
      </c>
    </row>
    <row r="557" spans="1:3" x14ac:dyDescent="0.3">
      <c r="A557" s="12" t="s">
        <v>573</v>
      </c>
      <c r="B557" s="12" t="s">
        <v>480</v>
      </c>
      <c r="C557" s="12">
        <v>5566293855</v>
      </c>
    </row>
    <row r="558" spans="1:3" x14ac:dyDescent="0.3">
      <c r="A558" s="1" t="s">
        <v>574</v>
      </c>
      <c r="B558" s="1" t="s">
        <v>575</v>
      </c>
      <c r="C558" s="1">
        <v>5557904336</v>
      </c>
    </row>
    <row r="559" spans="1:3" x14ac:dyDescent="0.3">
      <c r="A559" s="32" t="s">
        <v>108</v>
      </c>
      <c r="B559" s="32" t="s">
        <v>345</v>
      </c>
      <c r="C559" s="32">
        <v>5617630065</v>
      </c>
    </row>
    <row r="560" spans="1:3" x14ac:dyDescent="0.3">
      <c r="A560" s="1" t="s">
        <v>581</v>
      </c>
      <c r="B560" s="1" t="s">
        <v>582</v>
      </c>
      <c r="C560" s="1">
        <v>5578754494</v>
      </c>
    </row>
    <row r="561" spans="1:3" x14ac:dyDescent="0.3">
      <c r="A561" s="32" t="s">
        <v>583</v>
      </c>
      <c r="B561" s="32" t="s">
        <v>425</v>
      </c>
      <c r="C561" s="32">
        <v>5541424331</v>
      </c>
    </row>
    <row r="562" spans="1:3" x14ac:dyDescent="0.3">
      <c r="A562" s="1"/>
      <c r="B562" s="1"/>
      <c r="C562" s="1"/>
    </row>
    <row r="563" spans="1:3" x14ac:dyDescent="0.3">
      <c r="A563" s="32" t="s">
        <v>584</v>
      </c>
      <c r="B563" s="32" t="s">
        <v>324</v>
      </c>
      <c r="C563" s="32">
        <v>5544419441</v>
      </c>
    </row>
    <row r="564" spans="1:3" x14ac:dyDescent="0.3">
      <c r="A564" s="1" t="s">
        <v>585</v>
      </c>
      <c r="B564" s="1" t="s">
        <v>586</v>
      </c>
      <c r="C564" s="1">
        <v>5542503443</v>
      </c>
    </row>
    <row r="565" spans="1:3" x14ac:dyDescent="0.3">
      <c r="A565" s="32" t="s">
        <v>534</v>
      </c>
      <c r="B565" s="32" t="s">
        <v>425</v>
      </c>
      <c r="C565" s="32">
        <v>5544889071</v>
      </c>
    </row>
    <row r="566" spans="1:3" x14ac:dyDescent="0.3">
      <c r="A566" s="1" t="s">
        <v>587</v>
      </c>
      <c r="B566" s="1" t="s">
        <v>43</v>
      </c>
      <c r="C566" s="1">
        <v>5531646109</v>
      </c>
    </row>
    <row r="567" spans="1:3" x14ac:dyDescent="0.3">
      <c r="A567" s="32" t="s">
        <v>427</v>
      </c>
      <c r="B567" s="32" t="s">
        <v>324</v>
      </c>
      <c r="C567" s="32"/>
    </row>
    <row r="568" spans="1:3" x14ac:dyDescent="0.3">
      <c r="A568" s="1" t="s">
        <v>588</v>
      </c>
      <c r="B568" s="1" t="s">
        <v>56</v>
      </c>
      <c r="C568" s="1">
        <v>5523625972</v>
      </c>
    </row>
    <row r="569" spans="1:3" x14ac:dyDescent="0.3">
      <c r="A569" s="32" t="s">
        <v>589</v>
      </c>
      <c r="B569" s="32" t="s">
        <v>56</v>
      </c>
      <c r="C569" s="32">
        <v>5593072105</v>
      </c>
    </row>
    <row r="570" spans="1:3" x14ac:dyDescent="0.3">
      <c r="A570" s="1" t="s">
        <v>603</v>
      </c>
      <c r="B570" s="1" t="s">
        <v>60</v>
      </c>
      <c r="C570" s="1">
        <v>5596903852</v>
      </c>
    </row>
    <row r="571" spans="1:3" x14ac:dyDescent="0.3">
      <c r="A571" s="32" t="s">
        <v>604</v>
      </c>
      <c r="B571" s="32" t="s">
        <v>161</v>
      </c>
      <c r="C571" s="32">
        <v>5614193660</v>
      </c>
    </row>
    <row r="572" spans="1:3" x14ac:dyDescent="0.3">
      <c r="A572" s="1" t="s">
        <v>590</v>
      </c>
      <c r="B572" s="1" t="s">
        <v>123</v>
      </c>
      <c r="C572" s="1">
        <v>5582333678</v>
      </c>
    </row>
    <row r="573" spans="1:3" x14ac:dyDescent="0.3">
      <c r="A573" s="32" t="s">
        <v>298</v>
      </c>
      <c r="B573" s="32" t="s">
        <v>591</v>
      </c>
      <c r="C573" s="32">
        <v>5591940032</v>
      </c>
    </row>
    <row r="574" spans="1:3" x14ac:dyDescent="0.3">
      <c r="A574" s="1" t="s">
        <v>298</v>
      </c>
      <c r="B574" s="1" t="s">
        <v>591</v>
      </c>
      <c r="C574" s="1">
        <v>5591940032</v>
      </c>
    </row>
    <row r="575" spans="1:3" x14ac:dyDescent="0.3">
      <c r="A575" s="32" t="s">
        <v>594</v>
      </c>
      <c r="B575" s="32" t="s">
        <v>54</v>
      </c>
      <c r="C575" s="32">
        <v>5538830394</v>
      </c>
    </row>
    <row r="576" spans="1:3" x14ac:dyDescent="0.3">
      <c r="A576" s="1" t="s">
        <v>592</v>
      </c>
      <c r="B576" s="1" t="s">
        <v>592</v>
      </c>
      <c r="C576" s="1">
        <v>5542991429</v>
      </c>
    </row>
    <row r="577" spans="1:3" x14ac:dyDescent="0.3">
      <c r="A577" s="32" t="s">
        <v>270</v>
      </c>
      <c r="B577" s="32" t="s">
        <v>478</v>
      </c>
      <c r="C577" s="32">
        <v>5527842592</v>
      </c>
    </row>
    <row r="578" spans="1:3" x14ac:dyDescent="0.3">
      <c r="A578" s="1" t="s">
        <v>364</v>
      </c>
      <c r="B578" s="1" t="s">
        <v>593</v>
      </c>
      <c r="C578" s="1">
        <v>5527842592</v>
      </c>
    </row>
    <row r="579" spans="1:3" x14ac:dyDescent="0.3">
      <c r="A579" s="32" t="s">
        <v>364</v>
      </c>
      <c r="B579" s="32" t="s">
        <v>593</v>
      </c>
      <c r="C579" s="32">
        <v>5527842592</v>
      </c>
    </row>
    <row r="580" spans="1:3" x14ac:dyDescent="0.3">
      <c r="A580" s="1" t="s">
        <v>605</v>
      </c>
      <c r="B580" s="1" t="s">
        <v>152</v>
      </c>
      <c r="C580" s="1">
        <v>5540562652</v>
      </c>
    </row>
    <row r="581" spans="1:3" x14ac:dyDescent="0.3">
      <c r="A581" s="33" t="s">
        <v>606</v>
      </c>
      <c r="B581" s="33" t="s">
        <v>336</v>
      </c>
      <c r="C581" s="33">
        <v>5527577305</v>
      </c>
    </row>
    <row r="582" spans="1:3" x14ac:dyDescent="0.3">
      <c r="A582" s="1" t="s">
        <v>607</v>
      </c>
      <c r="B582" s="1" t="s">
        <v>204</v>
      </c>
      <c r="C582" s="1">
        <v>5570265288</v>
      </c>
    </row>
    <row r="583" spans="1:3" x14ac:dyDescent="0.3">
      <c r="A583" s="33" t="s">
        <v>609</v>
      </c>
      <c r="B583" s="33" t="s">
        <v>480</v>
      </c>
      <c r="C583" s="33">
        <v>5578808418</v>
      </c>
    </row>
    <row r="584" spans="1:3" x14ac:dyDescent="0.3">
      <c r="A584" s="1" t="s">
        <v>608</v>
      </c>
      <c r="B584" s="1" t="s">
        <v>297</v>
      </c>
      <c r="C584" s="1">
        <v>5525689508</v>
      </c>
    </row>
    <row r="585" spans="1:3" x14ac:dyDescent="0.3">
      <c r="A585" s="33" t="s">
        <v>224</v>
      </c>
      <c r="B585" s="33" t="s">
        <v>480</v>
      </c>
      <c r="C585" s="33">
        <v>5539564988</v>
      </c>
    </row>
    <row r="586" spans="1:3" x14ac:dyDescent="0.3">
      <c r="A586" s="1" t="s">
        <v>610</v>
      </c>
      <c r="B586" s="1" t="s">
        <v>611</v>
      </c>
      <c r="C586" s="1">
        <v>5582860407</v>
      </c>
    </row>
    <row r="587" spans="1:3" x14ac:dyDescent="0.3">
      <c r="A587" s="33" t="s">
        <v>254</v>
      </c>
      <c r="B587" s="33" t="s">
        <v>58</v>
      </c>
      <c r="C587" s="33"/>
    </row>
    <row r="588" spans="1:3" x14ac:dyDescent="0.3">
      <c r="A588" s="1" t="s">
        <v>310</v>
      </c>
      <c r="B588" s="1" t="s">
        <v>16</v>
      </c>
      <c r="C588" s="1">
        <v>5514614910</v>
      </c>
    </row>
    <row r="589" spans="1:3" x14ac:dyDescent="0.3">
      <c r="A589" s="33" t="s">
        <v>310</v>
      </c>
      <c r="B589" s="33" t="s">
        <v>16</v>
      </c>
      <c r="C589" s="33">
        <v>5514614910</v>
      </c>
    </row>
    <row r="590" spans="1:3" x14ac:dyDescent="0.3">
      <c r="A590" s="1" t="s">
        <v>612</v>
      </c>
      <c r="B590" s="1" t="s">
        <v>138</v>
      </c>
      <c r="C590" s="1">
        <v>5573589145</v>
      </c>
    </row>
    <row r="591" spans="1:3" x14ac:dyDescent="0.3">
      <c r="A591" s="33" t="s">
        <v>613</v>
      </c>
      <c r="B591" s="33" t="s">
        <v>4</v>
      </c>
      <c r="C591" s="33">
        <v>5548544917</v>
      </c>
    </row>
    <row r="592" spans="1:3" x14ac:dyDescent="0.3">
      <c r="A592" s="1" t="s">
        <v>428</v>
      </c>
      <c r="B592" s="1" t="s">
        <v>425</v>
      </c>
      <c r="C592" s="1">
        <v>5571687373</v>
      </c>
    </row>
    <row r="593" spans="1:3" x14ac:dyDescent="0.3">
      <c r="A593" s="33" t="s">
        <v>268</v>
      </c>
      <c r="B593" s="33" t="s">
        <v>614</v>
      </c>
      <c r="C593" s="33">
        <v>5512282267</v>
      </c>
    </row>
    <row r="594" spans="1:3" x14ac:dyDescent="0.3">
      <c r="A594" s="1" t="s">
        <v>615</v>
      </c>
      <c r="B594" s="1" t="s">
        <v>4</v>
      </c>
      <c r="C594" s="1">
        <v>5630057041</v>
      </c>
    </row>
    <row r="595" spans="1:3" x14ac:dyDescent="0.3">
      <c r="A595" s="33" t="s">
        <v>271</v>
      </c>
      <c r="B595" s="33" t="s">
        <v>616</v>
      </c>
      <c r="C595" s="33">
        <v>5535892760</v>
      </c>
    </row>
    <row r="596" spans="1:3" x14ac:dyDescent="0.3">
      <c r="A596" s="1" t="s">
        <v>314</v>
      </c>
      <c r="B596" s="1" t="s">
        <v>43</v>
      </c>
      <c r="C596" s="1">
        <v>5544844808</v>
      </c>
    </row>
    <row r="597" spans="1:3" x14ac:dyDescent="0.3">
      <c r="A597" s="24" t="s">
        <v>617</v>
      </c>
      <c r="B597" s="24"/>
      <c r="C597" s="24">
        <v>5578042002</v>
      </c>
    </row>
    <row r="598" spans="1:3" x14ac:dyDescent="0.3">
      <c r="A598" s="1" t="s">
        <v>618</v>
      </c>
      <c r="B598" s="1" t="s">
        <v>373</v>
      </c>
      <c r="C598" s="1">
        <v>5621347476</v>
      </c>
    </row>
    <row r="599" spans="1:3" x14ac:dyDescent="0.3">
      <c r="A599" s="24" t="s">
        <v>619</v>
      </c>
      <c r="B599" s="24" t="s">
        <v>41</v>
      </c>
      <c r="C599" s="24">
        <v>5527288634</v>
      </c>
    </row>
    <row r="600" spans="1:3" x14ac:dyDescent="0.3">
      <c r="A600" s="1" t="s">
        <v>620</v>
      </c>
      <c r="B600" s="1" t="s">
        <v>123</v>
      </c>
      <c r="C600" s="1">
        <v>5539252389</v>
      </c>
    </row>
    <row r="601" spans="1:3" x14ac:dyDescent="0.3">
      <c r="A601" s="24" t="s">
        <v>621</v>
      </c>
      <c r="B601" s="24" t="s">
        <v>622</v>
      </c>
      <c r="C601" s="24">
        <v>5610070561</v>
      </c>
    </row>
    <row r="602" spans="1:3" x14ac:dyDescent="0.3">
      <c r="A602" s="1" t="s">
        <v>623</v>
      </c>
      <c r="B602" s="1" t="s">
        <v>624</v>
      </c>
      <c r="C602" s="1">
        <v>5528831545</v>
      </c>
    </row>
    <row r="603" spans="1:3" x14ac:dyDescent="0.3">
      <c r="A603" s="24" t="s">
        <v>321</v>
      </c>
      <c r="B603" s="24" t="s">
        <v>293</v>
      </c>
      <c r="C603" s="24">
        <v>5547890823</v>
      </c>
    </row>
    <row r="604" spans="1:3" x14ac:dyDescent="0.3">
      <c r="A604" s="1" t="s">
        <v>625</v>
      </c>
      <c r="B604" s="1" t="s">
        <v>626</v>
      </c>
      <c r="C604" s="1">
        <v>5578992575</v>
      </c>
    </row>
    <row r="605" spans="1:3" x14ac:dyDescent="0.3">
      <c r="A605" s="24" t="s">
        <v>627</v>
      </c>
      <c r="B605" s="24" t="s">
        <v>68</v>
      </c>
      <c r="C605" s="24">
        <v>5539114957</v>
      </c>
    </row>
    <row r="606" spans="1:3" x14ac:dyDescent="0.3">
      <c r="A606" s="1" t="s">
        <v>628</v>
      </c>
      <c r="B606" s="1" t="s">
        <v>629</v>
      </c>
      <c r="C606" s="1">
        <v>5516841620</v>
      </c>
    </row>
    <row r="607" spans="1:3" x14ac:dyDescent="0.3">
      <c r="A607" s="24" t="s">
        <v>630</v>
      </c>
      <c r="B607" s="24" t="s">
        <v>631</v>
      </c>
      <c r="C607" s="24">
        <v>5517957453</v>
      </c>
    </row>
    <row r="608" spans="1:3" x14ac:dyDescent="0.3">
      <c r="A608" s="1" t="s">
        <v>258</v>
      </c>
      <c r="B608" s="1" t="s">
        <v>74</v>
      </c>
      <c r="C608" s="1">
        <v>5534755530</v>
      </c>
    </row>
    <row r="609" spans="1:3" x14ac:dyDescent="0.3">
      <c r="A609" s="24" t="s">
        <v>632</v>
      </c>
      <c r="B609" s="24" t="s">
        <v>274</v>
      </c>
      <c r="C609" s="24">
        <v>5539075497</v>
      </c>
    </row>
    <row r="610" spans="1:3" x14ac:dyDescent="0.3">
      <c r="A610" s="1" t="s">
        <v>633</v>
      </c>
      <c r="B610" s="1" t="s">
        <v>548</v>
      </c>
      <c r="C610" s="1">
        <v>5543730332</v>
      </c>
    </row>
    <row r="611" spans="1:3" x14ac:dyDescent="0.3">
      <c r="A611" s="24" t="s">
        <v>11</v>
      </c>
      <c r="B611" s="24" t="s">
        <v>143</v>
      </c>
      <c r="C611" s="24">
        <v>5518666206</v>
      </c>
    </row>
    <row r="612" spans="1:3" x14ac:dyDescent="0.3">
      <c r="A612" s="1" t="s">
        <v>634</v>
      </c>
      <c r="B612" s="1" t="s">
        <v>635</v>
      </c>
      <c r="C612" s="1">
        <v>4773993291</v>
      </c>
    </row>
    <row r="613" spans="1:3" x14ac:dyDescent="0.3">
      <c r="A613" s="24" t="s">
        <v>398</v>
      </c>
      <c r="B613" s="24" t="s">
        <v>253</v>
      </c>
      <c r="C613" s="24">
        <v>5535173661</v>
      </c>
    </row>
    <row r="614" spans="1:3" x14ac:dyDescent="0.3">
      <c r="A614" s="1" t="s">
        <v>636</v>
      </c>
      <c r="B614" s="1" t="s">
        <v>637</v>
      </c>
      <c r="C614" s="1">
        <v>5637294747</v>
      </c>
    </row>
    <row r="615" spans="1:3" x14ac:dyDescent="0.3">
      <c r="A615" s="24" t="s">
        <v>249</v>
      </c>
      <c r="B615" s="24" t="s">
        <v>250</v>
      </c>
      <c r="C615" s="24">
        <v>5535334019</v>
      </c>
    </row>
    <row r="616" spans="1:3" x14ac:dyDescent="0.3">
      <c r="A616" s="1" t="s">
        <v>638</v>
      </c>
      <c r="B616" s="1" t="s">
        <v>6</v>
      </c>
      <c r="C616" s="1">
        <v>5519234967</v>
      </c>
    </row>
    <row r="617" spans="1:3" x14ac:dyDescent="0.3">
      <c r="A617" s="21" t="s">
        <v>639</v>
      </c>
      <c r="B617" s="21" t="s">
        <v>640</v>
      </c>
      <c r="C617" s="21">
        <v>5583085008</v>
      </c>
    </row>
    <row r="618" spans="1:3" x14ac:dyDescent="0.3">
      <c r="A618" s="1" t="s">
        <v>641</v>
      </c>
      <c r="B618" s="1" t="s">
        <v>6</v>
      </c>
      <c r="C618" s="1">
        <v>5531384764</v>
      </c>
    </row>
    <row r="619" spans="1:3" x14ac:dyDescent="0.3">
      <c r="A619" s="21" t="s">
        <v>642</v>
      </c>
      <c r="B619" s="21" t="s">
        <v>478</v>
      </c>
      <c r="C619" s="21">
        <v>5512491180</v>
      </c>
    </row>
    <row r="620" spans="1:3" x14ac:dyDescent="0.3">
      <c r="A620" s="1" t="s">
        <v>636</v>
      </c>
      <c r="B620" s="1" t="s">
        <v>637</v>
      </c>
      <c r="C620" s="1">
        <v>5637294747</v>
      </c>
    </row>
    <row r="621" spans="1:3" x14ac:dyDescent="0.3">
      <c r="A621" s="21" t="s">
        <v>643</v>
      </c>
      <c r="B621" s="21" t="s">
        <v>626</v>
      </c>
      <c r="C621" s="21">
        <v>5538191584</v>
      </c>
    </row>
    <row r="622" spans="1:3" x14ac:dyDescent="0.3">
      <c r="A622" s="1" t="s">
        <v>644</v>
      </c>
      <c r="B622" s="1" t="s">
        <v>458</v>
      </c>
      <c r="C622" s="1">
        <v>5514476029</v>
      </c>
    </row>
    <row r="623" spans="1:3" x14ac:dyDescent="0.3">
      <c r="A623" s="21" t="s">
        <v>645</v>
      </c>
      <c r="B623" s="21" t="s">
        <v>311</v>
      </c>
      <c r="C623" s="21" t="s">
        <v>646</v>
      </c>
    </row>
    <row r="624" spans="1:3" x14ac:dyDescent="0.3">
      <c r="A624" s="1" t="s">
        <v>143</v>
      </c>
      <c r="B624" s="1" t="s">
        <v>41</v>
      </c>
      <c r="C624" s="1">
        <v>5518666206</v>
      </c>
    </row>
    <row r="625" spans="1:3" x14ac:dyDescent="0.3">
      <c r="A625" s="21" t="s">
        <v>143</v>
      </c>
      <c r="B625" s="21" t="s">
        <v>41</v>
      </c>
      <c r="C625" s="21">
        <v>5518666206</v>
      </c>
    </row>
    <row r="626" spans="1:3" x14ac:dyDescent="0.3">
      <c r="A626" s="1" t="s">
        <v>579</v>
      </c>
      <c r="B626" s="1" t="s">
        <v>580</v>
      </c>
      <c r="C626" s="1">
        <v>5515369770</v>
      </c>
    </row>
    <row r="627" spans="1:3" x14ac:dyDescent="0.3">
      <c r="A627" s="24" t="s">
        <v>647</v>
      </c>
      <c r="B627" s="24" t="s">
        <v>648</v>
      </c>
      <c r="C627" s="24">
        <v>5531175650</v>
      </c>
    </row>
    <row r="628" spans="1:3" x14ac:dyDescent="0.3">
      <c r="A628" s="1" t="s">
        <v>651</v>
      </c>
      <c r="B628" s="1" t="s">
        <v>652</v>
      </c>
      <c r="C628" s="1">
        <v>5578854795</v>
      </c>
    </row>
    <row r="629" spans="1:3" x14ac:dyDescent="0.3">
      <c r="A629" s="24" t="s">
        <v>452</v>
      </c>
      <c r="B629" s="24" t="s">
        <v>649</v>
      </c>
      <c r="C629" s="24">
        <v>5614731053</v>
      </c>
    </row>
    <row r="630" spans="1:3" x14ac:dyDescent="0.3">
      <c r="A630" s="1" t="s">
        <v>452</v>
      </c>
      <c r="B630" s="1" t="s">
        <v>649</v>
      </c>
      <c r="C630" s="1">
        <v>5614731053</v>
      </c>
    </row>
    <row r="631" spans="1:3" x14ac:dyDescent="0.3">
      <c r="A631" s="24" t="s">
        <v>650</v>
      </c>
      <c r="B631" s="24" t="s">
        <v>653</v>
      </c>
      <c r="C631" s="24">
        <v>5640045103</v>
      </c>
    </row>
    <row r="632" spans="1:3" x14ac:dyDescent="0.3">
      <c r="A632" s="1" t="s">
        <v>360</v>
      </c>
      <c r="B632" s="1" t="s">
        <v>654</v>
      </c>
      <c r="C632" s="1"/>
    </row>
    <row r="633" spans="1:3" x14ac:dyDescent="0.3">
      <c r="A633" s="24" t="s">
        <v>655</v>
      </c>
      <c r="B633" s="24" t="s">
        <v>656</v>
      </c>
      <c r="C633" s="24">
        <v>5577549766</v>
      </c>
    </row>
    <row r="634" spans="1:3" x14ac:dyDescent="0.3">
      <c r="A634" s="1" t="s">
        <v>657</v>
      </c>
      <c r="B634" s="1" t="s">
        <v>658</v>
      </c>
      <c r="C634" s="1">
        <v>5527372432</v>
      </c>
    </row>
    <row r="635" spans="1:3" x14ac:dyDescent="0.3">
      <c r="A635" s="24" t="s">
        <v>659</v>
      </c>
      <c r="B635" s="24" t="s">
        <v>480</v>
      </c>
      <c r="C635" s="24">
        <v>5636102900</v>
      </c>
    </row>
    <row r="636" spans="1:3" x14ac:dyDescent="0.3">
      <c r="A636" s="1" t="s">
        <v>660</v>
      </c>
      <c r="B636" s="1" t="s">
        <v>336</v>
      </c>
      <c r="C636" s="1">
        <v>5547402145</v>
      </c>
    </row>
    <row r="637" spans="1:3" x14ac:dyDescent="0.3">
      <c r="A637" s="24"/>
      <c r="B637" s="24" t="s">
        <v>661</v>
      </c>
      <c r="C637" s="24">
        <v>5569711887</v>
      </c>
    </row>
    <row r="638" spans="1:3" x14ac:dyDescent="0.3">
      <c r="A638" s="1" t="s">
        <v>662</v>
      </c>
      <c r="B638" s="1" t="s">
        <v>663</v>
      </c>
      <c r="C638" s="1">
        <v>5570730112</v>
      </c>
    </row>
    <row r="639" spans="1:3" x14ac:dyDescent="0.3">
      <c r="A639" s="24" t="s">
        <v>565</v>
      </c>
      <c r="B639" s="24" t="s">
        <v>465</v>
      </c>
      <c r="C639" s="24">
        <v>5559307944</v>
      </c>
    </row>
    <row r="640" spans="1:3" x14ac:dyDescent="0.3">
      <c r="A640" s="1" t="s">
        <v>186</v>
      </c>
      <c r="B640" s="1" t="s">
        <v>187</v>
      </c>
      <c r="C640" s="1">
        <v>5610944519</v>
      </c>
    </row>
    <row r="641" spans="1:3" x14ac:dyDescent="0.3">
      <c r="A641" s="24" t="s">
        <v>664</v>
      </c>
      <c r="B641" s="24" t="s">
        <v>665</v>
      </c>
      <c r="C641" s="24">
        <v>5627230201</v>
      </c>
    </row>
    <row r="642" spans="1:3" x14ac:dyDescent="0.3">
      <c r="A642" s="1" t="s">
        <v>666</v>
      </c>
      <c r="B642" s="1" t="s">
        <v>297</v>
      </c>
      <c r="C642" s="1">
        <v>5532476516</v>
      </c>
    </row>
    <row r="643" spans="1:3" x14ac:dyDescent="0.3">
      <c r="A643" s="21" t="s">
        <v>667</v>
      </c>
      <c r="B643" s="21" t="s">
        <v>208</v>
      </c>
      <c r="C643" s="21">
        <v>5541320075</v>
      </c>
    </row>
    <row r="644" spans="1:3" x14ac:dyDescent="0.3">
      <c r="A644" s="1" t="s">
        <v>668</v>
      </c>
      <c r="B644" s="1" t="s">
        <v>138</v>
      </c>
      <c r="C644" s="1">
        <v>5528872468</v>
      </c>
    </row>
    <row r="645" spans="1:3" x14ac:dyDescent="0.3">
      <c r="A645" s="21" t="s">
        <v>669</v>
      </c>
      <c r="B645" s="21" t="s">
        <v>167</v>
      </c>
      <c r="C645" s="21">
        <v>5616065307</v>
      </c>
    </row>
    <row r="646" spans="1:3" x14ac:dyDescent="0.3">
      <c r="A646" s="1" t="s">
        <v>526</v>
      </c>
      <c r="B646" s="1" t="s">
        <v>63</v>
      </c>
      <c r="C646" s="1">
        <v>5514407771</v>
      </c>
    </row>
    <row r="647" spans="1:3" x14ac:dyDescent="0.3">
      <c r="A647" s="21" t="s">
        <v>207</v>
      </c>
      <c r="B647" s="21" t="s">
        <v>670</v>
      </c>
      <c r="C647" s="21">
        <v>5617501876</v>
      </c>
    </row>
    <row r="648" spans="1:3" x14ac:dyDescent="0.3">
      <c r="A648" s="1" t="s">
        <v>671</v>
      </c>
      <c r="B648" s="1" t="s">
        <v>68</v>
      </c>
      <c r="C648" s="1">
        <v>5575130865</v>
      </c>
    </row>
    <row r="649" spans="1:3" x14ac:dyDescent="0.3">
      <c r="A649" s="21" t="s">
        <v>664</v>
      </c>
      <c r="B649" s="21" t="s">
        <v>672</v>
      </c>
      <c r="C649" s="21">
        <v>5627230201</v>
      </c>
    </row>
    <row r="650" spans="1:3" x14ac:dyDescent="0.3">
      <c r="A650" s="1" t="s">
        <v>673</v>
      </c>
      <c r="B650" s="1" t="s">
        <v>674</v>
      </c>
      <c r="C650" s="1">
        <v>5563285106</v>
      </c>
    </row>
    <row r="651" spans="1:3" x14ac:dyDescent="0.3">
      <c r="A651" s="21" t="s">
        <v>675</v>
      </c>
      <c r="B651" s="21"/>
      <c r="C651" s="21"/>
    </row>
    <row r="652" spans="1:3" x14ac:dyDescent="0.3">
      <c r="A652" s="1" t="s">
        <v>55</v>
      </c>
      <c r="B652" s="1" t="s">
        <v>56</v>
      </c>
      <c r="C652" s="1">
        <v>5620807201</v>
      </c>
    </row>
    <row r="653" spans="1:3" x14ac:dyDescent="0.3">
      <c r="A653" s="21" t="s">
        <v>676</v>
      </c>
      <c r="B653" s="21" t="s">
        <v>56</v>
      </c>
      <c r="C653" s="21">
        <v>55367913698</v>
      </c>
    </row>
    <row r="654" spans="1:3" x14ac:dyDescent="0.3">
      <c r="A654" s="1" t="s">
        <v>108</v>
      </c>
      <c r="B654" s="1" t="s">
        <v>214</v>
      </c>
      <c r="C654" s="1">
        <v>5573263874</v>
      </c>
    </row>
    <row r="655" spans="1:3" x14ac:dyDescent="0.3">
      <c r="A655" s="21" t="s">
        <v>528</v>
      </c>
      <c r="B655" s="21" t="s">
        <v>0</v>
      </c>
      <c r="C655" s="21"/>
    </row>
    <row r="656" spans="1:3" x14ac:dyDescent="0.3">
      <c r="A656" s="1" t="s">
        <v>528</v>
      </c>
      <c r="B656" s="1" t="s">
        <v>0</v>
      </c>
      <c r="C656" s="1"/>
    </row>
    <row r="657" spans="1:3" x14ac:dyDescent="0.3">
      <c r="A657" s="21" t="s">
        <v>528</v>
      </c>
      <c r="B657" s="21" t="s">
        <v>0</v>
      </c>
      <c r="C657" s="21"/>
    </row>
    <row r="658" spans="1:3" x14ac:dyDescent="0.3">
      <c r="A658" s="1" t="s">
        <v>677</v>
      </c>
      <c r="B658" s="1" t="s">
        <v>292</v>
      </c>
      <c r="C658" s="1">
        <v>3221115096</v>
      </c>
    </row>
    <row r="659" spans="1:3" x14ac:dyDescent="0.3">
      <c r="A659" s="21" t="s">
        <v>684</v>
      </c>
      <c r="B659" s="21" t="s">
        <v>138</v>
      </c>
      <c r="C659" s="21">
        <v>3524382300</v>
      </c>
    </row>
    <row r="660" spans="1:3" x14ac:dyDescent="0.3">
      <c r="A660" s="1" t="s">
        <v>678</v>
      </c>
      <c r="B660" s="1" t="s">
        <v>138</v>
      </c>
      <c r="C660" s="1">
        <v>5558383479</v>
      </c>
    </row>
    <row r="661" spans="1:3" x14ac:dyDescent="0.3">
      <c r="A661" s="21" t="s">
        <v>680</v>
      </c>
      <c r="B661" s="21" t="s">
        <v>679</v>
      </c>
      <c r="C661" s="21">
        <v>5514418521</v>
      </c>
    </row>
    <row r="662" spans="1:3" x14ac:dyDescent="0.3">
      <c r="A662" s="1" t="s">
        <v>681</v>
      </c>
      <c r="B662" s="1" t="s">
        <v>41</v>
      </c>
      <c r="C662" s="1">
        <v>5581066482</v>
      </c>
    </row>
    <row r="663" spans="1:3" x14ac:dyDescent="0.3">
      <c r="A663" s="21" t="s">
        <v>682</v>
      </c>
      <c r="B663" s="21" t="s">
        <v>41</v>
      </c>
      <c r="C663" s="21">
        <v>5569331404</v>
      </c>
    </row>
    <row r="664" spans="1:3" x14ac:dyDescent="0.3">
      <c r="A664" s="1" t="s">
        <v>683</v>
      </c>
      <c r="B664" s="1" t="s">
        <v>41</v>
      </c>
      <c r="C664" s="1">
        <v>5535078507</v>
      </c>
    </row>
    <row r="665" spans="1:3" x14ac:dyDescent="0.3">
      <c r="A665" s="24" t="s">
        <v>685</v>
      </c>
      <c r="B665" s="24" t="s">
        <v>159</v>
      </c>
      <c r="C665" s="24">
        <v>5573743760</v>
      </c>
    </row>
    <row r="666" spans="1:3" x14ac:dyDescent="0.3">
      <c r="A666" s="1" t="s">
        <v>686</v>
      </c>
      <c r="B666" s="1" t="s">
        <v>687</v>
      </c>
      <c r="C666" s="1">
        <v>5526596510</v>
      </c>
    </row>
    <row r="667" spans="1:3" x14ac:dyDescent="0.3">
      <c r="A667" s="24" t="s">
        <v>667</v>
      </c>
      <c r="B667" s="24" t="s">
        <v>208</v>
      </c>
      <c r="C667" s="24">
        <v>5541320075</v>
      </c>
    </row>
    <row r="668" spans="1:3" x14ac:dyDescent="0.3">
      <c r="A668" s="1" t="s">
        <v>184</v>
      </c>
      <c r="B668" s="1" t="s">
        <v>688</v>
      </c>
      <c r="C668" s="1">
        <v>5572111897</v>
      </c>
    </row>
    <row r="669" spans="1:3" x14ac:dyDescent="0.3">
      <c r="A669" s="24" t="s">
        <v>689</v>
      </c>
      <c r="B669" s="24" t="s">
        <v>70</v>
      </c>
      <c r="C669" s="24">
        <v>5573090751</v>
      </c>
    </row>
    <row r="670" spans="1:3" x14ac:dyDescent="0.3">
      <c r="A670" s="1" t="s">
        <v>690</v>
      </c>
      <c r="B670" s="1" t="s">
        <v>115</v>
      </c>
      <c r="C670" s="1">
        <v>5593899825</v>
      </c>
    </row>
    <row r="671" spans="1:3" x14ac:dyDescent="0.3">
      <c r="A671" s="24" t="s">
        <v>691</v>
      </c>
      <c r="B671" s="24" t="s">
        <v>72</v>
      </c>
      <c r="C671" s="24">
        <v>5532346493</v>
      </c>
    </row>
    <row r="672" spans="1:3" x14ac:dyDescent="0.3">
      <c r="A672" s="1" t="s">
        <v>692</v>
      </c>
      <c r="B672" s="1" t="s">
        <v>694</v>
      </c>
      <c r="C672" s="1">
        <v>5539486141</v>
      </c>
    </row>
    <row r="673" spans="1:3" x14ac:dyDescent="0.3">
      <c r="A673" s="24" t="s">
        <v>693</v>
      </c>
      <c r="B673" s="24" t="s">
        <v>695</v>
      </c>
      <c r="C673" s="24">
        <v>5530262395</v>
      </c>
    </row>
    <row r="674" spans="1:3" x14ac:dyDescent="0.3">
      <c r="A674" s="1" t="s">
        <v>696</v>
      </c>
      <c r="B674" s="1" t="s">
        <v>88</v>
      </c>
      <c r="C674" s="1">
        <v>5529570508</v>
      </c>
    </row>
    <row r="675" spans="1:3" x14ac:dyDescent="0.3">
      <c r="A675" s="24" t="s">
        <v>121</v>
      </c>
      <c r="B675" s="24" t="s">
        <v>129</v>
      </c>
      <c r="C675" s="24">
        <v>5612852406</v>
      </c>
    </row>
    <row r="676" spans="1:3" x14ac:dyDescent="0.3">
      <c r="A676" s="1" t="s">
        <v>121</v>
      </c>
      <c r="B676" s="1" t="s">
        <v>129</v>
      </c>
      <c r="C676" s="1">
        <v>5612852406</v>
      </c>
    </row>
    <row r="677" spans="1:3" x14ac:dyDescent="0.3">
      <c r="A677" s="24" t="s">
        <v>697</v>
      </c>
      <c r="B677" s="24" t="s">
        <v>698</v>
      </c>
      <c r="C677" s="24">
        <v>5536807808</v>
      </c>
    </row>
    <row r="678" spans="1:3" x14ac:dyDescent="0.3">
      <c r="A678" s="1" t="s">
        <v>697</v>
      </c>
      <c r="B678" s="1" t="s">
        <v>698</v>
      </c>
      <c r="C678" s="1">
        <v>5536807808</v>
      </c>
    </row>
    <row r="679" spans="1:3" x14ac:dyDescent="0.3">
      <c r="A679" s="24" t="s">
        <v>703</v>
      </c>
      <c r="B679" s="24" t="s">
        <v>336</v>
      </c>
      <c r="C679" s="24">
        <v>5547402145</v>
      </c>
    </row>
    <row r="680" spans="1:3" x14ac:dyDescent="0.3">
      <c r="A680" s="1" t="s">
        <v>241</v>
      </c>
      <c r="B680" s="1" t="s">
        <v>138</v>
      </c>
      <c r="C680" s="1">
        <v>5581262737</v>
      </c>
    </row>
    <row r="681" spans="1:3" x14ac:dyDescent="0.3">
      <c r="A681" s="24" t="s">
        <v>684</v>
      </c>
      <c r="B681" s="24" t="s">
        <v>138</v>
      </c>
      <c r="C681" s="24">
        <v>3524382300</v>
      </c>
    </row>
    <row r="682" spans="1:3" x14ac:dyDescent="0.3">
      <c r="A682" s="1" t="s">
        <v>389</v>
      </c>
      <c r="B682" s="1" t="s">
        <v>514</v>
      </c>
      <c r="C682" s="1">
        <v>5631061983</v>
      </c>
    </row>
    <row r="683" spans="1:3" x14ac:dyDescent="0.3">
      <c r="A683" s="24" t="s">
        <v>389</v>
      </c>
      <c r="B683" s="24" t="s">
        <v>514</v>
      </c>
      <c r="C683" s="24">
        <v>5631061983</v>
      </c>
    </row>
    <row r="684" spans="1:3" x14ac:dyDescent="0.3">
      <c r="A684" s="2" t="s">
        <v>57</v>
      </c>
      <c r="B684" s="1" t="s">
        <v>58</v>
      </c>
      <c r="C684" s="1"/>
    </row>
    <row r="685" spans="1:3" x14ac:dyDescent="0.3">
      <c r="A685" s="25" t="s">
        <v>57</v>
      </c>
      <c r="B685" s="24" t="s">
        <v>699</v>
      </c>
      <c r="C685" s="24"/>
    </row>
    <row r="686" spans="1:3" x14ac:dyDescent="0.3">
      <c r="A686" s="1" t="s">
        <v>700</v>
      </c>
      <c r="B686" s="1" t="s">
        <v>252</v>
      </c>
      <c r="C686" s="1">
        <v>5534704647</v>
      </c>
    </row>
    <row r="687" spans="1:3" x14ac:dyDescent="0.3">
      <c r="A687" s="24" t="s">
        <v>701</v>
      </c>
      <c r="B687" s="24" t="s">
        <v>702</v>
      </c>
      <c r="C687" s="24">
        <v>5523769704</v>
      </c>
    </row>
    <row r="688" spans="1:3" x14ac:dyDescent="0.3">
      <c r="A688" s="1" t="s">
        <v>701</v>
      </c>
      <c r="B688" s="1" t="s">
        <v>702</v>
      </c>
      <c r="C688" s="1">
        <v>5523769704</v>
      </c>
    </row>
    <row r="689" spans="1:3" x14ac:dyDescent="0.3">
      <c r="A689" s="21" t="s">
        <v>224</v>
      </c>
      <c r="B689" s="21" t="s">
        <v>480</v>
      </c>
      <c r="C689" s="21">
        <v>5539564988</v>
      </c>
    </row>
    <row r="690" spans="1:3" x14ac:dyDescent="0.3">
      <c r="A690" s="1" t="s">
        <v>224</v>
      </c>
      <c r="B690" s="1" t="s">
        <v>480</v>
      </c>
      <c r="C690" s="1">
        <v>5539564988</v>
      </c>
    </row>
    <row r="691" spans="1:3" x14ac:dyDescent="0.3">
      <c r="A691" s="21" t="s">
        <v>270</v>
      </c>
      <c r="B691" s="21" t="s">
        <v>478</v>
      </c>
      <c r="C691" s="21">
        <v>5527842592</v>
      </c>
    </row>
    <row r="692" spans="1:3" x14ac:dyDescent="0.3">
      <c r="A692" s="1" t="s">
        <v>704</v>
      </c>
      <c r="B692" s="1" t="s">
        <v>285</v>
      </c>
      <c r="C692" s="1">
        <v>5523434869</v>
      </c>
    </row>
    <row r="693" spans="1:3" x14ac:dyDescent="0.3">
      <c r="A693" s="21" t="s">
        <v>314</v>
      </c>
      <c r="B693" s="21" t="s">
        <v>88</v>
      </c>
      <c r="C693" s="21">
        <v>5544844808</v>
      </c>
    </row>
    <row r="694" spans="1:3" x14ac:dyDescent="0.3">
      <c r="A694" s="1" t="s">
        <v>289</v>
      </c>
      <c r="B694" s="1" t="s">
        <v>345</v>
      </c>
      <c r="C694" s="1">
        <v>5528522239</v>
      </c>
    </row>
    <row r="695" spans="1:3" x14ac:dyDescent="0.3">
      <c r="A695" s="21" t="s">
        <v>448</v>
      </c>
      <c r="B695" s="21" t="s">
        <v>218</v>
      </c>
      <c r="C695" s="21">
        <v>5539511994</v>
      </c>
    </row>
    <row r="696" spans="1:3" x14ac:dyDescent="0.3">
      <c r="A696" s="1" t="s">
        <v>705</v>
      </c>
      <c r="B696" s="1" t="s">
        <v>6</v>
      </c>
      <c r="C696" s="1">
        <v>5549432984</v>
      </c>
    </row>
    <row r="697" spans="1:3" x14ac:dyDescent="0.3">
      <c r="A697" s="21" t="s">
        <v>364</v>
      </c>
      <c r="B697" s="21" t="s">
        <v>593</v>
      </c>
      <c r="C697" s="21">
        <v>5540809412</v>
      </c>
    </row>
    <row r="698" spans="1:3" x14ac:dyDescent="0.3">
      <c r="A698" s="1" t="s">
        <v>706</v>
      </c>
      <c r="B698" s="1" t="s">
        <v>707</v>
      </c>
      <c r="C698" s="1">
        <v>5518104007</v>
      </c>
    </row>
    <row r="699" spans="1:3" x14ac:dyDescent="0.3">
      <c r="A699" s="21" t="s">
        <v>708</v>
      </c>
      <c r="B699" s="21" t="s">
        <v>88</v>
      </c>
      <c r="C699" s="21">
        <v>5613221228</v>
      </c>
    </row>
    <row r="700" spans="1:3" x14ac:dyDescent="0.3">
      <c r="A700" s="1" t="s">
        <v>709</v>
      </c>
      <c r="B700" s="1" t="s">
        <v>560</v>
      </c>
      <c r="C700" s="1"/>
    </row>
    <row r="701" spans="1:3" x14ac:dyDescent="0.3">
      <c r="A701" s="21" t="s">
        <v>709</v>
      </c>
      <c r="B701" s="21" t="s">
        <v>560</v>
      </c>
      <c r="C701" s="21"/>
    </row>
    <row r="702" spans="1:3" x14ac:dyDescent="0.3">
      <c r="A702" s="1" t="s">
        <v>709</v>
      </c>
      <c r="B702" s="1" t="s">
        <v>560</v>
      </c>
      <c r="C702" s="1"/>
    </row>
    <row r="703" spans="1:3" x14ac:dyDescent="0.3">
      <c r="A703" s="21" t="s">
        <v>184</v>
      </c>
      <c r="B703" s="21" t="s">
        <v>688</v>
      </c>
      <c r="C703" s="21">
        <v>5572111897</v>
      </c>
    </row>
    <row r="704" spans="1:3" x14ac:dyDescent="0.3">
      <c r="A704" s="1" t="s">
        <v>710</v>
      </c>
      <c r="B704" s="1" t="s">
        <v>206</v>
      </c>
      <c r="C704" s="1">
        <v>5528872468</v>
      </c>
    </row>
    <row r="705" spans="1:3" x14ac:dyDescent="0.3">
      <c r="A705" s="21" t="s">
        <v>711</v>
      </c>
      <c r="B705" s="21" t="s">
        <v>712</v>
      </c>
      <c r="C705" s="21">
        <v>5544902932</v>
      </c>
    </row>
    <row r="706" spans="1:3" x14ac:dyDescent="0.3">
      <c r="A706" s="1" t="s">
        <v>711</v>
      </c>
      <c r="B706" s="1" t="s">
        <v>712</v>
      </c>
      <c r="C706" s="1">
        <v>5544902933</v>
      </c>
    </row>
    <row r="707" spans="1:3" x14ac:dyDescent="0.3">
      <c r="A707" s="21" t="s">
        <v>713</v>
      </c>
      <c r="B707" s="21" t="s">
        <v>714</v>
      </c>
      <c r="C707" s="21">
        <v>5554098239</v>
      </c>
    </row>
    <row r="708" spans="1:3" x14ac:dyDescent="0.3">
      <c r="A708" s="1" t="s">
        <v>715</v>
      </c>
      <c r="B708" s="1" t="s">
        <v>161</v>
      </c>
      <c r="C708" s="1">
        <v>5616522274</v>
      </c>
    </row>
    <row r="709" spans="1:3" x14ac:dyDescent="0.3">
      <c r="A709" s="21" t="s">
        <v>298</v>
      </c>
      <c r="B709" s="21" t="s">
        <v>356</v>
      </c>
      <c r="C709" s="21">
        <v>5591940032</v>
      </c>
    </row>
    <row r="710" spans="1:3" x14ac:dyDescent="0.3">
      <c r="A710" s="1" t="s">
        <v>568</v>
      </c>
      <c r="B710" s="1" t="s">
        <v>123</v>
      </c>
      <c r="C710" s="1">
        <v>5528929533</v>
      </c>
    </row>
    <row r="711" spans="1:3" x14ac:dyDescent="0.3">
      <c r="A711" s="24" t="s">
        <v>716</v>
      </c>
      <c r="B711" s="24" t="s">
        <v>115</v>
      </c>
      <c r="C711" s="24">
        <v>5541756109</v>
      </c>
    </row>
    <row r="712" spans="1:3" x14ac:dyDescent="0.3">
      <c r="A712" s="1" t="s">
        <v>703</v>
      </c>
      <c r="B712" s="1" t="s">
        <v>336</v>
      </c>
      <c r="C712" s="1">
        <v>5547402145</v>
      </c>
    </row>
    <row r="713" spans="1:3" x14ac:dyDescent="0.3">
      <c r="A713" s="24" t="s">
        <v>696</v>
      </c>
      <c r="B713" s="24" t="s">
        <v>717</v>
      </c>
      <c r="C713" s="24">
        <v>5529570508</v>
      </c>
    </row>
    <row r="714" spans="1:3" x14ac:dyDescent="0.3">
      <c r="A714" s="1" t="s">
        <v>696</v>
      </c>
      <c r="B714" s="1" t="s">
        <v>717</v>
      </c>
      <c r="C714" s="1">
        <v>5529570508</v>
      </c>
    </row>
    <row r="715" spans="1:3" x14ac:dyDescent="0.3">
      <c r="A715" s="24" t="s">
        <v>696</v>
      </c>
      <c r="B715" s="24" t="s">
        <v>717</v>
      </c>
      <c r="C715" s="24">
        <v>5529570508</v>
      </c>
    </row>
    <row r="716" spans="1:3" x14ac:dyDescent="0.3">
      <c r="A716" s="1" t="s">
        <v>696</v>
      </c>
      <c r="B716" s="1" t="s">
        <v>717</v>
      </c>
      <c r="C716" s="1">
        <v>5529570508</v>
      </c>
    </row>
    <row r="717" spans="1:3" x14ac:dyDescent="0.3">
      <c r="A717" s="24" t="s">
        <v>718</v>
      </c>
      <c r="B717" s="24" t="s">
        <v>161</v>
      </c>
      <c r="C717" s="24">
        <v>5616522274</v>
      </c>
    </row>
    <row r="718" spans="1:3" x14ac:dyDescent="0.3">
      <c r="A718" s="1" t="s">
        <v>719</v>
      </c>
      <c r="B718" s="1" t="s">
        <v>165</v>
      </c>
      <c r="C718" s="1">
        <v>5553203522</v>
      </c>
    </row>
    <row r="719" spans="1:3" x14ac:dyDescent="0.3">
      <c r="A719" s="24" t="s">
        <v>121</v>
      </c>
      <c r="B719" s="24" t="s">
        <v>129</v>
      </c>
      <c r="C719" s="24">
        <v>5612852406</v>
      </c>
    </row>
    <row r="720" spans="1:3" x14ac:dyDescent="0.3">
      <c r="A720" s="1" t="s">
        <v>718</v>
      </c>
      <c r="B720" s="1" t="s">
        <v>43</v>
      </c>
      <c r="C720" s="1">
        <v>5544844808</v>
      </c>
    </row>
    <row r="721" spans="1:3" x14ac:dyDescent="0.3">
      <c r="A721" s="24" t="s">
        <v>720</v>
      </c>
      <c r="B721" s="24" t="s">
        <v>721</v>
      </c>
      <c r="C721" s="24">
        <v>5526907271</v>
      </c>
    </row>
    <row r="722" spans="1:3" x14ac:dyDescent="0.3">
      <c r="A722" s="1" t="s">
        <v>528</v>
      </c>
      <c r="B722" s="1" t="s">
        <v>0</v>
      </c>
      <c r="C722" s="1"/>
    </row>
    <row r="723" spans="1:3" x14ac:dyDescent="0.3">
      <c r="A723" s="24" t="s">
        <v>249</v>
      </c>
      <c r="B723" s="24" t="s">
        <v>250</v>
      </c>
      <c r="C723" s="24">
        <v>5535334019</v>
      </c>
    </row>
    <row r="724" spans="1:3" x14ac:dyDescent="0.3">
      <c r="A724" s="1" t="s">
        <v>249</v>
      </c>
      <c r="B724" s="1" t="s">
        <v>250</v>
      </c>
      <c r="C724" s="1">
        <v>5535334019</v>
      </c>
    </row>
    <row r="725" spans="1:3" x14ac:dyDescent="0.3">
      <c r="A725" s="24" t="s">
        <v>249</v>
      </c>
      <c r="B725" s="24" t="s">
        <v>250</v>
      </c>
      <c r="C725" s="24">
        <v>5535334019</v>
      </c>
    </row>
    <row r="726" spans="1:3" x14ac:dyDescent="0.3">
      <c r="A726" s="1" t="s">
        <v>249</v>
      </c>
      <c r="B726" s="1" t="s">
        <v>250</v>
      </c>
      <c r="C726" s="1">
        <v>5535334019</v>
      </c>
    </row>
    <row r="727" spans="1:3" x14ac:dyDescent="0.3">
      <c r="A727" s="24" t="s">
        <v>722</v>
      </c>
      <c r="B727" s="24" t="s">
        <v>16</v>
      </c>
      <c r="C727" s="24">
        <v>5511166878</v>
      </c>
    </row>
    <row r="728" spans="1:3" x14ac:dyDescent="0.3">
      <c r="A728" s="1" t="s">
        <v>723</v>
      </c>
      <c r="B728" s="1" t="s">
        <v>582</v>
      </c>
      <c r="C728" s="1">
        <v>5535358475</v>
      </c>
    </row>
    <row r="729" spans="1:3" x14ac:dyDescent="0.3">
      <c r="A729" s="24" t="s">
        <v>723</v>
      </c>
      <c r="B729" s="24" t="s">
        <v>582</v>
      </c>
      <c r="C729" s="24">
        <v>5535358476</v>
      </c>
    </row>
    <row r="730" spans="1:3" x14ac:dyDescent="0.3">
      <c r="A730" s="1" t="s">
        <v>725</v>
      </c>
      <c r="B730" s="1" t="s">
        <v>724</v>
      </c>
      <c r="C730" s="1">
        <v>5511246208</v>
      </c>
    </row>
    <row r="731" spans="1:3" x14ac:dyDescent="0.3">
      <c r="A731" s="24" t="s">
        <v>726</v>
      </c>
      <c r="B731" s="24" t="s">
        <v>465</v>
      </c>
      <c r="C731" s="24">
        <v>5530077745</v>
      </c>
    </row>
    <row r="732" spans="1:3" x14ac:dyDescent="0.3">
      <c r="A732" s="1" t="s">
        <v>727</v>
      </c>
      <c r="B732" s="1" t="s">
        <v>68</v>
      </c>
      <c r="C732" s="1">
        <v>5537825635</v>
      </c>
    </row>
    <row r="733" spans="1:3" x14ac:dyDescent="0.3">
      <c r="A733" s="24" t="s">
        <v>728</v>
      </c>
      <c r="B733" s="24" t="s">
        <v>729</v>
      </c>
      <c r="C733" s="24">
        <v>5515712212</v>
      </c>
    </row>
    <row r="734" spans="1:3" x14ac:dyDescent="0.3">
      <c r="A734" s="1" t="s">
        <v>730</v>
      </c>
      <c r="B734" s="1" t="s">
        <v>731</v>
      </c>
      <c r="C734" s="1">
        <v>5523322825</v>
      </c>
    </row>
    <row r="735" spans="1:3" x14ac:dyDescent="0.3">
      <c r="A735" s="24" t="s">
        <v>732</v>
      </c>
      <c r="B735" s="24" t="s">
        <v>65</v>
      </c>
      <c r="C735" s="24">
        <v>5548617128</v>
      </c>
    </row>
    <row r="736" spans="1:3" x14ac:dyDescent="0.3">
      <c r="A736" s="1" t="s">
        <v>322</v>
      </c>
      <c r="B736" s="1" t="s">
        <v>733</v>
      </c>
      <c r="C736" s="1">
        <v>5667905307</v>
      </c>
    </row>
    <row r="737" spans="1:3" x14ac:dyDescent="0.3">
      <c r="A737" s="21" t="s">
        <v>734</v>
      </c>
      <c r="B737" s="21" t="s">
        <v>735</v>
      </c>
      <c r="C737" s="21">
        <v>5636650944</v>
      </c>
    </row>
    <row r="738" spans="1:3" x14ac:dyDescent="0.3">
      <c r="A738" s="1" t="s">
        <v>736</v>
      </c>
      <c r="B738" s="1" t="s">
        <v>737</v>
      </c>
      <c r="C738" s="1">
        <v>5530372126</v>
      </c>
    </row>
    <row r="739" spans="1:3" x14ac:dyDescent="0.3">
      <c r="A739" s="21" t="s">
        <v>738</v>
      </c>
      <c r="B739" s="21" t="s">
        <v>739</v>
      </c>
      <c r="C739" s="21">
        <v>5527567342</v>
      </c>
    </row>
    <row r="740" spans="1:3" x14ac:dyDescent="0.3">
      <c r="A740" s="1" t="s">
        <v>738</v>
      </c>
      <c r="B740" s="1" t="s">
        <v>739</v>
      </c>
      <c r="C740" s="1">
        <v>5527567342</v>
      </c>
    </row>
    <row r="741" spans="1:3" x14ac:dyDescent="0.3">
      <c r="A741" s="21" t="s">
        <v>738</v>
      </c>
      <c r="B741" s="21" t="s">
        <v>739</v>
      </c>
      <c r="C741" s="21">
        <v>5527567342</v>
      </c>
    </row>
    <row r="742" spans="1:3" x14ac:dyDescent="0.3">
      <c r="A742" s="1" t="s">
        <v>738</v>
      </c>
      <c r="B742" s="1" t="s">
        <v>739</v>
      </c>
      <c r="C742" s="1">
        <v>5527567342</v>
      </c>
    </row>
    <row r="743" spans="1:3" x14ac:dyDescent="0.3">
      <c r="A743" s="21" t="s">
        <v>728</v>
      </c>
      <c r="B743" s="21" t="s">
        <v>729</v>
      </c>
      <c r="C743" s="21">
        <v>5515712212</v>
      </c>
    </row>
    <row r="744" spans="1:3" x14ac:dyDescent="0.3">
      <c r="A744" s="1" t="s">
        <v>740</v>
      </c>
      <c r="B744" s="1" t="s">
        <v>103</v>
      </c>
      <c r="C744" s="1">
        <v>5542220501</v>
      </c>
    </row>
    <row r="745" spans="1:3" x14ac:dyDescent="0.3">
      <c r="A745" s="21" t="s">
        <v>741</v>
      </c>
      <c r="B745" s="21" t="s">
        <v>511</v>
      </c>
      <c r="C745" s="21">
        <v>5547956325</v>
      </c>
    </row>
    <row r="746" spans="1:3" x14ac:dyDescent="0.3">
      <c r="A746" s="1" t="s">
        <v>742</v>
      </c>
      <c r="B746" s="1" t="s">
        <v>743</v>
      </c>
      <c r="C746" s="1">
        <v>5532623277</v>
      </c>
    </row>
    <row r="747" spans="1:3" x14ac:dyDescent="0.3">
      <c r="A747" s="21" t="s">
        <v>742</v>
      </c>
      <c r="B747" s="21" t="s">
        <v>745</v>
      </c>
      <c r="C747" s="21">
        <v>5532623277</v>
      </c>
    </row>
    <row r="748" spans="1:3" x14ac:dyDescent="0.3">
      <c r="A748" s="1" t="s">
        <v>744</v>
      </c>
      <c r="B748" s="1" t="s">
        <v>698</v>
      </c>
      <c r="C748" s="1">
        <v>3342915004</v>
      </c>
    </row>
    <row r="749" spans="1:3" x14ac:dyDescent="0.3">
      <c r="A749" s="21" t="s">
        <v>744</v>
      </c>
      <c r="B749" s="21" t="s">
        <v>698</v>
      </c>
      <c r="C749" s="21">
        <v>3342915004</v>
      </c>
    </row>
    <row r="750" spans="1:3" x14ac:dyDescent="0.3">
      <c r="A750" s="1" t="s">
        <v>746</v>
      </c>
      <c r="B750" s="1" t="s">
        <v>138</v>
      </c>
      <c r="C750" s="1">
        <v>5620912591</v>
      </c>
    </row>
    <row r="751" spans="1:3" x14ac:dyDescent="0.3">
      <c r="A751" s="21" t="s">
        <v>143</v>
      </c>
      <c r="B751" s="21" t="s">
        <v>41</v>
      </c>
      <c r="C751" s="21">
        <v>5620912591</v>
      </c>
    </row>
    <row r="752" spans="1:3" x14ac:dyDescent="0.3">
      <c r="A752" s="1" t="s">
        <v>143</v>
      </c>
      <c r="B752" s="1" t="s">
        <v>41</v>
      </c>
      <c r="C752" s="1">
        <v>5620912591</v>
      </c>
    </row>
    <row r="753" spans="1:3" x14ac:dyDescent="0.3">
      <c r="A753" s="21" t="s">
        <v>751</v>
      </c>
      <c r="B753" s="21" t="s">
        <v>747</v>
      </c>
      <c r="C753" s="21">
        <v>5617630065</v>
      </c>
    </row>
    <row r="754" spans="1:3" x14ac:dyDescent="0.3">
      <c r="A754" s="1" t="s">
        <v>748</v>
      </c>
      <c r="B754" s="1" t="s">
        <v>712</v>
      </c>
      <c r="C754" s="1">
        <v>5520900490</v>
      </c>
    </row>
    <row r="755" spans="1:3" x14ac:dyDescent="0.3">
      <c r="A755" s="21" t="s">
        <v>749</v>
      </c>
      <c r="B755" s="21" t="s">
        <v>750</v>
      </c>
      <c r="C755" s="21">
        <v>5538070985</v>
      </c>
    </row>
    <row r="756" spans="1:3" x14ac:dyDescent="0.3">
      <c r="A756" s="1" t="s">
        <v>749</v>
      </c>
      <c r="B756" s="1" t="s">
        <v>56</v>
      </c>
      <c r="C756" s="1">
        <v>5538070985</v>
      </c>
    </row>
    <row r="757" spans="1:3" x14ac:dyDescent="0.3">
      <c r="A757" s="27" t="s">
        <v>50</v>
      </c>
      <c r="B757" s="27" t="s">
        <v>456</v>
      </c>
      <c r="C757" s="27">
        <v>5529503930</v>
      </c>
    </row>
    <row r="758" spans="1:3" x14ac:dyDescent="0.3">
      <c r="A758" s="1" t="s">
        <v>50</v>
      </c>
      <c r="B758" s="1" t="s">
        <v>456</v>
      </c>
      <c r="C758" s="1">
        <v>5529503931</v>
      </c>
    </row>
    <row r="759" spans="1:3" x14ac:dyDescent="0.3">
      <c r="A759" s="27" t="s">
        <v>752</v>
      </c>
      <c r="B759" s="27" t="s">
        <v>753</v>
      </c>
      <c r="C759" s="27">
        <v>5528013590</v>
      </c>
    </row>
    <row r="760" spans="1:3" x14ac:dyDescent="0.3">
      <c r="A760" s="1" t="s">
        <v>754</v>
      </c>
      <c r="B760" s="1" t="s">
        <v>345</v>
      </c>
      <c r="C760" s="1">
        <v>5617630065</v>
      </c>
    </row>
    <row r="761" spans="1:3" x14ac:dyDescent="0.3">
      <c r="A761" s="27" t="s">
        <v>691</v>
      </c>
      <c r="B761" s="27" t="s">
        <v>117</v>
      </c>
      <c r="C761" s="27">
        <v>5532346493</v>
      </c>
    </row>
    <row r="762" spans="1:3" x14ac:dyDescent="0.3">
      <c r="A762" s="1" t="s">
        <v>364</v>
      </c>
      <c r="B762" s="1" t="s">
        <v>756</v>
      </c>
      <c r="C762" s="1">
        <v>5540809412</v>
      </c>
    </row>
    <row r="763" spans="1:3" x14ac:dyDescent="0.3">
      <c r="A763" s="27" t="s">
        <v>364</v>
      </c>
      <c r="B763" s="27" t="s">
        <v>757</v>
      </c>
      <c r="C763" s="27">
        <v>5588018004</v>
      </c>
    </row>
    <row r="764" spans="1:3" x14ac:dyDescent="0.3">
      <c r="A764" s="1" t="s">
        <v>761</v>
      </c>
      <c r="B764" s="1" t="s">
        <v>41</v>
      </c>
      <c r="C764" s="1">
        <v>5544419441</v>
      </c>
    </row>
    <row r="765" spans="1:3" x14ac:dyDescent="0.3">
      <c r="A765" s="21" t="s">
        <v>762</v>
      </c>
      <c r="B765" s="21" t="s">
        <v>763</v>
      </c>
      <c r="C765" s="21">
        <v>7296931102</v>
      </c>
    </row>
    <row r="766" spans="1:3" x14ac:dyDescent="0.3">
      <c r="A766" s="1" t="s">
        <v>764</v>
      </c>
      <c r="B766" s="1" t="s">
        <v>138</v>
      </c>
      <c r="C766" s="1">
        <v>5529045323</v>
      </c>
    </row>
    <row r="767" spans="1:3" x14ac:dyDescent="0.3">
      <c r="A767" s="21" t="s">
        <v>143</v>
      </c>
      <c r="B767" s="21" t="str">
        <f>IFERROR(VLOOKUP(A767,Base2026!#REF!,2,FALSE),"")</f>
        <v/>
      </c>
      <c r="C767" s="21" t="str">
        <f>IFERROR(VLOOKUP(B767,Base2026!A:C,2,FALSE),"")</f>
        <v/>
      </c>
    </row>
    <row r="768" spans="1:3" x14ac:dyDescent="0.3">
      <c r="A768" s="1" t="s">
        <v>143</v>
      </c>
      <c r="B768" s="1" t="str">
        <f>IFERROR(VLOOKUP(A768,Base2026!#REF!,2,FALSE),"")</f>
        <v/>
      </c>
      <c r="C768" s="1" t="str">
        <f>IFERROR(VLOOKUP(B768,Base2026!A:C,2,FALSE),"")</f>
        <v/>
      </c>
    </row>
    <row r="769" spans="1:3" x14ac:dyDescent="0.3">
      <c r="A769" s="21" t="s">
        <v>765</v>
      </c>
      <c r="B769" s="21" t="s">
        <v>68</v>
      </c>
      <c r="C769" s="21">
        <v>5569671916</v>
      </c>
    </row>
    <row r="770" spans="1:3" x14ac:dyDescent="0.3">
      <c r="A770" s="1" t="s">
        <v>766</v>
      </c>
      <c r="B770" s="1" t="s">
        <v>490</v>
      </c>
      <c r="C770" s="1" t="str">
        <f>IFERROR(VLOOKUP(B770,Base2026!A:C,2,FALSE),"")</f>
        <v/>
      </c>
    </row>
    <row r="771" spans="1:3" x14ac:dyDescent="0.3">
      <c r="A771" s="21" t="s">
        <v>767</v>
      </c>
      <c r="B771" s="21" t="s">
        <v>117</v>
      </c>
      <c r="C771" s="21">
        <v>5634052929</v>
      </c>
    </row>
    <row r="772" spans="1:3" x14ac:dyDescent="0.3">
      <c r="A772" s="1" t="s">
        <v>768</v>
      </c>
      <c r="B772" s="1" t="s">
        <v>769</v>
      </c>
      <c r="C772" s="1">
        <v>6242171618</v>
      </c>
    </row>
    <row r="773" spans="1:3" x14ac:dyDescent="0.3">
      <c r="A773" s="21" t="s">
        <v>770</v>
      </c>
      <c r="B773" s="21" t="s">
        <v>771</v>
      </c>
      <c r="C773" s="21">
        <v>5521749186</v>
      </c>
    </row>
    <row r="774" spans="1:3" x14ac:dyDescent="0.3">
      <c r="A774" s="1" t="s">
        <v>772</v>
      </c>
      <c r="B774" s="1" t="s">
        <v>68</v>
      </c>
      <c r="C774" s="1">
        <v>5551013891</v>
      </c>
    </row>
    <row r="775" spans="1:3" x14ac:dyDescent="0.3">
      <c r="A775" s="21" t="s">
        <v>298</v>
      </c>
      <c r="B775" s="21" t="str">
        <f>IFERROR(VLOOKUP(A775,Base2026!#REF!,2,FALSE),"")</f>
        <v/>
      </c>
      <c r="C775" s="21" t="str">
        <f>IFERROR(VLOOKUP(B775,Base2026!A:C,2,FALSE),"")</f>
        <v/>
      </c>
    </row>
    <row r="776" spans="1:3" x14ac:dyDescent="0.3">
      <c r="A776" s="1" t="s">
        <v>773</v>
      </c>
      <c r="B776" s="1" t="s">
        <v>56</v>
      </c>
      <c r="C776" s="1">
        <v>5538949043</v>
      </c>
    </row>
    <row r="777" spans="1:3" x14ac:dyDescent="0.3">
      <c r="A777" s="21" t="s">
        <v>774</v>
      </c>
      <c r="B777" s="21" t="s">
        <v>41</v>
      </c>
      <c r="C777" s="21">
        <v>5567881356</v>
      </c>
    </row>
    <row r="778" spans="1:3" x14ac:dyDescent="0.3">
      <c r="A778" s="1" t="s">
        <v>775</v>
      </c>
      <c r="B778" s="1" t="s">
        <v>60</v>
      </c>
      <c r="C778" s="1">
        <v>5537392857</v>
      </c>
    </row>
    <row r="779" spans="1:3" x14ac:dyDescent="0.3">
      <c r="A779" s="21" t="s">
        <v>776</v>
      </c>
      <c r="B779" s="21" t="s">
        <v>88</v>
      </c>
      <c r="C779" s="21">
        <v>5537672936</v>
      </c>
    </row>
    <row r="780" spans="1:3" x14ac:dyDescent="0.3">
      <c r="A780" s="1" t="s">
        <v>777</v>
      </c>
      <c r="B780" s="1" t="s">
        <v>778</v>
      </c>
      <c r="C780" s="1">
        <v>5577612847</v>
      </c>
    </row>
    <row r="781" spans="1:3" x14ac:dyDescent="0.3">
      <c r="A781" s="27" t="s">
        <v>158</v>
      </c>
      <c r="B781" s="27" t="str">
        <f>IFERROR(VLOOKUP(A781,Base2026!#REF!,2,FALSE),"")</f>
        <v/>
      </c>
      <c r="C781" s="27" t="str">
        <f>IFERROR(VLOOKUP(B781,Base2026!A:C,2,FALSE),"")</f>
        <v/>
      </c>
    </row>
    <row r="782" spans="1:3" x14ac:dyDescent="0.3">
      <c r="A782" s="1" t="s">
        <v>779</v>
      </c>
      <c r="B782" s="1" t="s">
        <v>729</v>
      </c>
      <c r="C782" s="1">
        <v>5557800399</v>
      </c>
    </row>
    <row r="783" spans="1:3" x14ac:dyDescent="0.3">
      <c r="A783" s="27" t="s">
        <v>780</v>
      </c>
      <c r="B783" s="27" t="s">
        <v>786</v>
      </c>
      <c r="C783" s="27">
        <v>5529006996</v>
      </c>
    </row>
    <row r="784" spans="1:3" x14ac:dyDescent="0.3">
      <c r="A784" s="1" t="s">
        <v>781</v>
      </c>
      <c r="B784" s="1" t="s">
        <v>782</v>
      </c>
      <c r="C784" s="1">
        <v>5511607872</v>
      </c>
    </row>
    <row r="785" spans="1:3" x14ac:dyDescent="0.3">
      <c r="A785" s="27" t="s">
        <v>121</v>
      </c>
      <c r="B785" s="27" t="s">
        <v>783</v>
      </c>
      <c r="C785" s="27">
        <v>5612852406</v>
      </c>
    </row>
    <row r="786" spans="1:3" x14ac:dyDescent="0.3">
      <c r="A786" s="1" t="s">
        <v>55</v>
      </c>
      <c r="B786" s="1" t="str">
        <f>IFERROR(VLOOKUP(A786,Base2026!#REF!,2,FALSE),"")</f>
        <v/>
      </c>
      <c r="C786" s="1">
        <v>5620807201</v>
      </c>
    </row>
    <row r="787" spans="1:3" x14ac:dyDescent="0.3">
      <c r="A787" s="27" t="s">
        <v>232</v>
      </c>
      <c r="B787" s="27" t="s">
        <v>88</v>
      </c>
      <c r="C787" s="27">
        <v>5529570508</v>
      </c>
    </row>
    <row r="788" spans="1:3" x14ac:dyDescent="0.3">
      <c r="A788" s="1" t="s">
        <v>784</v>
      </c>
      <c r="B788" s="1" t="s">
        <v>28</v>
      </c>
      <c r="C788" s="1">
        <v>5535948749</v>
      </c>
    </row>
    <row r="789" spans="1:3" x14ac:dyDescent="0.3">
      <c r="A789" s="27" t="s">
        <v>785</v>
      </c>
      <c r="B789" s="27" t="s">
        <v>60</v>
      </c>
      <c r="C789" s="27">
        <v>5574395989</v>
      </c>
    </row>
    <row r="790" spans="1:3" x14ac:dyDescent="0.3">
      <c r="A790" s="1" t="s">
        <v>472</v>
      </c>
      <c r="B790" s="1" t="str">
        <f>IFERROR(VLOOKUP(A790,Base2026!#REF!,2,FALSE),"")</f>
        <v/>
      </c>
      <c r="C790" s="1" t="str">
        <f>IFERROR(VLOOKUP(B790,Base2026!A:C,2,FALSE),"")</f>
        <v/>
      </c>
    </row>
    <row r="791" spans="1:3" x14ac:dyDescent="0.3">
      <c r="A791" s="27" t="s">
        <v>472</v>
      </c>
      <c r="B791" s="27" t="str">
        <f>IFERROR(VLOOKUP(A791,Base2026!#REF!,2,FALSE),"")</f>
        <v/>
      </c>
      <c r="C791" s="27" t="str">
        <f>IFERROR(VLOOKUP(B791,Base2026!A:C,2,FALSE),"")</f>
        <v/>
      </c>
    </row>
    <row r="792" spans="1:3" x14ac:dyDescent="0.3">
      <c r="A792" s="1" t="s">
        <v>472</v>
      </c>
      <c r="B792" s="1" t="str">
        <f>IFERROR(VLOOKUP(A792,Base2026!#REF!,2,FALSE),"")</f>
        <v/>
      </c>
      <c r="C792" s="1" t="str">
        <f>IFERROR(VLOOKUP(B792,Base2026!A:C,2,FALSE),"")</f>
        <v/>
      </c>
    </row>
    <row r="793" spans="1:3" x14ac:dyDescent="0.3">
      <c r="A793" s="27" t="s">
        <v>420</v>
      </c>
      <c r="B793" s="27" t="s">
        <v>80</v>
      </c>
      <c r="C793" s="27">
        <v>5542518119</v>
      </c>
    </row>
    <row r="794" spans="1:3" x14ac:dyDescent="0.3">
      <c r="A794" s="1" t="s">
        <v>420</v>
      </c>
      <c r="B794" s="1" t="s">
        <v>80</v>
      </c>
      <c r="C794" s="1">
        <v>5542518120</v>
      </c>
    </row>
    <row r="795" spans="1:3" x14ac:dyDescent="0.3">
      <c r="A795" s="27" t="s">
        <v>310</v>
      </c>
      <c r="B795" s="27" t="str">
        <f>IFERROR(VLOOKUP(A795,Base2026!#REF!,2,FALSE),"")</f>
        <v/>
      </c>
      <c r="C795" s="27">
        <v>5525363416</v>
      </c>
    </row>
    <row r="796" spans="1:3" x14ac:dyDescent="0.3">
      <c r="A796" s="1" t="s">
        <v>700</v>
      </c>
      <c r="B796" s="1" t="str">
        <f>IFERROR(VLOOKUP(A796,Base2026!#REF!,2,FALSE),"")</f>
        <v/>
      </c>
      <c r="C796" s="1">
        <v>5534704647</v>
      </c>
    </row>
    <row r="797" spans="1:3" x14ac:dyDescent="0.3">
      <c r="A797" s="12" t="s">
        <v>322</v>
      </c>
      <c r="B797" s="12" t="s">
        <v>787</v>
      </c>
      <c r="C797" s="12">
        <v>5611324837</v>
      </c>
    </row>
    <row r="798" spans="1:3" x14ac:dyDescent="0.3">
      <c r="A798" s="1" t="s">
        <v>788</v>
      </c>
      <c r="B798" s="1" t="s">
        <v>6</v>
      </c>
      <c r="C798" s="1">
        <v>5517817365</v>
      </c>
    </row>
    <row r="799" spans="1:3" x14ac:dyDescent="0.3">
      <c r="A799" s="12" t="s">
        <v>790</v>
      </c>
      <c r="B799" s="12" t="s">
        <v>791</v>
      </c>
      <c r="C799" s="12">
        <v>5579656484</v>
      </c>
    </row>
    <row r="800" spans="1:3" x14ac:dyDescent="0.3">
      <c r="A800" s="1" t="s">
        <v>792</v>
      </c>
      <c r="B800" s="1" t="s">
        <v>117</v>
      </c>
      <c r="C800" s="1">
        <v>5540177596</v>
      </c>
    </row>
    <row r="801" spans="1:3" x14ac:dyDescent="0.3">
      <c r="A801" s="12" t="s">
        <v>793</v>
      </c>
      <c r="B801" s="12" t="s">
        <v>798</v>
      </c>
      <c r="C801" s="12">
        <v>5523485212</v>
      </c>
    </row>
    <row r="802" spans="1:3" x14ac:dyDescent="0.3">
      <c r="A802" s="1" t="s">
        <v>448</v>
      </c>
      <c r="B802" s="1" t="str">
        <f>IFERROR(VLOOKUP(A802,Base2026!#REF!,2,FALSE),"")</f>
        <v/>
      </c>
      <c r="C802" s="1" t="str">
        <f>IFERROR(VLOOKUP(B802,Base2026!A:C,2,FALSE),"")</f>
        <v/>
      </c>
    </row>
    <row r="803" spans="1:3" x14ac:dyDescent="0.3">
      <c r="A803" s="12" t="s">
        <v>420</v>
      </c>
      <c r="B803" s="12" t="s">
        <v>68</v>
      </c>
      <c r="C803" s="12">
        <v>5534846357</v>
      </c>
    </row>
    <row r="804" spans="1:3" x14ac:dyDescent="0.3">
      <c r="A804" s="1" t="s">
        <v>794</v>
      </c>
      <c r="B804" s="1" t="s">
        <v>795</v>
      </c>
      <c r="C804" s="1">
        <v>5557748451</v>
      </c>
    </row>
    <row r="805" spans="1:3" x14ac:dyDescent="0.3">
      <c r="A805" s="12" t="s">
        <v>796</v>
      </c>
      <c r="B805" s="12" t="s">
        <v>117</v>
      </c>
      <c r="C805" s="12">
        <v>5578942575</v>
      </c>
    </row>
    <row r="806" spans="1:3" x14ac:dyDescent="0.3">
      <c r="A806" s="1" t="s">
        <v>796</v>
      </c>
      <c r="B806" s="1" t="s">
        <v>117</v>
      </c>
      <c r="C806" s="1">
        <v>5578942575</v>
      </c>
    </row>
    <row r="807" spans="1:3" x14ac:dyDescent="0.3">
      <c r="A807" s="12" t="s">
        <v>797</v>
      </c>
      <c r="B807" s="12" t="str">
        <f>IFERROR(VLOOKUP(A807,Base2026!#REF!,2,FALSE),"")</f>
        <v/>
      </c>
      <c r="C807" s="12">
        <v>5540809412</v>
      </c>
    </row>
    <row r="808" spans="1:3" x14ac:dyDescent="0.3">
      <c r="A808" s="1" t="s">
        <v>797</v>
      </c>
      <c r="B808" s="1" t="str">
        <f>IFERROR(VLOOKUP(A808,Base2026!#REF!,2,FALSE),"")</f>
        <v/>
      </c>
      <c r="C808" s="1">
        <v>5540809412</v>
      </c>
    </row>
    <row r="809" spans="1:3" x14ac:dyDescent="0.3">
      <c r="A809" s="12" t="s">
        <v>797</v>
      </c>
      <c r="B809" s="12" t="str">
        <f>IFERROR(VLOOKUP(A809,Base2026!#REF!,2,FALSE),"")</f>
        <v/>
      </c>
      <c r="C809" s="12">
        <v>5540809412</v>
      </c>
    </row>
    <row r="810" spans="1:3" x14ac:dyDescent="0.3">
      <c r="A810" s="1" t="s">
        <v>797</v>
      </c>
      <c r="B810" s="1" t="str">
        <f>IFERROR(VLOOKUP(A810,Base2026!#REF!,2,FALSE),"")</f>
        <v/>
      </c>
      <c r="C810" s="1">
        <v>5540809412</v>
      </c>
    </row>
    <row r="811" spans="1:3" x14ac:dyDescent="0.3">
      <c r="A811" s="12" t="s">
        <v>799</v>
      </c>
      <c r="B811" s="12" t="s">
        <v>800</v>
      </c>
      <c r="C811" s="12"/>
    </row>
    <row r="812" spans="1:3" x14ac:dyDescent="0.3">
      <c r="A812" s="1" t="s">
        <v>801</v>
      </c>
      <c r="B812" s="1" t="s">
        <v>802</v>
      </c>
      <c r="C812" s="1">
        <v>5543450209</v>
      </c>
    </row>
    <row r="813" spans="1:3" x14ac:dyDescent="0.3">
      <c r="A813" s="12" t="s">
        <v>231</v>
      </c>
      <c r="B813" s="12" t="str">
        <f>IFERROR(VLOOKUP(A813,Base2026!#REF!,2,FALSE),"")</f>
        <v/>
      </c>
      <c r="C813" s="12">
        <v>5528186245</v>
      </c>
    </row>
    <row r="814" spans="1:3" x14ac:dyDescent="0.3">
      <c r="A814" s="1" t="s">
        <v>803</v>
      </c>
      <c r="B814" s="1" t="s">
        <v>806</v>
      </c>
      <c r="C814" s="1">
        <v>5514902178</v>
      </c>
    </row>
    <row r="815" spans="1:3" x14ac:dyDescent="0.3">
      <c r="A815" s="12" t="s">
        <v>789</v>
      </c>
      <c r="B815" s="12" t="s">
        <v>84</v>
      </c>
      <c r="C815" s="12">
        <v>5540255976</v>
      </c>
    </row>
    <row r="816" spans="1:3" x14ac:dyDescent="0.3">
      <c r="A816" s="1" t="s">
        <v>807</v>
      </c>
      <c r="B816" s="1" t="s">
        <v>808</v>
      </c>
      <c r="C816" s="1">
        <v>5523060582</v>
      </c>
    </row>
    <row r="817" spans="1:3" x14ac:dyDescent="0.3">
      <c r="A817" s="12" t="s">
        <v>809</v>
      </c>
      <c r="B817" s="12" t="s">
        <v>810</v>
      </c>
      <c r="C817" s="12">
        <v>5543730332</v>
      </c>
    </row>
    <row r="818" spans="1:3" x14ac:dyDescent="0.3">
      <c r="A818" s="1" t="s">
        <v>811</v>
      </c>
      <c r="B818" s="1" t="s">
        <v>832</v>
      </c>
      <c r="C818" s="1">
        <v>5557557036</v>
      </c>
    </row>
    <row r="819" spans="1:3" x14ac:dyDescent="0.3">
      <c r="A819" s="27" t="s">
        <v>812</v>
      </c>
      <c r="B819" s="27" t="s">
        <v>60</v>
      </c>
      <c r="C819" s="27">
        <v>5515067172</v>
      </c>
    </row>
    <row r="820" spans="1:3" x14ac:dyDescent="0.3">
      <c r="A820" s="1" t="s">
        <v>813</v>
      </c>
      <c r="B820" s="1" t="s">
        <v>814</v>
      </c>
      <c r="C820" s="1">
        <v>5577936861</v>
      </c>
    </row>
    <row r="821" spans="1:3" x14ac:dyDescent="0.3">
      <c r="A821" s="27" t="s">
        <v>815</v>
      </c>
      <c r="B821" s="27" t="s">
        <v>816</v>
      </c>
      <c r="C821" s="27">
        <v>5610472477</v>
      </c>
    </row>
    <row r="822" spans="1:3" x14ac:dyDescent="0.3">
      <c r="A822" s="1" t="s">
        <v>230</v>
      </c>
      <c r="B822" s="1" t="s">
        <v>152</v>
      </c>
      <c r="C822" s="1">
        <v>5554171386</v>
      </c>
    </row>
    <row r="823" spans="1:3" x14ac:dyDescent="0.3">
      <c r="A823" s="27" t="s">
        <v>224</v>
      </c>
      <c r="B823" s="27" t="str">
        <f>IFERROR(VLOOKUP(A823,Base2026!#REF!,2,FALSE),"")</f>
        <v/>
      </c>
      <c r="C823" s="27" t="str">
        <f>IFERROR(VLOOKUP(B823,Base2026!A:C,2,FALSE),"")</f>
        <v/>
      </c>
    </row>
    <row r="824" spans="1:3" x14ac:dyDescent="0.3">
      <c r="A824" s="1" t="s">
        <v>817</v>
      </c>
      <c r="B824" s="1" t="s">
        <v>818</v>
      </c>
      <c r="C824" s="1">
        <v>5535538673</v>
      </c>
    </row>
    <row r="825" spans="1:3" x14ac:dyDescent="0.3">
      <c r="A825" s="27" t="s">
        <v>819</v>
      </c>
      <c r="B825" s="27" t="s">
        <v>820</v>
      </c>
      <c r="C825" s="27">
        <v>5555072593</v>
      </c>
    </row>
    <row r="826" spans="1:3" x14ac:dyDescent="0.3">
      <c r="A826" s="1" t="s">
        <v>423</v>
      </c>
      <c r="B826" s="1" t="str">
        <f>IFERROR(VLOOKUP(A826,Base2026!#REF!,2,FALSE),"")</f>
        <v/>
      </c>
      <c r="C826" s="1" t="str">
        <f>IFERROR(VLOOKUP(B826,Base2026!A:C,2,FALSE),"")</f>
        <v/>
      </c>
    </row>
    <row r="827" spans="1:3" x14ac:dyDescent="0.3">
      <c r="A827" s="27" t="s">
        <v>821</v>
      </c>
      <c r="B827" s="27" t="s">
        <v>822</v>
      </c>
      <c r="C827" s="27">
        <v>5621030826</v>
      </c>
    </row>
    <row r="828" spans="1:3" x14ac:dyDescent="0.3">
      <c r="A828" s="1" t="s">
        <v>549</v>
      </c>
      <c r="B828" s="1" t="str">
        <f>IFERROR(VLOOKUP(A828,Base2026!#REF!,2,FALSE),"")</f>
        <v/>
      </c>
      <c r="C828" s="1" t="str">
        <f>IFERROR(VLOOKUP(B828,Base2026!A:C,2,FALSE),"")</f>
        <v/>
      </c>
    </row>
    <row r="829" spans="1:3" x14ac:dyDescent="0.3">
      <c r="A829" s="27" t="s">
        <v>823</v>
      </c>
      <c r="B829" s="27" t="s">
        <v>78</v>
      </c>
      <c r="C829" s="27">
        <v>5520920957</v>
      </c>
    </row>
    <row r="830" spans="1:3" x14ac:dyDescent="0.3">
      <c r="A830" s="1" t="s">
        <v>824</v>
      </c>
      <c r="B830" s="1" t="s">
        <v>782</v>
      </c>
      <c r="C830" s="1">
        <v>5516041821</v>
      </c>
    </row>
    <row r="831" spans="1:3" x14ac:dyDescent="0.3">
      <c r="A831" s="27" t="s">
        <v>217</v>
      </c>
      <c r="B831" s="27" t="s">
        <v>825</v>
      </c>
      <c r="C831" s="27">
        <v>5521745267</v>
      </c>
    </row>
    <row r="832" spans="1:3" x14ac:dyDescent="0.3">
      <c r="A832" s="1" t="s">
        <v>746</v>
      </c>
      <c r="B832" s="1" t="str">
        <f>IFERROR(VLOOKUP(A832,Base2026!#REF!,2,FALSE),"")</f>
        <v/>
      </c>
      <c r="C832" s="1" t="str">
        <f>IFERROR(VLOOKUP(B832,Base2026!A:C,2,FALSE),"")</f>
        <v/>
      </c>
    </row>
    <row r="833" spans="1:3" x14ac:dyDescent="0.3">
      <c r="A833" s="27" t="s">
        <v>610</v>
      </c>
      <c r="B833" s="27" t="str">
        <f>IFERROR(VLOOKUP(A833,Base2026!#REF!,2,FALSE),"")</f>
        <v/>
      </c>
      <c r="C833" s="27" t="str">
        <f>IFERROR(VLOOKUP(B833,Base2026!A:C,2,FALSE),"")</f>
        <v/>
      </c>
    </row>
    <row r="834" spans="1:3" x14ac:dyDescent="0.3">
      <c r="A834" s="1" t="s">
        <v>610</v>
      </c>
      <c r="B834" s="1" t="str">
        <f>IFERROR(VLOOKUP(A834,Base2026!#REF!,2,FALSE),"")</f>
        <v/>
      </c>
      <c r="C834" s="1" t="str">
        <f>IFERROR(VLOOKUP(B834,Base2026!A:C,2,FALSE),"")</f>
        <v/>
      </c>
    </row>
    <row r="835" spans="1:3" x14ac:dyDescent="0.3">
      <c r="A835" s="27" t="s">
        <v>610</v>
      </c>
      <c r="B835" s="27" t="str">
        <f>IFERROR(VLOOKUP(A835,Base2026!#REF!,2,FALSE),"")</f>
        <v/>
      </c>
      <c r="C835" s="27" t="str">
        <f>IFERROR(VLOOKUP(B835,Base2026!A:C,2,FALSE),"")</f>
        <v/>
      </c>
    </row>
    <row r="836" spans="1:3" x14ac:dyDescent="0.3">
      <c r="A836" s="1" t="s">
        <v>460</v>
      </c>
      <c r="B836" s="1" t="str">
        <f>IFERROR(VLOOKUP(A836,Base2026!#REF!,2,FALSE),"")</f>
        <v/>
      </c>
      <c r="C836" s="1" t="str">
        <f>IFERROR(VLOOKUP(B836,Base2026!A:C,2,FALSE),"")</f>
        <v/>
      </c>
    </row>
    <row r="837" spans="1:3" x14ac:dyDescent="0.3">
      <c r="A837" s="27" t="s">
        <v>826</v>
      </c>
      <c r="B837" s="27" t="s">
        <v>827</v>
      </c>
      <c r="C837" s="27">
        <v>5539570166</v>
      </c>
    </row>
    <row r="838" spans="1:3" x14ac:dyDescent="0.3">
      <c r="A838" s="1" t="s">
        <v>828</v>
      </c>
      <c r="B838" s="1" t="s">
        <v>63</v>
      </c>
      <c r="C838" s="1">
        <v>5584254911</v>
      </c>
    </row>
    <row r="839" spans="1:3" x14ac:dyDescent="0.3">
      <c r="A839" s="27" t="s">
        <v>169</v>
      </c>
      <c r="B839" s="27" t="s">
        <v>829</v>
      </c>
      <c r="C839" s="27">
        <v>5612609168</v>
      </c>
    </row>
    <row r="840" spans="1:3" x14ac:dyDescent="0.3">
      <c r="A840" s="1" t="s">
        <v>830</v>
      </c>
      <c r="B840" s="1" t="s">
        <v>721</v>
      </c>
      <c r="C840" s="1">
        <v>5537078916</v>
      </c>
    </row>
    <row r="841" spans="1:3" x14ac:dyDescent="0.3">
      <c r="A841" s="27" t="s">
        <v>831</v>
      </c>
      <c r="B841" s="27" t="s">
        <v>107</v>
      </c>
      <c r="C841" s="27">
        <v>5621736775</v>
      </c>
    </row>
    <row r="842" spans="1:3" x14ac:dyDescent="0.3">
      <c r="A842" s="1" t="s">
        <v>792</v>
      </c>
      <c r="B842" s="1" t="s">
        <v>117</v>
      </c>
      <c r="C842" s="1">
        <v>5540177546</v>
      </c>
    </row>
    <row r="843" spans="1:3" x14ac:dyDescent="0.3">
      <c r="A843" s="12" t="s">
        <v>846</v>
      </c>
      <c r="B843" s="12" t="s">
        <v>478</v>
      </c>
      <c r="C843" s="12">
        <v>5527842592</v>
      </c>
    </row>
    <row r="844" spans="1:3" x14ac:dyDescent="0.3">
      <c r="A844" s="1" t="s">
        <v>579</v>
      </c>
      <c r="B844" s="1" t="str">
        <f>IFERROR(VLOOKUP(A844,Base2026!#REF!,2,FALSE),"")</f>
        <v/>
      </c>
      <c r="C844" s="1" t="str">
        <f>IFERROR(VLOOKUP(B844,Base2026!A:C,2,FALSE),"")</f>
        <v/>
      </c>
    </row>
    <row r="845" spans="1:3" x14ac:dyDescent="0.3">
      <c r="A845" s="12" t="s">
        <v>834</v>
      </c>
      <c r="B845" s="12" t="s">
        <v>833</v>
      </c>
      <c r="C845" s="12">
        <v>5537078916</v>
      </c>
    </row>
    <row r="846" spans="1:3" x14ac:dyDescent="0.3">
      <c r="A846" s="1" t="s">
        <v>678</v>
      </c>
      <c r="B846" s="1" t="str">
        <f>IFERROR(VLOOKUP(A846,Base2026!#REF!,2,FALSE),"")</f>
        <v/>
      </c>
      <c r="C846" s="1" t="str">
        <f>IFERROR(VLOOKUP(B846,Base2026!A:C,2,FALSE),"")</f>
        <v/>
      </c>
    </row>
    <row r="847" spans="1:3" x14ac:dyDescent="0.3">
      <c r="A847" s="12" t="s">
        <v>835</v>
      </c>
      <c r="B847" s="12" t="s">
        <v>6</v>
      </c>
      <c r="C847" s="12">
        <v>5519036357</v>
      </c>
    </row>
    <row r="848" spans="1:3" x14ac:dyDescent="0.3">
      <c r="A848" s="1" t="s">
        <v>838</v>
      </c>
      <c r="B848" s="1" t="s">
        <v>839</v>
      </c>
      <c r="C848" s="1">
        <v>5551953722</v>
      </c>
    </row>
    <row r="849" spans="1:3" x14ac:dyDescent="0.3">
      <c r="A849" s="12" t="s">
        <v>840</v>
      </c>
      <c r="B849" s="12" t="s">
        <v>68</v>
      </c>
      <c r="C849" s="12">
        <v>5554761610</v>
      </c>
    </row>
    <row r="850" spans="1:3" x14ac:dyDescent="0.3">
      <c r="A850" s="1" t="s">
        <v>460</v>
      </c>
      <c r="B850" s="1" t="str">
        <f>IFERROR(VLOOKUP(A850,Base2026!#REF!,2,FALSE),"")</f>
        <v/>
      </c>
      <c r="C850" s="1" t="str">
        <f>IFERROR(VLOOKUP(B850,Base2026!A:C,2,FALSE),"")</f>
        <v/>
      </c>
    </row>
    <row r="851" spans="1:3" x14ac:dyDescent="0.3">
      <c r="A851" s="12" t="s">
        <v>841</v>
      </c>
      <c r="B851" s="12" t="s">
        <v>117</v>
      </c>
      <c r="C851" s="12">
        <v>5534440659</v>
      </c>
    </row>
    <row r="852" spans="1:3" x14ac:dyDescent="0.3">
      <c r="A852" s="1" t="s">
        <v>131</v>
      </c>
      <c r="B852" s="1" t="str">
        <f>IFERROR(VLOOKUP(A852,Base2026!#REF!,2,FALSE),"")</f>
        <v/>
      </c>
      <c r="C852" s="1" t="str">
        <f>IFERROR(VLOOKUP(B852,Base2026!A:C,2,FALSE),"")</f>
        <v/>
      </c>
    </row>
    <row r="853" spans="1:3" x14ac:dyDescent="0.3">
      <c r="A853" s="12" t="s">
        <v>843</v>
      </c>
      <c r="B853" s="12" t="s">
        <v>844</v>
      </c>
      <c r="C853" s="12">
        <v>5514956097</v>
      </c>
    </row>
    <row r="854" spans="1:3" x14ac:dyDescent="0.3">
      <c r="A854" s="1" t="s">
        <v>843</v>
      </c>
      <c r="B854" s="1" t="s">
        <v>844</v>
      </c>
      <c r="C854" s="1">
        <v>5514956097</v>
      </c>
    </row>
    <row r="855" spans="1:3" x14ac:dyDescent="0.3">
      <c r="A855" s="12" t="s">
        <v>845</v>
      </c>
      <c r="B855" s="12" t="s">
        <v>244</v>
      </c>
      <c r="C855" s="12">
        <v>5575007807</v>
      </c>
    </row>
    <row r="856" spans="1:3" x14ac:dyDescent="0.3">
      <c r="A856" s="1" t="s">
        <v>847</v>
      </c>
      <c r="B856" s="1" t="s">
        <v>848</v>
      </c>
      <c r="C856" s="1">
        <v>5585922461</v>
      </c>
    </row>
    <row r="857" spans="1:3" x14ac:dyDescent="0.3">
      <c r="A857" s="27" t="s">
        <v>836</v>
      </c>
      <c r="B857" s="27" t="s">
        <v>204</v>
      </c>
      <c r="C857" s="27">
        <v>5529849094</v>
      </c>
    </row>
    <row r="858" spans="1:3" x14ac:dyDescent="0.3">
      <c r="A858" s="1" t="s">
        <v>849</v>
      </c>
      <c r="B858" s="1" t="s">
        <v>837</v>
      </c>
      <c r="C858" s="1">
        <v>5562509049</v>
      </c>
    </row>
    <row r="859" spans="1:3" x14ac:dyDescent="0.3">
      <c r="A859" s="27" t="s">
        <v>850</v>
      </c>
      <c r="B859" s="27" t="s">
        <v>187</v>
      </c>
      <c r="C859" s="27">
        <v>5565353762</v>
      </c>
    </row>
    <row r="860" spans="1:3" x14ac:dyDescent="0.3">
      <c r="A860" s="2" t="s">
        <v>851</v>
      </c>
      <c r="B860" s="1" t="s">
        <v>206</v>
      </c>
      <c r="C860" s="1">
        <v>5542058607</v>
      </c>
    </row>
    <row r="861" spans="1:3" x14ac:dyDescent="0.3">
      <c r="A861" s="27" t="s">
        <v>852</v>
      </c>
      <c r="B861" s="27" t="s">
        <v>204</v>
      </c>
      <c r="C861" s="27">
        <v>5531564353</v>
      </c>
    </row>
    <row r="862" spans="1:3" x14ac:dyDescent="0.3">
      <c r="A862" s="1" t="s">
        <v>842</v>
      </c>
      <c r="B862" s="1" t="s">
        <v>159</v>
      </c>
      <c r="C862" s="1">
        <v>5520457110</v>
      </c>
    </row>
    <row r="863" spans="1:3" x14ac:dyDescent="0.3">
      <c r="A863" s="27" t="s">
        <v>685</v>
      </c>
      <c r="B863" s="27" t="s">
        <v>854</v>
      </c>
      <c r="C863" s="27">
        <v>5561730787</v>
      </c>
    </row>
    <row r="864" spans="1:3" x14ac:dyDescent="0.3">
      <c r="A864" s="1" t="s">
        <v>853</v>
      </c>
      <c r="B864" s="1" t="s">
        <v>56</v>
      </c>
      <c r="C864" s="1" t="str">
        <f>IFERROR(VLOOKUP(B864,Base2026!A:C,2,FALSE),"")</f>
        <v/>
      </c>
    </row>
    <row r="865" spans="1:3" x14ac:dyDescent="0.3">
      <c r="A865" s="27" t="s">
        <v>856</v>
      </c>
      <c r="B865" s="27" t="s">
        <v>855</v>
      </c>
      <c r="C865" s="27">
        <v>5534259252</v>
      </c>
    </row>
    <row r="866" spans="1:3" x14ac:dyDescent="0.3">
      <c r="A866" s="1" t="s">
        <v>7</v>
      </c>
      <c r="B866" s="1" t="s">
        <v>30</v>
      </c>
      <c r="C866" s="1" t="str">
        <f>IFERROR(VLOOKUP(B866,Base2026!A:C,2,FALSE),"")</f>
        <v/>
      </c>
    </row>
    <row r="867" spans="1:3" x14ac:dyDescent="0.3">
      <c r="A867" s="27" t="s">
        <v>857</v>
      </c>
      <c r="B867" s="27" t="s">
        <v>478</v>
      </c>
      <c r="C867" s="27">
        <v>5512491180</v>
      </c>
    </row>
    <row r="868" spans="1:3" x14ac:dyDescent="0.3">
      <c r="A868" s="1" t="s">
        <v>534</v>
      </c>
      <c r="B868" s="1" t="str">
        <f>IFERROR(VLOOKUP(A868,Base2026!#REF!,2,FALSE),"")</f>
        <v/>
      </c>
      <c r="C868" s="1">
        <v>5544889671</v>
      </c>
    </row>
    <row r="869" spans="1:3" x14ac:dyDescent="0.3">
      <c r="A869" s="27" t="s">
        <v>835</v>
      </c>
      <c r="B869" s="27" t="s">
        <v>858</v>
      </c>
      <c r="C869" s="27">
        <v>5519036357</v>
      </c>
    </row>
    <row r="870" spans="1:3" x14ac:dyDescent="0.3">
      <c r="A870" s="1" t="s">
        <v>859</v>
      </c>
      <c r="B870" s="1" t="s">
        <v>860</v>
      </c>
      <c r="C870" s="1">
        <v>5537956149</v>
      </c>
    </row>
    <row r="871" spans="1:3" x14ac:dyDescent="0.3">
      <c r="A871" s="27" t="s">
        <v>398</v>
      </c>
      <c r="B871" s="27" t="str">
        <f>IFERROR(VLOOKUP(A871,Base2026!#REF!,2,FALSE),"")</f>
        <v/>
      </c>
      <c r="C871" s="27" t="str">
        <f>IFERROR(VLOOKUP(B871,Base2026!A:C,2,FALSE),"")</f>
        <v/>
      </c>
    </row>
    <row r="872" spans="1:3" x14ac:dyDescent="0.3">
      <c r="A872" s="1" t="s">
        <v>861</v>
      </c>
      <c r="B872" s="1" t="s">
        <v>46</v>
      </c>
      <c r="C872" s="1">
        <v>5586772887</v>
      </c>
    </row>
    <row r="873" spans="1:3" x14ac:dyDescent="0.3">
      <c r="A873" s="1" t="s">
        <v>863</v>
      </c>
      <c r="B873" s="1" t="s">
        <v>864</v>
      </c>
      <c r="C873" s="1">
        <v>5613869199</v>
      </c>
    </row>
    <row r="874" spans="1:3" x14ac:dyDescent="0.3">
      <c r="A874" s="21" t="s">
        <v>865</v>
      </c>
      <c r="B874" s="21" t="s">
        <v>866</v>
      </c>
      <c r="C874" s="21">
        <v>5523769704</v>
      </c>
    </row>
    <row r="875" spans="1:3" x14ac:dyDescent="0.3">
      <c r="A875" s="1" t="s">
        <v>865</v>
      </c>
      <c r="B875" s="1" t="s">
        <v>866</v>
      </c>
      <c r="C875" s="1">
        <v>5523769704</v>
      </c>
    </row>
    <row r="876" spans="1:3" x14ac:dyDescent="0.3">
      <c r="A876" s="21" t="s">
        <v>865</v>
      </c>
      <c r="B876" s="21" t="s">
        <v>866</v>
      </c>
      <c r="C876" s="21">
        <v>5523769704</v>
      </c>
    </row>
    <row r="877" spans="1:3" x14ac:dyDescent="0.3">
      <c r="A877" s="1" t="s">
        <v>298</v>
      </c>
      <c r="B877" s="1" t="str">
        <f>IFERROR(VLOOKUP(A877,Base2026!#REF!,2,FALSE),"")</f>
        <v/>
      </c>
      <c r="C877" s="1" t="str">
        <f>IFERROR(VLOOKUP(B877,Base2026!A:C,2,FALSE),"")</f>
        <v/>
      </c>
    </row>
    <row r="878" spans="1:3" x14ac:dyDescent="0.3">
      <c r="A878" s="21" t="s">
        <v>867</v>
      </c>
      <c r="B878" s="21" t="s">
        <v>237</v>
      </c>
      <c r="C878" s="21">
        <v>5540238754</v>
      </c>
    </row>
    <row r="879" spans="1:3" x14ac:dyDescent="0.3">
      <c r="A879" s="1" t="s">
        <v>868</v>
      </c>
      <c r="B879" s="1" t="s">
        <v>161</v>
      </c>
      <c r="C879" s="1">
        <v>5520044132</v>
      </c>
    </row>
    <row r="880" spans="1:3" x14ac:dyDescent="0.3">
      <c r="A880" s="21" t="s">
        <v>869</v>
      </c>
      <c r="B880" s="21" t="s">
        <v>798</v>
      </c>
      <c r="C880" s="21">
        <v>5515986862</v>
      </c>
    </row>
    <row r="881" spans="1:3" x14ac:dyDescent="0.3">
      <c r="A881" s="1" t="s">
        <v>870</v>
      </c>
      <c r="B881" s="1" t="s">
        <v>871</v>
      </c>
      <c r="C881" s="1">
        <v>5510990732</v>
      </c>
    </row>
    <row r="882" spans="1:3" x14ac:dyDescent="0.3">
      <c r="A882" s="21" t="s">
        <v>870</v>
      </c>
      <c r="B882" s="21" t="s">
        <v>871</v>
      </c>
      <c r="C882" s="21">
        <v>5510990733</v>
      </c>
    </row>
    <row r="883" spans="1:3" x14ac:dyDescent="0.3">
      <c r="A883" s="1" t="s">
        <v>870</v>
      </c>
      <c r="B883" s="1" t="s">
        <v>871</v>
      </c>
      <c r="C883" s="1">
        <v>5510990734</v>
      </c>
    </row>
    <row r="884" spans="1:3" x14ac:dyDescent="0.3">
      <c r="A884" s="21" t="s">
        <v>870</v>
      </c>
      <c r="B884" s="21" t="s">
        <v>871</v>
      </c>
      <c r="C884" s="21">
        <v>5510990735</v>
      </c>
    </row>
    <row r="885" spans="1:3" x14ac:dyDescent="0.3">
      <c r="A885" s="1" t="s">
        <v>872</v>
      </c>
      <c r="B885" s="1" t="s">
        <v>74</v>
      </c>
      <c r="C885" s="1">
        <v>5528872468</v>
      </c>
    </row>
    <row r="886" spans="1:3" x14ac:dyDescent="0.3">
      <c r="A886" s="21" t="s">
        <v>821</v>
      </c>
      <c r="B886" s="21" t="s">
        <v>822</v>
      </c>
      <c r="C886" s="21">
        <v>5621030826</v>
      </c>
    </row>
    <row r="887" spans="1:3" x14ac:dyDescent="0.3">
      <c r="A887" s="1" t="s">
        <v>873</v>
      </c>
      <c r="B887" s="1" t="s">
        <v>68</v>
      </c>
      <c r="C887" s="1">
        <v>5557800399</v>
      </c>
    </row>
    <row r="888" spans="1:3" x14ac:dyDescent="0.3">
      <c r="A888" s="21" t="s">
        <v>874</v>
      </c>
      <c r="B888" s="21" t="s">
        <v>875</v>
      </c>
      <c r="C888" s="21">
        <v>5548565754</v>
      </c>
    </row>
    <row r="889" spans="1:3" x14ac:dyDescent="0.3">
      <c r="A889" s="1" t="s">
        <v>7</v>
      </c>
      <c r="B889" s="1" t="s">
        <v>30</v>
      </c>
      <c r="C889" s="1" t="str">
        <f>IFERROR(VLOOKUP(B889,Base2026!A:C,2,FALSE),"")</f>
        <v/>
      </c>
    </row>
    <row r="890" spans="1:3" x14ac:dyDescent="0.3">
      <c r="A890" s="21" t="s">
        <v>876</v>
      </c>
      <c r="B890" s="21" t="s">
        <v>877</v>
      </c>
      <c r="C890" s="21">
        <v>5580138950</v>
      </c>
    </row>
    <row r="891" spans="1:3" x14ac:dyDescent="0.3">
      <c r="A891" s="1" t="s">
        <v>876</v>
      </c>
      <c r="B891" s="1" t="s">
        <v>877</v>
      </c>
      <c r="C891" s="1">
        <v>5580138950</v>
      </c>
    </row>
    <row r="892" spans="1:3" x14ac:dyDescent="0.3">
      <c r="A892" s="21" t="s">
        <v>876</v>
      </c>
      <c r="B892" s="21" t="s">
        <v>877</v>
      </c>
      <c r="C892" s="21">
        <v>5580138950</v>
      </c>
    </row>
    <row r="893" spans="1:3" x14ac:dyDescent="0.3">
      <c r="A893" s="1" t="s">
        <v>27</v>
      </c>
      <c r="B893" s="1" t="s">
        <v>878</v>
      </c>
      <c r="C893" s="1">
        <v>5550979443</v>
      </c>
    </row>
    <row r="894" spans="1:3" x14ac:dyDescent="0.3">
      <c r="A894" s="21" t="s">
        <v>27</v>
      </c>
      <c r="B894" s="21" t="s">
        <v>878</v>
      </c>
      <c r="C894" s="21">
        <v>5550979443</v>
      </c>
    </row>
    <row r="895" spans="1:3" x14ac:dyDescent="0.3">
      <c r="A895" s="1" t="s">
        <v>879</v>
      </c>
      <c r="B895" s="1" t="s">
        <v>880</v>
      </c>
      <c r="C895" s="1">
        <v>5536791358</v>
      </c>
    </row>
    <row r="896" spans="1:3" x14ac:dyDescent="0.3">
      <c r="A896" s="27" t="s">
        <v>881</v>
      </c>
      <c r="B896" s="27" t="s">
        <v>144</v>
      </c>
      <c r="C896" s="27">
        <v>5531966234</v>
      </c>
    </row>
    <row r="897" spans="1:3" x14ac:dyDescent="0.3">
      <c r="A897" s="1" t="s">
        <v>882</v>
      </c>
      <c r="B897" s="1" t="s">
        <v>144</v>
      </c>
      <c r="C897" s="1">
        <v>5536681725</v>
      </c>
    </row>
    <row r="898" spans="1:3" x14ac:dyDescent="0.3">
      <c r="A898" s="27" t="s">
        <v>883</v>
      </c>
      <c r="B898" s="27" t="s">
        <v>46</v>
      </c>
      <c r="C898" s="27">
        <v>5580554228</v>
      </c>
    </row>
    <row r="899" spans="1:3" x14ac:dyDescent="0.3">
      <c r="A899" s="1" t="s">
        <v>884</v>
      </c>
      <c r="B899" s="1" t="s">
        <v>41</v>
      </c>
      <c r="C899" s="1">
        <v>4425055168</v>
      </c>
    </row>
    <row r="900" spans="1:3" x14ac:dyDescent="0.3">
      <c r="A900" s="27" t="s">
        <v>885</v>
      </c>
      <c r="B900" s="27" t="s">
        <v>806</v>
      </c>
      <c r="C900" s="27">
        <v>5657508062</v>
      </c>
    </row>
    <row r="901" spans="1:3" x14ac:dyDescent="0.3">
      <c r="A901" s="1" t="s">
        <v>886</v>
      </c>
      <c r="B901" s="1" t="s">
        <v>806</v>
      </c>
      <c r="C901" s="1">
        <v>5527288634</v>
      </c>
    </row>
    <row r="902" spans="1:3" x14ac:dyDescent="0.3">
      <c r="A902" s="27" t="s">
        <v>887</v>
      </c>
      <c r="B902" s="27" t="s">
        <v>60</v>
      </c>
      <c r="C902" s="27">
        <v>5579395989</v>
      </c>
    </row>
    <row r="903" spans="1:3" x14ac:dyDescent="0.3">
      <c r="A903" s="1" t="s">
        <v>888</v>
      </c>
      <c r="B903" s="1" t="s">
        <v>889</v>
      </c>
      <c r="C903" s="1">
        <v>5551882046</v>
      </c>
    </row>
    <row r="904" spans="1:3" x14ac:dyDescent="0.3">
      <c r="A904" s="27" t="s">
        <v>862</v>
      </c>
      <c r="B904" s="27" t="s">
        <v>43</v>
      </c>
      <c r="C904" s="27">
        <v>5528353565</v>
      </c>
    </row>
    <row r="905" spans="1:3" x14ac:dyDescent="0.3">
      <c r="A905" s="1" t="s">
        <v>891</v>
      </c>
      <c r="B905" s="1" t="s">
        <v>43</v>
      </c>
      <c r="C905" s="1">
        <v>7751096060</v>
      </c>
    </row>
    <row r="906" spans="1:3" x14ac:dyDescent="0.3">
      <c r="A906" s="27" t="s">
        <v>891</v>
      </c>
      <c r="B906" s="27" t="s">
        <v>43</v>
      </c>
      <c r="C906" s="27">
        <v>7751096061</v>
      </c>
    </row>
    <row r="907" spans="1:3" x14ac:dyDescent="0.3">
      <c r="A907" s="1" t="s">
        <v>892</v>
      </c>
      <c r="B907" s="1" t="s">
        <v>287</v>
      </c>
      <c r="C907" s="1">
        <v>5517957453</v>
      </c>
    </row>
    <row r="908" spans="1:3" x14ac:dyDescent="0.3">
      <c r="A908" s="27" t="s">
        <v>428</v>
      </c>
      <c r="B908" s="27" t="str">
        <f>IFERROR(VLOOKUP(A908,Base2026!#REF!,2,FALSE),"")</f>
        <v/>
      </c>
      <c r="C908" s="27" t="str">
        <f>IFERROR(VLOOKUP(B908,Base2026!A:C,2,FALSE),"")</f>
        <v/>
      </c>
    </row>
    <row r="909" spans="1:3" x14ac:dyDescent="0.3">
      <c r="A909" s="1" t="s">
        <v>901</v>
      </c>
      <c r="B909" s="1" t="s">
        <v>902</v>
      </c>
      <c r="C909" s="1">
        <v>5612830956</v>
      </c>
    </row>
    <row r="910" spans="1:3" x14ac:dyDescent="0.3">
      <c r="A910" s="27" t="s">
        <v>893</v>
      </c>
      <c r="B910" s="27" t="s">
        <v>733</v>
      </c>
      <c r="C910" s="27">
        <v>5578767052</v>
      </c>
    </row>
    <row r="911" spans="1:3" x14ac:dyDescent="0.3">
      <c r="A911" s="1" t="s">
        <v>907</v>
      </c>
      <c r="B911" s="1" t="s">
        <v>204</v>
      </c>
      <c r="C911" s="1">
        <v>5570265288</v>
      </c>
    </row>
    <row r="912" spans="1:3" x14ac:dyDescent="0.3">
      <c r="A912" s="27" t="s">
        <v>894</v>
      </c>
      <c r="B912" s="27" t="s">
        <v>895</v>
      </c>
      <c r="C912" s="27">
        <v>5565425223</v>
      </c>
    </row>
    <row r="913" spans="1:3" x14ac:dyDescent="0.3">
      <c r="A913" s="1" t="s">
        <v>896</v>
      </c>
      <c r="B913" s="1" t="s">
        <v>897</v>
      </c>
      <c r="C913" s="1">
        <v>5554776503</v>
      </c>
    </row>
    <row r="914" spans="1:3" x14ac:dyDescent="0.3">
      <c r="A914" s="27" t="s">
        <v>898</v>
      </c>
      <c r="B914" s="27" t="s">
        <v>187</v>
      </c>
      <c r="C914" s="27">
        <v>5598339524</v>
      </c>
    </row>
    <row r="915" spans="1:3" x14ac:dyDescent="0.3">
      <c r="A915" s="1" t="s">
        <v>899</v>
      </c>
      <c r="B915" s="1" t="s">
        <v>46</v>
      </c>
      <c r="C915" s="1">
        <v>5559333893</v>
      </c>
    </row>
    <row r="916" spans="1:3" x14ac:dyDescent="0.3">
      <c r="A916" s="27" t="s">
        <v>872</v>
      </c>
      <c r="B916" s="27" t="s">
        <v>74</v>
      </c>
      <c r="C916" s="27">
        <v>5528872468</v>
      </c>
    </row>
    <row r="917" spans="1:3" x14ac:dyDescent="0.3">
      <c r="A917" s="1" t="s">
        <v>900</v>
      </c>
      <c r="B917" s="1" t="s">
        <v>661</v>
      </c>
      <c r="C917" s="1">
        <v>5579077157</v>
      </c>
    </row>
    <row r="918" spans="1:3" x14ac:dyDescent="0.3">
      <c r="A918" s="27" t="s">
        <v>867</v>
      </c>
      <c r="B918" s="27" t="s">
        <v>237</v>
      </c>
      <c r="C918" s="27">
        <v>5540238754</v>
      </c>
    </row>
    <row r="919" spans="1:3" x14ac:dyDescent="0.3">
      <c r="A919" s="1" t="s">
        <v>904</v>
      </c>
      <c r="B919" s="1" t="s">
        <v>903</v>
      </c>
      <c r="C919" s="1">
        <v>5638172737</v>
      </c>
    </row>
    <row r="920" spans="1:3" x14ac:dyDescent="0.3">
      <c r="A920" s="27" t="s">
        <v>310</v>
      </c>
      <c r="B920" s="27" t="str">
        <f>IFERROR(VLOOKUP(A920,Base2026!#REF!,2,FALSE),"")</f>
        <v/>
      </c>
      <c r="C920" s="27">
        <v>5525363416</v>
      </c>
    </row>
    <row r="921" spans="1:3" x14ac:dyDescent="0.3">
      <c r="A921" s="1" t="s">
        <v>905</v>
      </c>
      <c r="B921" s="1" t="s">
        <v>906</v>
      </c>
      <c r="C921" s="1" t="str">
        <f>IFERROR(VLOOKUP(B921,Base2026!A:C,2,FALSE),"")</f>
        <v/>
      </c>
    </row>
    <row r="922" spans="1:3" x14ac:dyDescent="0.3">
      <c r="A922" s="27" t="s">
        <v>905</v>
      </c>
      <c r="B922" s="27" t="s">
        <v>906</v>
      </c>
      <c r="C922" s="27" t="str">
        <f>IFERROR(VLOOKUP(B922,Base2026!A:C,2,FALSE),"")</f>
        <v/>
      </c>
    </row>
    <row r="923" spans="1:3" x14ac:dyDescent="0.3">
      <c r="A923" s="1" t="s">
        <v>905</v>
      </c>
      <c r="B923" s="1" t="s">
        <v>906</v>
      </c>
      <c r="C923" s="1" t="str">
        <f>IFERROR(VLOOKUP(B923,Base2026!A:C,2,FALSE),"")</f>
        <v/>
      </c>
    </row>
    <row r="924" spans="1:3" x14ac:dyDescent="0.3">
      <c r="A924" s="27" t="s">
        <v>905</v>
      </c>
      <c r="B924" s="27" t="s">
        <v>906</v>
      </c>
      <c r="C924" s="27" t="str">
        <f>IFERROR(VLOOKUP(B924,Base2026!A:C,2,FALSE),"")</f>
        <v/>
      </c>
    </row>
    <row r="925" spans="1:3" x14ac:dyDescent="0.3">
      <c r="A925" s="1" t="s">
        <v>905</v>
      </c>
      <c r="B925" s="1" t="s">
        <v>906</v>
      </c>
      <c r="C925" s="1" t="str">
        <f>IFERROR(VLOOKUP(B925,Base2026!A:C,2,FALSE),"")</f>
        <v/>
      </c>
    </row>
    <row r="926" spans="1:3" x14ac:dyDescent="0.3">
      <c r="A926" s="27" t="s">
        <v>905</v>
      </c>
      <c r="B926" s="27" t="s">
        <v>906</v>
      </c>
      <c r="C926" s="27" t="str">
        <f>IFERROR(VLOOKUP(B926,Base2026!A:C,2,FALSE),"")</f>
        <v/>
      </c>
    </row>
    <row r="927" spans="1:3" x14ac:dyDescent="0.3">
      <c r="A927" s="1" t="s">
        <v>905</v>
      </c>
      <c r="B927" s="1" t="s">
        <v>906</v>
      </c>
      <c r="C927" s="1" t="str">
        <f>IFERROR(VLOOKUP(B927,Base2026!A:C,2,FALSE),"")</f>
        <v/>
      </c>
    </row>
    <row r="928" spans="1:3" x14ac:dyDescent="0.3">
      <c r="A928" s="27" t="s">
        <v>905</v>
      </c>
      <c r="B928" s="27" t="s">
        <v>906</v>
      </c>
      <c r="C928" s="27" t="str">
        <f>IFERROR(VLOOKUP(B928,Base2026!A:C,2,FALSE),"")</f>
        <v/>
      </c>
    </row>
    <row r="929" spans="1:3" x14ac:dyDescent="0.3">
      <c r="A929" s="1" t="s">
        <v>905</v>
      </c>
      <c r="B929" s="1" t="s">
        <v>906</v>
      </c>
      <c r="C929" s="1" t="str">
        <f>IFERROR(VLOOKUP(B929,Base2026!A:C,2,FALSE),"")</f>
        <v/>
      </c>
    </row>
    <row r="930" spans="1:3" x14ac:dyDescent="0.3">
      <c r="A930" s="21" t="s">
        <v>709</v>
      </c>
      <c r="B930" s="21" t="s">
        <v>915</v>
      </c>
      <c r="C930" s="21" t="str">
        <f>IFERROR(VLOOKUP(B930,Base2026!A:C,2,FALSE),"")</f>
        <v/>
      </c>
    </row>
    <row r="931" spans="1:3" x14ac:dyDescent="0.3">
      <c r="A931" s="1" t="s">
        <v>709</v>
      </c>
      <c r="B931" s="1" t="s">
        <v>548</v>
      </c>
      <c r="C931" s="1"/>
    </row>
    <row r="932" spans="1:3" x14ac:dyDescent="0.3">
      <c r="A932" s="21" t="s">
        <v>908</v>
      </c>
      <c r="B932" s="21" t="s">
        <v>909</v>
      </c>
      <c r="C932" s="21">
        <v>5578808418</v>
      </c>
    </row>
    <row r="933" spans="1:3" x14ac:dyDescent="0.3">
      <c r="A933" s="1" t="s">
        <v>910</v>
      </c>
      <c r="B933" s="1" t="s">
        <v>336</v>
      </c>
      <c r="C933" s="1">
        <v>5547402145</v>
      </c>
    </row>
    <row r="934" spans="1:3" x14ac:dyDescent="0.3">
      <c r="A934" s="21" t="s">
        <v>910</v>
      </c>
      <c r="B934" s="21" t="s">
        <v>336</v>
      </c>
      <c r="C934" s="21">
        <v>5547402146</v>
      </c>
    </row>
    <row r="935" spans="1:3" x14ac:dyDescent="0.3">
      <c r="A935" s="1" t="s">
        <v>911</v>
      </c>
      <c r="B935" s="1" t="s">
        <v>167</v>
      </c>
      <c r="C935" s="1">
        <v>5527812319</v>
      </c>
    </row>
    <row r="936" spans="1:3" x14ac:dyDescent="0.3">
      <c r="A936" s="21" t="s">
        <v>916</v>
      </c>
      <c r="B936" s="21" t="s">
        <v>46</v>
      </c>
      <c r="C936" s="21">
        <v>5521499498</v>
      </c>
    </row>
    <row r="937" spans="1:3" x14ac:dyDescent="0.3">
      <c r="A937" s="1" t="s">
        <v>912</v>
      </c>
      <c r="B937" s="1" t="s">
        <v>913</v>
      </c>
      <c r="C937" s="1">
        <v>5548841097</v>
      </c>
    </row>
    <row r="938" spans="1:3" x14ac:dyDescent="0.3">
      <c r="A938" s="21" t="s">
        <v>912</v>
      </c>
      <c r="B938" s="21" t="s">
        <v>913</v>
      </c>
      <c r="C938" s="21">
        <v>5548841098</v>
      </c>
    </row>
    <row r="939" spans="1:3" x14ac:dyDescent="0.3">
      <c r="A939" s="1" t="s">
        <v>227</v>
      </c>
      <c r="B939" s="1" t="s">
        <v>228</v>
      </c>
      <c r="C939" s="1">
        <v>5534846357</v>
      </c>
    </row>
    <row r="940" spans="1:3" x14ac:dyDescent="0.3">
      <c r="A940" s="21" t="s">
        <v>914</v>
      </c>
      <c r="B940" s="21" t="s">
        <v>46</v>
      </c>
      <c r="C940" s="21">
        <v>55438789</v>
      </c>
    </row>
    <row r="941" spans="1:3" x14ac:dyDescent="0.3">
      <c r="A941" s="1" t="s">
        <v>398</v>
      </c>
      <c r="B941" s="1" t="str">
        <f>IFERROR(VLOOKUP(A941,Base2026!#REF!,2,FALSE),"")</f>
        <v/>
      </c>
      <c r="C941" s="1" t="str">
        <f>IFERROR(VLOOKUP(B941,Base2026!A:C,2,FALSE),"")</f>
        <v/>
      </c>
    </row>
    <row r="942" spans="1:3" x14ac:dyDescent="0.3">
      <c r="A942" s="21" t="s">
        <v>917</v>
      </c>
      <c r="B942" s="21" t="s">
        <v>514</v>
      </c>
      <c r="C942" s="21" t="str">
        <f>IFERROR(VLOOKUP(B942,Base2026!A:C,2,FALSE),"")</f>
        <v/>
      </c>
    </row>
    <row r="943" spans="1:3" x14ac:dyDescent="0.3">
      <c r="A943" s="1" t="s">
        <v>57</v>
      </c>
      <c r="B943" s="1" t="str">
        <f>IFERROR(VLOOKUP(A943,Base2026!#REF!,2,FALSE),"")</f>
        <v/>
      </c>
      <c r="C943" s="1"/>
    </row>
    <row r="944" spans="1:3" x14ac:dyDescent="0.3">
      <c r="A944" s="21" t="s">
        <v>918</v>
      </c>
      <c r="B944" s="21" t="s">
        <v>425</v>
      </c>
      <c r="C944" s="21">
        <v>5532332129</v>
      </c>
    </row>
    <row r="945" spans="1:3" x14ac:dyDescent="0.3">
      <c r="A945" s="1" t="s">
        <v>428</v>
      </c>
      <c r="B945" s="1" t="str">
        <f>IFERROR(VLOOKUP(A945,Base2026!#REF!,2,FALSE),"")</f>
        <v/>
      </c>
      <c r="C945" s="1" t="str">
        <f>IFERROR(VLOOKUP(B945,Base2026!A:C,2,FALSE),"")</f>
        <v/>
      </c>
    </row>
    <row r="946" spans="1:3" x14ac:dyDescent="0.3">
      <c r="A946" s="21" t="s">
        <v>919</v>
      </c>
      <c r="B946" s="21" t="s">
        <v>84</v>
      </c>
      <c r="C946" s="21">
        <v>5517447061</v>
      </c>
    </row>
    <row r="947" spans="1:3" x14ac:dyDescent="0.3">
      <c r="A947" s="1" t="s">
        <v>920</v>
      </c>
      <c r="B947" s="1" t="s">
        <v>41</v>
      </c>
      <c r="C947" s="1">
        <v>5518666206</v>
      </c>
    </row>
    <row r="948" spans="1:3" x14ac:dyDescent="0.3">
      <c r="A948" s="21" t="s">
        <v>921</v>
      </c>
      <c r="B948" s="21" t="s">
        <v>922</v>
      </c>
      <c r="C948" s="21">
        <v>5537411500</v>
      </c>
    </row>
    <row r="949" spans="1:3" x14ac:dyDescent="0.3">
      <c r="A949" s="1" t="s">
        <v>407</v>
      </c>
      <c r="B949" s="1" t="s">
        <v>237</v>
      </c>
      <c r="C949" s="1">
        <v>5538288838</v>
      </c>
    </row>
    <row r="950" spans="1:3" x14ac:dyDescent="0.3">
      <c r="A950" s="27" t="s">
        <v>797</v>
      </c>
      <c r="B950" s="27" t="s">
        <v>923</v>
      </c>
      <c r="C950" s="27" t="str">
        <f>IFERROR(VLOOKUP(B950,Base2026!A:C,2,FALSE),"")</f>
        <v/>
      </c>
    </row>
    <row r="951" spans="1:3" x14ac:dyDescent="0.3">
      <c r="A951" s="1" t="s">
        <v>797</v>
      </c>
      <c r="B951" s="1" t="s">
        <v>923</v>
      </c>
      <c r="C951" s="1" t="str">
        <f>IFERROR(VLOOKUP(B951,Base2026!A:C,2,FALSE),"")</f>
        <v/>
      </c>
    </row>
    <row r="952" spans="1:3" x14ac:dyDescent="0.3">
      <c r="A952" s="27" t="s">
        <v>797</v>
      </c>
      <c r="B952" s="27" t="s">
        <v>923</v>
      </c>
      <c r="C952" s="27" t="str">
        <f>IFERROR(VLOOKUP(B952,Base2026!A:C,2,FALSE),"")</f>
        <v/>
      </c>
    </row>
    <row r="953" spans="1:3" x14ac:dyDescent="0.3">
      <c r="A953" s="1" t="s">
        <v>924</v>
      </c>
      <c r="B953" s="1" t="s">
        <v>41</v>
      </c>
      <c r="C953" s="1">
        <v>5510063308</v>
      </c>
    </row>
    <row r="954" spans="1:3" x14ac:dyDescent="0.3">
      <c r="A954" s="27" t="s">
        <v>924</v>
      </c>
      <c r="B954" s="27" t="s">
        <v>41</v>
      </c>
      <c r="C954" s="27">
        <v>5510063309</v>
      </c>
    </row>
    <row r="955" spans="1:3" x14ac:dyDescent="0.3">
      <c r="A955" s="1" t="s">
        <v>925</v>
      </c>
      <c r="B955" s="1" t="s">
        <v>41</v>
      </c>
      <c r="C955" s="1">
        <v>5515383507</v>
      </c>
    </row>
    <row r="956" spans="1:3" x14ac:dyDescent="0.3">
      <c r="A956" s="27" t="s">
        <v>925</v>
      </c>
      <c r="B956" s="27" t="s">
        <v>41</v>
      </c>
      <c r="C956" s="27">
        <v>5515383508</v>
      </c>
    </row>
    <row r="957" spans="1:3" x14ac:dyDescent="0.3">
      <c r="A957" s="1" t="s">
        <v>715</v>
      </c>
      <c r="B957" s="1" t="str">
        <f>IFERROR(VLOOKUP(A957,Base2026!#REF!,2,FALSE),"")</f>
        <v/>
      </c>
      <c r="C957" s="1">
        <v>5616522274</v>
      </c>
    </row>
    <row r="958" spans="1:3" x14ac:dyDescent="0.3">
      <c r="A958" s="27" t="s">
        <v>271</v>
      </c>
      <c r="B958" s="27" t="str">
        <f>IFERROR(VLOOKUP(A958,Base2026!#REF!,2,FALSE),"")</f>
        <v/>
      </c>
      <c r="C958" s="27" t="str">
        <f>IFERROR(VLOOKUP(B958,Base2026!A:C,2,FALSE),"")</f>
        <v/>
      </c>
    </row>
    <row r="959" spans="1:3" x14ac:dyDescent="0.3">
      <c r="A959" s="1" t="s">
        <v>271</v>
      </c>
      <c r="B959" s="1" t="str">
        <f>IFERROR(VLOOKUP(A959,Base2026!#REF!,2,FALSE),"")</f>
        <v/>
      </c>
      <c r="C959" s="1" t="str">
        <f>IFERROR(VLOOKUP(B959,Base2026!A:C,2,FALSE),"")</f>
        <v/>
      </c>
    </row>
    <row r="960" spans="1:3" x14ac:dyDescent="0.3">
      <c r="A960" s="27" t="s">
        <v>186</v>
      </c>
      <c r="B960" s="27" t="str">
        <f>IFERROR(VLOOKUP(A960,Base2026!#REF!,2,FALSE),"")</f>
        <v/>
      </c>
      <c r="C960" s="27" t="str">
        <f>IFERROR(VLOOKUP(B960,Base2026!A:C,2,FALSE),"")</f>
        <v/>
      </c>
    </row>
    <row r="961" spans="1:3" x14ac:dyDescent="0.3">
      <c r="A961" s="1" t="s">
        <v>926</v>
      </c>
      <c r="B961" s="1" t="s">
        <v>46</v>
      </c>
      <c r="C961" s="1">
        <v>5557557036</v>
      </c>
    </row>
    <row r="962" spans="1:3" x14ac:dyDescent="0.3">
      <c r="A962" s="27" t="s">
        <v>927</v>
      </c>
      <c r="B962" s="27" t="s">
        <v>28</v>
      </c>
      <c r="C962" s="27">
        <v>5554310297</v>
      </c>
    </row>
    <row r="963" spans="1:3" x14ac:dyDescent="0.3">
      <c r="A963" s="1" t="s">
        <v>928</v>
      </c>
      <c r="B963" s="1" t="s">
        <v>84</v>
      </c>
      <c r="C963" s="1">
        <v>5576884229</v>
      </c>
    </row>
    <row r="964" spans="1:3" x14ac:dyDescent="0.3">
      <c r="A964" s="27" t="s">
        <v>929</v>
      </c>
      <c r="B964" s="27" t="s">
        <v>28</v>
      </c>
      <c r="C964" s="27">
        <v>5528186245</v>
      </c>
    </row>
    <row r="965" spans="1:3" x14ac:dyDescent="0.3">
      <c r="A965" s="1" t="s">
        <v>930</v>
      </c>
      <c r="B965" s="1" t="s">
        <v>123</v>
      </c>
      <c r="C965" s="1">
        <v>5547652949</v>
      </c>
    </row>
    <row r="966" spans="1:3" x14ac:dyDescent="0.3">
      <c r="A966" s="27" t="s">
        <v>930</v>
      </c>
      <c r="B966" s="27" t="s">
        <v>123</v>
      </c>
      <c r="C966" s="27">
        <v>5547652950</v>
      </c>
    </row>
    <row r="967" spans="1:3" x14ac:dyDescent="0.3">
      <c r="A967" s="1" t="s">
        <v>931</v>
      </c>
      <c r="B967" s="1" t="s">
        <v>739</v>
      </c>
      <c r="C967" s="1">
        <v>5539133657</v>
      </c>
    </row>
    <row r="968" spans="1:3" x14ac:dyDescent="0.3">
      <c r="A968" s="21" t="s">
        <v>932</v>
      </c>
      <c r="B968" s="21" t="s">
        <v>425</v>
      </c>
      <c r="C968" s="21">
        <v>5530550267</v>
      </c>
    </row>
    <row r="969" spans="1:3" x14ac:dyDescent="0.3">
      <c r="A969" s="1" t="s">
        <v>928</v>
      </c>
      <c r="B969" s="1" t="s">
        <v>84</v>
      </c>
      <c r="C969" s="1">
        <v>5576884229</v>
      </c>
    </row>
    <row r="970" spans="1:3" x14ac:dyDescent="0.3">
      <c r="A970" s="21" t="s">
        <v>158</v>
      </c>
      <c r="B970" s="21" t="str">
        <f>IFERROR(VLOOKUP(A970,Base2026!#REF!,2,FALSE),"")</f>
        <v/>
      </c>
      <c r="C970" s="21" t="str">
        <f>IFERROR(VLOOKUP(B970,Base2026!A:C,2,FALSE),"")</f>
        <v/>
      </c>
    </row>
    <row r="971" spans="1:3" x14ac:dyDescent="0.3">
      <c r="A971" s="1" t="s">
        <v>933</v>
      </c>
      <c r="B971" s="1" t="s">
        <v>934</v>
      </c>
      <c r="C971" s="1">
        <v>55142441292</v>
      </c>
    </row>
    <row r="972" spans="1:3" x14ac:dyDescent="0.3">
      <c r="A972" s="21" t="s">
        <v>529</v>
      </c>
      <c r="B972" s="21" t="str">
        <f>IFERROR(VLOOKUP(A972,Base2026!#REF!,2,FALSE),"")</f>
        <v/>
      </c>
      <c r="C972" s="21">
        <v>5529662811</v>
      </c>
    </row>
    <row r="973" spans="1:3" x14ac:dyDescent="0.3">
      <c r="A973" s="1" t="s">
        <v>935</v>
      </c>
      <c r="B973" s="1" t="s">
        <v>480</v>
      </c>
      <c r="C973" s="1" t="str">
        <f>IFERROR(VLOOKUP(B973,Base2026!A:C,2,FALSE),"")</f>
        <v/>
      </c>
    </row>
    <row r="974" spans="1:3" x14ac:dyDescent="0.3">
      <c r="A974" s="21" t="s">
        <v>936</v>
      </c>
      <c r="B974" s="21" t="s">
        <v>937</v>
      </c>
      <c r="C974" s="21">
        <v>5527440374</v>
      </c>
    </row>
    <row r="975" spans="1:3" x14ac:dyDescent="0.3">
      <c r="A975" s="1" t="s">
        <v>709</v>
      </c>
      <c r="B975" s="1" t="s">
        <v>938</v>
      </c>
      <c r="C975" s="1" t="str">
        <f>IFERROR(VLOOKUP(B975,Base2026!A:C,2,FALSE),"")</f>
        <v/>
      </c>
    </row>
    <row r="976" spans="1:3" x14ac:dyDescent="0.3">
      <c r="A976" s="21" t="s">
        <v>610</v>
      </c>
      <c r="B976" s="21" t="str">
        <f>IFERROR(VLOOKUP(A976,Base2026!#REF!,2,FALSE),"")</f>
        <v/>
      </c>
      <c r="C976" s="21" t="str">
        <f>IFERROR(VLOOKUP(B976,Base2026!A:C,2,FALSE),"")</f>
        <v/>
      </c>
    </row>
    <row r="977" spans="1:3" x14ac:dyDescent="0.3">
      <c r="A977" s="1" t="s">
        <v>610</v>
      </c>
      <c r="B977" s="1" t="str">
        <f>IFERROR(VLOOKUP(A977,Base2026!#REF!,2,FALSE),"")</f>
        <v/>
      </c>
      <c r="C977" s="1" t="str">
        <f>IFERROR(VLOOKUP(B977,Base2026!A:C,2,FALSE),"")</f>
        <v/>
      </c>
    </row>
    <row r="978" spans="1:3" x14ac:dyDescent="0.3">
      <c r="A978" s="21" t="s">
        <v>528</v>
      </c>
      <c r="B978" s="21" t="s">
        <v>0</v>
      </c>
      <c r="C978" s="21"/>
    </row>
    <row r="979" spans="1:3" x14ac:dyDescent="0.3">
      <c r="A979" s="1" t="s">
        <v>528</v>
      </c>
      <c r="B979" s="1" t="s">
        <v>0</v>
      </c>
      <c r="C979" s="1"/>
    </row>
    <row r="980" spans="1:3" x14ac:dyDescent="0.3">
      <c r="A980" s="21" t="s">
        <v>939</v>
      </c>
      <c r="B980" s="21" t="s">
        <v>640</v>
      </c>
      <c r="C980" s="21">
        <v>5548856197</v>
      </c>
    </row>
    <row r="981" spans="1:3" x14ac:dyDescent="0.3">
      <c r="A981" s="1" t="s">
        <v>940</v>
      </c>
      <c r="B981" s="1" t="s">
        <v>941</v>
      </c>
      <c r="C981" s="1">
        <v>5561159180</v>
      </c>
    </row>
    <row r="982" spans="1:3" x14ac:dyDescent="0.3">
      <c r="A982" s="27" t="s">
        <v>579</v>
      </c>
      <c r="B982" s="27" t="str">
        <f>IFERROR(VLOOKUP(A982,Base2026!#REF!,2,FALSE),"")</f>
        <v/>
      </c>
      <c r="C982" s="27" t="str">
        <f>IFERROR(VLOOKUP(B982,Base2026!A:C,2,FALSE),"")</f>
        <v/>
      </c>
    </row>
    <row r="983" spans="1:3" x14ac:dyDescent="0.3">
      <c r="A983" s="1" t="s">
        <v>579</v>
      </c>
      <c r="B983" s="1" t="str">
        <f>IFERROR(VLOOKUP(A983,Base2026!#REF!,2,FALSE),"")</f>
        <v/>
      </c>
      <c r="C983" s="1" t="str">
        <f>IFERROR(VLOOKUP(B983,Base2026!A:C,2,FALSE),"")</f>
        <v/>
      </c>
    </row>
    <row r="984" spans="1:3" x14ac:dyDescent="0.3">
      <c r="A984" s="27" t="s">
        <v>943</v>
      </c>
      <c r="B984" s="27" t="s">
        <v>319</v>
      </c>
      <c r="C984" s="27">
        <v>5669643290</v>
      </c>
    </row>
    <row r="985" spans="1:3" x14ac:dyDescent="0.3">
      <c r="A985" s="1" t="s">
        <v>944</v>
      </c>
      <c r="B985" s="1" t="s">
        <v>635</v>
      </c>
      <c r="C985" s="1">
        <v>5658065921</v>
      </c>
    </row>
    <row r="986" spans="1:3" x14ac:dyDescent="0.3">
      <c r="A986" s="27" t="s">
        <v>944</v>
      </c>
      <c r="B986" s="27" t="s">
        <v>635</v>
      </c>
      <c r="C986" s="27">
        <v>5658065922</v>
      </c>
    </row>
    <row r="987" spans="1:3" x14ac:dyDescent="0.3">
      <c r="A987" s="1" t="s">
        <v>945</v>
      </c>
      <c r="B987" s="1" t="s">
        <v>153</v>
      </c>
      <c r="C987" s="1">
        <v>5542487252</v>
      </c>
    </row>
    <row r="988" spans="1:3" x14ac:dyDescent="0.3">
      <c r="A988" s="27" t="s">
        <v>945</v>
      </c>
      <c r="B988" s="27" t="s">
        <v>153</v>
      </c>
      <c r="C988" s="27">
        <v>5542487253</v>
      </c>
    </row>
    <row r="989" spans="1:3" x14ac:dyDescent="0.3">
      <c r="A989" s="1" t="s">
        <v>697</v>
      </c>
      <c r="B989" s="1" t="str">
        <f>IFERROR(VLOOKUP(A989,Base2026!#REF!,2,FALSE),"")</f>
        <v/>
      </c>
      <c r="C989" s="1" t="str">
        <f>IFERROR(VLOOKUP(B989,Base2026!A:C,2,FALSE),"")</f>
        <v/>
      </c>
    </row>
    <row r="990" spans="1:3" x14ac:dyDescent="0.3">
      <c r="A990" s="27" t="s">
        <v>697</v>
      </c>
      <c r="B990" s="27" t="str">
        <f>IFERROR(VLOOKUP(A990,Base2026!#REF!,2,FALSE),"")</f>
        <v/>
      </c>
      <c r="C990" s="27" t="str">
        <f>IFERROR(VLOOKUP(B990,Base2026!A:C,2,FALSE),"")</f>
        <v/>
      </c>
    </row>
    <row r="991" spans="1:3" x14ac:dyDescent="0.3">
      <c r="A991" s="1" t="s">
        <v>946</v>
      </c>
      <c r="B991" s="1" t="s">
        <v>9</v>
      </c>
      <c r="C991" s="1">
        <v>5581490100</v>
      </c>
    </row>
    <row r="992" spans="1:3" x14ac:dyDescent="0.3">
      <c r="A992" s="27" t="s">
        <v>946</v>
      </c>
      <c r="B992" s="27" t="s">
        <v>9</v>
      </c>
      <c r="C992" s="27">
        <v>5581490101</v>
      </c>
    </row>
    <row r="993" spans="1:3" x14ac:dyDescent="0.3">
      <c r="A993" s="1" t="s">
        <v>947</v>
      </c>
      <c r="B993" s="1" t="s">
        <v>103</v>
      </c>
      <c r="C993" s="1">
        <v>5529091038</v>
      </c>
    </row>
    <row r="994" spans="1:3" x14ac:dyDescent="0.3">
      <c r="A994" s="27" t="s">
        <v>948</v>
      </c>
      <c r="B994" s="27" t="s">
        <v>425</v>
      </c>
      <c r="C994" s="27">
        <v>5516790525</v>
      </c>
    </row>
    <row r="995" spans="1:3" x14ac:dyDescent="0.3">
      <c r="A995" s="1" t="s">
        <v>949</v>
      </c>
      <c r="B995" s="1" t="s">
        <v>84</v>
      </c>
      <c r="C995" s="1">
        <v>5518114263</v>
      </c>
    </row>
    <row r="996" spans="1:3" x14ac:dyDescent="0.3">
      <c r="A996" s="27" t="s">
        <v>950</v>
      </c>
      <c r="B996" s="27" t="s">
        <v>84</v>
      </c>
      <c r="C996" s="27">
        <v>5517728917</v>
      </c>
    </row>
    <row r="997" spans="1:3" x14ac:dyDescent="0.3">
      <c r="A997" s="1" t="s">
        <v>950</v>
      </c>
      <c r="B997" s="1" t="s">
        <v>84</v>
      </c>
      <c r="C997" s="1">
        <v>5517728918</v>
      </c>
    </row>
    <row r="998" spans="1:3" x14ac:dyDescent="0.3">
      <c r="A998" s="27" t="s">
        <v>951</v>
      </c>
      <c r="B998" s="27" t="s">
        <v>952</v>
      </c>
      <c r="C998" s="27">
        <v>5548842798</v>
      </c>
    </row>
    <row r="999" spans="1:3" x14ac:dyDescent="0.3">
      <c r="A999" s="1" t="s">
        <v>953</v>
      </c>
      <c r="B999" s="1" t="s">
        <v>163</v>
      </c>
      <c r="C999" s="1">
        <v>5647905554</v>
      </c>
    </row>
    <row r="1000" spans="1:3" x14ac:dyDescent="0.3">
      <c r="A1000" s="27" t="s">
        <v>954</v>
      </c>
      <c r="B1000" s="27" t="s">
        <v>957</v>
      </c>
      <c r="C1000" s="27">
        <v>5636472593</v>
      </c>
    </row>
    <row r="1001" spans="1:3" x14ac:dyDescent="0.3">
      <c r="A1001" s="1" t="s">
        <v>956</v>
      </c>
      <c r="B1001" s="1" t="s">
        <v>46</v>
      </c>
      <c r="C1001" s="1">
        <v>5557557036</v>
      </c>
    </row>
    <row r="1002" spans="1:3" x14ac:dyDescent="0.3">
      <c r="A1002" s="27" t="s">
        <v>958</v>
      </c>
      <c r="B1002" s="27" t="s">
        <v>960</v>
      </c>
      <c r="C1002" s="27">
        <v>5515072209</v>
      </c>
    </row>
    <row r="1003" spans="1:3" x14ac:dyDescent="0.3">
      <c r="A1003" s="1" t="s">
        <v>620</v>
      </c>
      <c r="B1003" s="1" t="str">
        <f>IFERROR(VLOOKUP(A1003,Base2026!#REF!,2,FALSE),"")</f>
        <v/>
      </c>
      <c r="C1003" s="1">
        <v>5539252389</v>
      </c>
    </row>
    <row r="1004" spans="1:3" x14ac:dyDescent="0.3">
      <c r="A1004" s="27" t="s">
        <v>959</v>
      </c>
      <c r="B1004" s="27" t="s">
        <v>555</v>
      </c>
      <c r="C1004" s="27">
        <v>5588018004</v>
      </c>
    </row>
    <row r="1005" spans="1:3" x14ac:dyDescent="0.3">
      <c r="A1005" s="1" t="s">
        <v>961</v>
      </c>
      <c r="B1005" s="1" t="s">
        <v>46</v>
      </c>
      <c r="C1005" s="1">
        <v>5646018756</v>
      </c>
    </row>
    <row r="1006" spans="1:3" x14ac:dyDescent="0.3">
      <c r="A1006" s="21" t="s">
        <v>962</v>
      </c>
      <c r="B1006" s="21" t="s">
        <v>963</v>
      </c>
      <c r="C1006" s="21">
        <v>5533055960</v>
      </c>
    </row>
    <row r="1007" spans="1:3" x14ac:dyDescent="0.3">
      <c r="A1007" s="2" t="s">
        <v>964</v>
      </c>
      <c r="B1007" s="1" t="s">
        <v>965</v>
      </c>
      <c r="C1007" s="1">
        <v>2206119277</v>
      </c>
    </row>
    <row r="1008" spans="1:3" x14ac:dyDescent="0.3">
      <c r="A1008" s="21" t="s">
        <v>966</v>
      </c>
      <c r="B1008" s="21" t="s">
        <v>855</v>
      </c>
      <c r="C1008" s="21">
        <v>5530722512</v>
      </c>
    </row>
    <row r="1009" spans="1:3" x14ac:dyDescent="0.3">
      <c r="A1009" s="1" t="s">
        <v>968</v>
      </c>
      <c r="B1009" s="1" t="s">
        <v>969</v>
      </c>
      <c r="C1009" s="1">
        <v>5520692636</v>
      </c>
    </row>
    <row r="1010" spans="1:3" x14ac:dyDescent="0.3">
      <c r="A1010" s="21" t="s">
        <v>971</v>
      </c>
      <c r="B1010" s="21" t="s">
        <v>913</v>
      </c>
      <c r="C1010" s="21">
        <v>5543678742</v>
      </c>
    </row>
    <row r="1011" spans="1:3" x14ac:dyDescent="0.3">
      <c r="A1011" s="1" t="s">
        <v>972</v>
      </c>
      <c r="B1011" s="1" t="s">
        <v>973</v>
      </c>
      <c r="C1011" s="1">
        <v>5561394940</v>
      </c>
    </row>
    <row r="1012" spans="1:3" x14ac:dyDescent="0.3">
      <c r="A1012" s="21" t="s">
        <v>974</v>
      </c>
      <c r="B1012" s="21" t="s">
        <v>130</v>
      </c>
      <c r="C1012" s="21">
        <v>5613869199</v>
      </c>
    </row>
    <row r="1013" spans="1:3" x14ac:dyDescent="0.3">
      <c r="A1013" s="1" t="s">
        <v>944</v>
      </c>
      <c r="B1013" s="1" t="s">
        <v>635</v>
      </c>
      <c r="C1013" s="1">
        <v>5658065921</v>
      </c>
    </row>
    <row r="1014" spans="1:3" x14ac:dyDescent="0.3">
      <c r="A1014" s="21" t="s">
        <v>305</v>
      </c>
      <c r="B1014" s="21" t="s">
        <v>975</v>
      </c>
      <c r="C1014" s="21">
        <v>5534341719</v>
      </c>
    </row>
    <row r="1015" spans="1:3" x14ac:dyDescent="0.3">
      <c r="A1015" s="1" t="s">
        <v>976</v>
      </c>
      <c r="B1015" s="1" t="s">
        <v>70</v>
      </c>
      <c r="C1015" s="1">
        <v>5543678742</v>
      </c>
    </row>
    <row r="1016" spans="1:3" x14ac:dyDescent="0.3">
      <c r="A1016" s="21" t="s">
        <v>186</v>
      </c>
      <c r="B1016" s="21" t="str">
        <f>IFERROR(VLOOKUP(A1016,Base2026!#REF!,2,FALSE),"")</f>
        <v/>
      </c>
      <c r="C1016" s="21" t="str">
        <f>IFERROR(VLOOKUP(B1016,Base2026!A:C,2,FALSE),"")</f>
        <v/>
      </c>
    </row>
    <row r="1017" spans="1:3" x14ac:dyDescent="0.3">
      <c r="A1017" s="1" t="s">
        <v>967</v>
      </c>
      <c r="B1017" s="1" t="s">
        <v>187</v>
      </c>
      <c r="C1017" s="1">
        <v>5565353762</v>
      </c>
    </row>
    <row r="1018" spans="1:3" x14ac:dyDescent="0.3">
      <c r="A1018" s="21" t="s">
        <v>970</v>
      </c>
      <c r="B1018" s="21" t="s">
        <v>301</v>
      </c>
      <c r="C1018" s="21">
        <v>7298974884</v>
      </c>
    </row>
    <row r="1019" spans="1:3" x14ac:dyDescent="0.3">
      <c r="A1019" s="1" t="s">
        <v>954</v>
      </c>
      <c r="B1019" s="1" t="s">
        <v>26</v>
      </c>
      <c r="C1019" s="1">
        <v>5613962829</v>
      </c>
    </row>
    <row r="1020" spans="1:3" x14ac:dyDescent="0.3">
      <c r="A1020" s="21" t="s">
        <v>977</v>
      </c>
      <c r="B1020" s="21" t="s">
        <v>572</v>
      </c>
      <c r="C1020" s="21">
        <v>5584318361</v>
      </c>
    </row>
    <row r="1021" spans="1:3" x14ac:dyDescent="0.3">
      <c r="A1021" s="1" t="s">
        <v>620</v>
      </c>
      <c r="B1021" s="1" t="str">
        <f>IFERROR(VLOOKUP(A1021,Base2026!#REF!,2,FALSE),"")</f>
        <v/>
      </c>
      <c r="C1021" s="1">
        <v>5539252389</v>
      </c>
    </row>
    <row r="1022" spans="1:3" x14ac:dyDescent="0.3">
      <c r="A1022" s="21" t="s">
        <v>650</v>
      </c>
      <c r="B1022" s="21" t="s">
        <v>41</v>
      </c>
      <c r="C1022" s="21">
        <v>5510455631</v>
      </c>
    </row>
    <row r="1023" spans="1:3" x14ac:dyDescent="0.3">
      <c r="A1023" s="1" t="s">
        <v>978</v>
      </c>
      <c r="B1023" s="1" t="s">
        <v>356</v>
      </c>
      <c r="C1023" s="1">
        <v>5585751227</v>
      </c>
    </row>
    <row r="1024" spans="1:3" x14ac:dyDescent="0.3">
      <c r="A1024" s="21" t="s">
        <v>655</v>
      </c>
      <c r="B1024" s="21" t="str">
        <f>IFERROR(VLOOKUP(A1024,Base2026!#REF!,2,FALSE),"")</f>
        <v/>
      </c>
      <c r="C1024" s="21" t="str">
        <f>IFERROR(VLOOKUP(B1024,Base2026!A:C,2,FALSE),"")</f>
        <v/>
      </c>
    </row>
    <row r="1025" spans="1:3" x14ac:dyDescent="0.3">
      <c r="A1025" s="1" t="s">
        <v>650</v>
      </c>
      <c r="B1025" s="1" t="str">
        <f>IFERROR(VLOOKUP(A1025,Base2026!#REF!,2,FALSE),"")</f>
        <v/>
      </c>
      <c r="C1025" s="1" t="str">
        <f>IFERROR(VLOOKUP(B1025,Base2026!A:C,2,FALSE),"")</f>
        <v/>
      </c>
    </row>
    <row r="1026" spans="1:3" x14ac:dyDescent="0.3">
      <c r="A1026" s="27" t="s">
        <v>448</v>
      </c>
      <c r="B1026" s="27" t="s">
        <v>979</v>
      </c>
      <c r="C1026" s="27">
        <v>5539511994</v>
      </c>
    </row>
    <row r="1027" spans="1:3" x14ac:dyDescent="0.3">
      <c r="A1027" s="1" t="s">
        <v>980</v>
      </c>
      <c r="B1027" s="1" t="s">
        <v>218</v>
      </c>
      <c r="C1027" s="1">
        <v>5538231213</v>
      </c>
    </row>
    <row r="1028" spans="1:3" x14ac:dyDescent="0.3">
      <c r="A1028" s="27" t="s">
        <v>554</v>
      </c>
      <c r="B1028" s="27" t="str">
        <f>IFERROR(VLOOKUP(A1028,Base2026!#REF!,2,FALSE),"")</f>
        <v/>
      </c>
      <c r="C1028" s="27" t="str">
        <f>IFERROR(VLOOKUP(B1028,Base2026!A:C,2,FALSE),"")</f>
        <v/>
      </c>
    </row>
    <row r="1029" spans="1:3" x14ac:dyDescent="0.3">
      <c r="A1029" s="1" t="s">
        <v>994</v>
      </c>
      <c r="B1029" s="1" t="s">
        <v>43</v>
      </c>
      <c r="C1029" s="1">
        <v>9613151107</v>
      </c>
    </row>
    <row r="1030" spans="1:3" x14ac:dyDescent="0.3">
      <c r="A1030" s="27" t="s">
        <v>995</v>
      </c>
      <c r="B1030" s="27" t="s">
        <v>345</v>
      </c>
      <c r="C1030" s="27">
        <v>5530102648</v>
      </c>
    </row>
    <row r="1031" spans="1:3" x14ac:dyDescent="0.3">
      <c r="A1031" s="1" t="s">
        <v>981</v>
      </c>
      <c r="B1031" s="1" t="s">
        <v>84</v>
      </c>
      <c r="C1031" s="1">
        <v>5628221440</v>
      </c>
    </row>
    <row r="1032" spans="1:3" x14ac:dyDescent="0.3">
      <c r="A1032" s="27" t="s">
        <v>982</v>
      </c>
      <c r="B1032" s="27" t="s">
        <v>996</v>
      </c>
      <c r="C1032" s="27">
        <v>5536948844</v>
      </c>
    </row>
    <row r="1033" spans="1:3" x14ac:dyDescent="0.3">
      <c r="A1033" s="1" t="s">
        <v>797</v>
      </c>
      <c r="B1033" s="1" t="s">
        <v>923</v>
      </c>
      <c r="C1033" s="1" t="str">
        <f>IFERROR(VLOOKUP(B1033,Base2026!A:C,2,FALSE),"")</f>
        <v/>
      </c>
    </row>
    <row r="1034" spans="1:3" x14ac:dyDescent="0.3">
      <c r="A1034" s="27"/>
      <c r="B1034" s="27" t="s">
        <v>923</v>
      </c>
      <c r="C1034" s="27" t="str">
        <f>IFERROR(VLOOKUP(B1034,Base2026!A:C,2,FALSE),"")</f>
        <v/>
      </c>
    </row>
    <row r="1035" spans="1:3" x14ac:dyDescent="0.3">
      <c r="A1035" s="1"/>
      <c r="B1035" s="1" t="s">
        <v>923</v>
      </c>
      <c r="C1035" s="1" t="str">
        <f>IFERROR(VLOOKUP(B1035,Base2026!A:C,2,FALSE),"")</f>
        <v/>
      </c>
    </row>
    <row r="1036" spans="1:3" x14ac:dyDescent="0.3">
      <c r="A1036" s="27" t="s">
        <v>797</v>
      </c>
      <c r="B1036" s="27" t="s">
        <v>923</v>
      </c>
      <c r="C1036" s="27" t="str">
        <f>IFERROR(VLOOKUP(B1036,Base2026!A:C,2,FALSE),"")</f>
        <v/>
      </c>
    </row>
    <row r="1037" spans="1:3" x14ac:dyDescent="0.3">
      <c r="A1037" s="1"/>
      <c r="B1037" s="1" t="s">
        <v>923</v>
      </c>
      <c r="C1037" s="1" t="str">
        <f>IFERROR(VLOOKUP(B1037,Base2026!A:C,2,FALSE),"")</f>
        <v/>
      </c>
    </row>
    <row r="1038" spans="1:3" x14ac:dyDescent="0.3">
      <c r="A1038" s="27"/>
      <c r="B1038" s="27" t="s">
        <v>923</v>
      </c>
      <c r="C1038" s="27" t="str">
        <f>IFERROR(VLOOKUP(B1038,Base2026!A:C,2,FALSE),"")</f>
        <v/>
      </c>
    </row>
    <row r="1039" spans="1:3" x14ac:dyDescent="0.3">
      <c r="A1039" s="1" t="s">
        <v>967</v>
      </c>
      <c r="B1039" s="1" t="s">
        <v>187</v>
      </c>
      <c r="C1039" s="1">
        <v>5565353762</v>
      </c>
    </row>
    <row r="1040" spans="1:3" x14ac:dyDescent="0.3">
      <c r="A1040" s="27" t="s">
        <v>988</v>
      </c>
      <c r="B1040" s="27" t="s">
        <v>989</v>
      </c>
      <c r="C1040" s="27">
        <v>5523599280</v>
      </c>
    </row>
    <row r="1041" spans="1:3" x14ac:dyDescent="0.3">
      <c r="A1041" s="1" t="s">
        <v>990</v>
      </c>
      <c r="B1041" s="1" t="s">
        <v>991</v>
      </c>
      <c r="C1041" s="1">
        <v>5561088792</v>
      </c>
    </row>
    <row r="1042" spans="1:3" x14ac:dyDescent="0.3">
      <c r="A1042" s="27" t="s">
        <v>992</v>
      </c>
      <c r="B1042" s="27" t="s">
        <v>782</v>
      </c>
      <c r="C1042" s="27">
        <v>5511607872</v>
      </c>
    </row>
    <row r="1043" spans="1:3" x14ac:dyDescent="0.3">
      <c r="A1043" s="1" t="s">
        <v>120</v>
      </c>
      <c r="B1043" s="1" t="str">
        <f>IFERROR(VLOOKUP(A1043,Base2026!#REF!,2,FALSE),"")</f>
        <v/>
      </c>
      <c r="C1043" s="1" t="str">
        <f>IFERROR(VLOOKUP(B1045,Base2026!A:C,2,FALSE),"")</f>
        <v/>
      </c>
    </row>
    <row r="1044" spans="1:3" x14ac:dyDescent="0.3">
      <c r="A1044" s="27" t="s">
        <v>993</v>
      </c>
      <c r="B1044" s="27" t="s">
        <v>356</v>
      </c>
      <c r="C1044" s="27">
        <v>58532353859</v>
      </c>
    </row>
    <row r="1045" spans="1:3" x14ac:dyDescent="0.3">
      <c r="A1045" s="1" t="s">
        <v>120</v>
      </c>
      <c r="B1045" s="1" t="str">
        <f>IFERROR(VLOOKUP(A1045,Base2026!#REF!,2,FALSE),"")</f>
        <v/>
      </c>
      <c r="C1045" s="1" t="str">
        <f>IFERROR(VLOOKUP(#REF!,Base2026!A:C,2,FALSE),"")</f>
        <v/>
      </c>
    </row>
    <row r="1046" spans="1:3" x14ac:dyDescent="0.3">
      <c r="A1046" s="21" t="s">
        <v>997</v>
      </c>
      <c r="B1046" s="21" t="s">
        <v>957</v>
      </c>
      <c r="C1046" s="21">
        <v>5636472593</v>
      </c>
    </row>
    <row r="1047" spans="1:3" x14ac:dyDescent="0.3">
      <c r="A1047" s="1" t="s">
        <v>998</v>
      </c>
      <c r="B1047" s="1" t="s">
        <v>41</v>
      </c>
      <c r="C1047" s="1">
        <v>5518666206</v>
      </c>
    </row>
    <row r="1048" spans="1:3" x14ac:dyDescent="0.3">
      <c r="A1048" s="21" t="s">
        <v>998</v>
      </c>
      <c r="B1048" s="21" t="s">
        <v>41</v>
      </c>
      <c r="C1048" s="21">
        <v>5518666207</v>
      </c>
    </row>
    <row r="1049" spans="1:3" x14ac:dyDescent="0.3">
      <c r="A1049" s="1" t="s">
        <v>673</v>
      </c>
      <c r="B1049" s="1" t="str">
        <f>IFERROR(VLOOKUP(A1049,Base2026!#REF!,2,FALSE),"")</f>
        <v/>
      </c>
      <c r="C1049" s="1" t="str">
        <f>IFERROR(VLOOKUP(B1049,Base2026!A:C,2,FALSE),"")</f>
        <v/>
      </c>
    </row>
    <row r="1050" spans="1:3" x14ac:dyDescent="0.3">
      <c r="A1050" s="21" t="s">
        <v>984</v>
      </c>
      <c r="B1050" s="21" t="s">
        <v>301</v>
      </c>
      <c r="C1050" s="21">
        <v>5534561371</v>
      </c>
    </row>
    <row r="1051" spans="1:3" x14ac:dyDescent="0.3">
      <c r="A1051" s="1" t="s">
        <v>986</v>
      </c>
      <c r="B1051" s="1" t="s">
        <v>661</v>
      </c>
      <c r="C1051" s="1">
        <v>5536711887</v>
      </c>
    </row>
    <row r="1052" spans="1:3" x14ac:dyDescent="0.3">
      <c r="A1052" s="21" t="s">
        <v>62</v>
      </c>
      <c r="B1052" s="21" t="s">
        <v>712</v>
      </c>
      <c r="C1052" s="21">
        <v>5362471583</v>
      </c>
    </row>
    <row r="1053" spans="1:3" x14ac:dyDescent="0.3">
      <c r="A1053" s="1" t="s">
        <v>1002</v>
      </c>
      <c r="B1053" s="1" t="s">
        <v>1003</v>
      </c>
      <c r="C1053" s="1">
        <v>5610906097</v>
      </c>
    </row>
    <row r="1054" spans="1:3" x14ac:dyDescent="0.3">
      <c r="A1054" s="21" t="s">
        <v>1004</v>
      </c>
      <c r="B1054" s="21" t="s">
        <v>32</v>
      </c>
      <c r="C1054" s="21">
        <v>5613197893</v>
      </c>
    </row>
    <row r="1055" spans="1:3" x14ac:dyDescent="0.3">
      <c r="A1055" s="1" t="s">
        <v>322</v>
      </c>
      <c r="B1055" s="1" t="s">
        <v>1007</v>
      </c>
      <c r="C1055" s="1">
        <v>5561624080</v>
      </c>
    </row>
    <row r="1056" spans="1:3" x14ac:dyDescent="0.3">
      <c r="A1056" s="21" t="s">
        <v>322</v>
      </c>
      <c r="B1056" s="21" t="s">
        <v>1007</v>
      </c>
      <c r="C1056" s="21">
        <v>5561624081</v>
      </c>
    </row>
    <row r="1057" spans="1:3" x14ac:dyDescent="0.3">
      <c r="A1057" s="1" t="s">
        <v>1005</v>
      </c>
      <c r="B1057" s="1" t="s">
        <v>1006</v>
      </c>
      <c r="C1057" s="1">
        <v>5572362154</v>
      </c>
    </row>
    <row r="1058" spans="1:3" x14ac:dyDescent="0.3">
      <c r="A1058" s="21" t="s">
        <v>523</v>
      </c>
      <c r="B1058" s="21" t="str">
        <f>IFERROR(VLOOKUP(A1058,Base2026!#REF!,2,FALSE),"")</f>
        <v/>
      </c>
      <c r="C1058" s="21" t="str">
        <f>IFERROR(VLOOKUP(B1058,Base2026!A:C,2,FALSE),"")</f>
        <v/>
      </c>
    </row>
    <row r="1059" spans="1:3" x14ac:dyDescent="0.3">
      <c r="A1059" s="1" t="s">
        <v>1008</v>
      </c>
      <c r="B1059" s="1" t="s">
        <v>1009</v>
      </c>
      <c r="C1059" s="1">
        <v>5543829570</v>
      </c>
    </row>
    <row r="1060" spans="1:3" x14ac:dyDescent="0.3">
      <c r="A1060" s="21" t="s">
        <v>1010</v>
      </c>
      <c r="B1060" s="21" t="s">
        <v>1011</v>
      </c>
      <c r="C1060" s="21">
        <v>5542058607</v>
      </c>
    </row>
    <row r="1061" spans="1:3" x14ac:dyDescent="0.3">
      <c r="A1061" s="1" t="s">
        <v>1012</v>
      </c>
      <c r="B1061" s="1" t="s">
        <v>72</v>
      </c>
      <c r="C1061" s="1" t="str">
        <f>IFERROR(VLOOKUP(B1061,Base2026!A:C,2,FALSE),"")</f>
        <v/>
      </c>
    </row>
    <row r="1062" spans="1:3" x14ac:dyDescent="0.3">
      <c r="A1062" s="21" t="s">
        <v>987</v>
      </c>
      <c r="B1062" s="21" t="s">
        <v>1013</v>
      </c>
      <c r="C1062" s="21">
        <v>5535192160</v>
      </c>
    </row>
    <row r="1063" spans="1:3" x14ac:dyDescent="0.3">
      <c r="A1063" s="1" t="s">
        <v>7</v>
      </c>
      <c r="B1063" s="1" t="s">
        <v>30</v>
      </c>
      <c r="C1063" s="1" t="str">
        <f>IFERROR(VLOOKUP(B1063,Base2026!A:C,2,FALSE),"")</f>
        <v/>
      </c>
    </row>
    <row r="1064" spans="1:3" x14ac:dyDescent="0.3">
      <c r="A1064" s="27" t="s">
        <v>7</v>
      </c>
      <c r="B1064" s="27" t="s">
        <v>30</v>
      </c>
      <c r="C1064" s="27" t="str">
        <f>IFERROR(VLOOKUP(B1064,Base2026!A:C,2,FALSE),"")</f>
        <v/>
      </c>
    </row>
    <row r="1065" spans="1:3" x14ac:dyDescent="0.3">
      <c r="A1065" s="1" t="s">
        <v>217</v>
      </c>
      <c r="B1065" s="1" t="s">
        <v>218</v>
      </c>
      <c r="C1065" s="1">
        <v>5521745267</v>
      </c>
    </row>
    <row r="1066" spans="1:3" x14ac:dyDescent="0.3">
      <c r="A1066" s="27" t="s">
        <v>1014</v>
      </c>
      <c r="B1066" s="27" t="s">
        <v>280</v>
      </c>
      <c r="C1066" s="27">
        <v>5513656850</v>
      </c>
    </row>
    <row r="1067" spans="1:3" x14ac:dyDescent="0.3">
      <c r="A1067" s="1" t="s">
        <v>1014</v>
      </c>
      <c r="B1067" s="1" t="s">
        <v>280</v>
      </c>
      <c r="C1067" s="1">
        <v>5513656850</v>
      </c>
    </row>
    <row r="1068" spans="1:3" x14ac:dyDescent="0.3">
      <c r="A1068" s="27" t="s">
        <v>1015</v>
      </c>
      <c r="B1068" s="27" t="s">
        <v>84</v>
      </c>
      <c r="C1068" s="27">
        <v>5515407294</v>
      </c>
    </row>
    <row r="1069" spans="1:3" x14ac:dyDescent="0.3">
      <c r="A1069" s="1" t="s">
        <v>1016</v>
      </c>
      <c r="B1069" s="1" t="s">
        <v>1017</v>
      </c>
      <c r="C1069" s="1">
        <v>5516443874</v>
      </c>
    </row>
    <row r="1070" spans="1:3" x14ac:dyDescent="0.3">
      <c r="A1070" s="27" t="s">
        <v>1016</v>
      </c>
      <c r="B1070" s="27" t="s">
        <v>1017</v>
      </c>
      <c r="C1070" s="27">
        <v>5516443874</v>
      </c>
    </row>
    <row r="1071" spans="1:3" x14ac:dyDescent="0.3">
      <c r="A1071" s="1" t="s">
        <v>136</v>
      </c>
      <c r="B1071" s="1" t="str">
        <f>IFERROR(VLOOKUP(A1071,Base2026!#REF!,2,FALSE),"")</f>
        <v/>
      </c>
      <c r="C1071" s="1" t="str">
        <f>IFERROR(VLOOKUP(B1071,Base2026!A:C,2,FALSE),"")</f>
        <v/>
      </c>
    </row>
    <row r="1072" spans="1:3" x14ac:dyDescent="0.3">
      <c r="A1072" s="27" t="s">
        <v>136</v>
      </c>
      <c r="B1072" s="27" t="str">
        <f>IFERROR(VLOOKUP(A1072,Base2026!#REF!,2,FALSE),"")</f>
        <v/>
      </c>
      <c r="C1072" s="27" t="str">
        <f>IFERROR(VLOOKUP(B1072,Base2026!A:C,2,FALSE),"")</f>
        <v/>
      </c>
    </row>
    <row r="1073" spans="1:3" x14ac:dyDescent="0.3">
      <c r="A1073" s="1" t="s">
        <v>136</v>
      </c>
      <c r="B1073" s="1" t="str">
        <f>IFERROR(VLOOKUP(A1073,Base2026!#REF!,2,FALSE),"")</f>
        <v/>
      </c>
      <c r="C1073" s="1" t="str">
        <f>IFERROR(VLOOKUP(B1073,Base2026!A:C,2,FALSE),"")</f>
        <v/>
      </c>
    </row>
    <row r="1074" spans="1:3" x14ac:dyDescent="0.3">
      <c r="A1074" s="27" t="s">
        <v>1018</v>
      </c>
      <c r="B1074" s="27" t="s">
        <v>88</v>
      </c>
      <c r="C1074" s="27">
        <v>5529011333</v>
      </c>
    </row>
    <row r="1075" spans="1:3" x14ac:dyDescent="0.3">
      <c r="A1075" s="1" t="s">
        <v>1019</v>
      </c>
      <c r="B1075" s="1" t="s">
        <v>1020</v>
      </c>
      <c r="C1075" s="1">
        <v>5534704647</v>
      </c>
    </row>
    <row r="1076" spans="1:3" x14ac:dyDescent="0.3">
      <c r="A1076" s="27" t="s">
        <v>1021</v>
      </c>
      <c r="B1076" s="27" t="s">
        <v>115</v>
      </c>
      <c r="C1076" s="27" t="str">
        <f>IFERROR(VLOOKUP(B1076,Base2026!A:C,2,FALSE),"")</f>
        <v/>
      </c>
    </row>
    <row r="1077" spans="1:3" x14ac:dyDescent="0.3">
      <c r="A1077" s="1" t="s">
        <v>1022</v>
      </c>
      <c r="B1077" s="1" t="s">
        <v>806</v>
      </c>
      <c r="C1077" s="1">
        <v>5548305931</v>
      </c>
    </row>
    <row r="1078" spans="1:3" x14ac:dyDescent="0.3">
      <c r="A1078" s="27" t="s">
        <v>1022</v>
      </c>
      <c r="B1078" s="27" t="s">
        <v>806</v>
      </c>
      <c r="C1078" s="27">
        <v>5548305931</v>
      </c>
    </row>
    <row r="1079" spans="1:3" x14ac:dyDescent="0.3">
      <c r="A1079" s="1" t="s">
        <v>1022</v>
      </c>
      <c r="B1079" s="1" t="s">
        <v>806</v>
      </c>
      <c r="C1079" s="1">
        <v>5548305931</v>
      </c>
    </row>
    <row r="1080" spans="1:3" x14ac:dyDescent="0.3">
      <c r="A1080" s="27" t="s">
        <v>1023</v>
      </c>
      <c r="B1080" s="27" t="s">
        <v>806</v>
      </c>
      <c r="C1080" s="27">
        <v>5537296784</v>
      </c>
    </row>
    <row r="1081" spans="1:3" x14ac:dyDescent="0.3">
      <c r="A1081" s="1" t="s">
        <v>999</v>
      </c>
      <c r="B1081" s="1" t="s">
        <v>1000</v>
      </c>
      <c r="C1081" s="1">
        <v>5540522764</v>
      </c>
    </row>
    <row r="1082" spans="1:3" x14ac:dyDescent="0.3">
      <c r="A1082" s="27" t="s">
        <v>1024</v>
      </c>
      <c r="B1082" s="27" t="s">
        <v>123</v>
      </c>
      <c r="C1082" s="27">
        <v>5537335990</v>
      </c>
    </row>
    <row r="1083" spans="1:3" x14ac:dyDescent="0.3">
      <c r="A1083" s="1" t="s">
        <v>1028</v>
      </c>
      <c r="B1083" s="1" t="s">
        <v>572</v>
      </c>
      <c r="C1083" s="1" t="str">
        <f>IFERROR(VLOOKUP(B1083,Base2026!A:C,2,FALSE),"")</f>
        <v/>
      </c>
    </row>
    <row r="1084" spans="1:3" x14ac:dyDescent="0.3">
      <c r="A1084" s="28" t="s">
        <v>1025</v>
      </c>
      <c r="B1084" s="27" t="s">
        <v>301</v>
      </c>
      <c r="C1084" s="27">
        <v>5579210405</v>
      </c>
    </row>
    <row r="1085" spans="1:3" x14ac:dyDescent="0.3">
      <c r="A1085" s="1" t="s">
        <v>1026</v>
      </c>
      <c r="B1085" s="1" t="s">
        <v>1027</v>
      </c>
      <c r="C1085" s="1">
        <v>55463746429</v>
      </c>
    </row>
    <row r="1086" spans="1:3" x14ac:dyDescent="0.3">
      <c r="A1086" s="27" t="s">
        <v>1029</v>
      </c>
      <c r="B1086" s="27" t="s">
        <v>712</v>
      </c>
      <c r="C1086" s="27">
        <v>5514368855</v>
      </c>
    </row>
    <row r="1087" spans="1:3" x14ac:dyDescent="0.3">
      <c r="A1087" s="1" t="s">
        <v>985</v>
      </c>
      <c r="B1087" s="1" t="s">
        <v>503</v>
      </c>
      <c r="C1087" s="1">
        <v>56148950</v>
      </c>
    </row>
    <row r="1088" spans="1:3" x14ac:dyDescent="0.3">
      <c r="A1088" s="27" t="s">
        <v>709</v>
      </c>
      <c r="B1088" s="27" t="str">
        <f>IFERROR(VLOOKUP(A1088,Base2026!#REF!,2,FALSE),"")</f>
        <v/>
      </c>
      <c r="C1088" s="27"/>
    </row>
    <row r="1089" spans="1:3" x14ac:dyDescent="0.3">
      <c r="A1089" s="1" t="s">
        <v>610</v>
      </c>
      <c r="B1089" s="1" t="s">
        <v>1030</v>
      </c>
      <c r="C1089" s="1">
        <v>5536695063</v>
      </c>
    </row>
    <row r="1090" spans="1:3" x14ac:dyDescent="0.3">
      <c r="A1090" s="21" t="s">
        <v>1019</v>
      </c>
      <c r="B1090" s="21" t="s">
        <v>1020</v>
      </c>
      <c r="C1090" s="21">
        <v>5534704647</v>
      </c>
    </row>
    <row r="1091" spans="1:3" x14ac:dyDescent="0.3">
      <c r="A1091" s="1" t="s">
        <v>998</v>
      </c>
      <c r="B1091" s="1" t="s">
        <v>144</v>
      </c>
      <c r="C1091" s="1">
        <v>5518666206</v>
      </c>
    </row>
    <row r="1092" spans="1:3" x14ac:dyDescent="0.3">
      <c r="A1092" s="21" t="s">
        <v>998</v>
      </c>
      <c r="B1092" s="21" t="s">
        <v>144</v>
      </c>
      <c r="C1092" s="21">
        <v>5518666206</v>
      </c>
    </row>
    <row r="1093" spans="1:3" x14ac:dyDescent="0.3">
      <c r="A1093" s="1" t="s">
        <v>998</v>
      </c>
      <c r="B1093" s="1" t="s">
        <v>144</v>
      </c>
      <c r="C1093" s="1">
        <v>5518666206</v>
      </c>
    </row>
    <row r="1094" spans="1:3" x14ac:dyDescent="0.3">
      <c r="A1094" s="21" t="s">
        <v>528</v>
      </c>
      <c r="B1094" s="21" t="str">
        <f>IFERROR(VLOOKUP(A1094,Base2026!#REF!,2,FALSE),"")</f>
        <v/>
      </c>
      <c r="C1094" s="21" t="str">
        <f>IFERROR(VLOOKUP(B1094,Base2026!A:C,2,FALSE),"")</f>
        <v/>
      </c>
    </row>
    <row r="1095" spans="1:3" x14ac:dyDescent="0.3">
      <c r="A1095" s="1" t="s">
        <v>1031</v>
      </c>
      <c r="B1095" s="1" t="s">
        <v>425</v>
      </c>
      <c r="C1095" s="1">
        <v>5951016146</v>
      </c>
    </row>
    <row r="1096" spans="1:3" x14ac:dyDescent="0.3">
      <c r="A1096" s="21" t="s">
        <v>1031</v>
      </c>
      <c r="B1096" s="21" t="s">
        <v>425</v>
      </c>
      <c r="C1096" s="21">
        <v>5951016146</v>
      </c>
    </row>
    <row r="1097" spans="1:3" x14ac:dyDescent="0.3">
      <c r="A1097" s="1" t="s">
        <v>549</v>
      </c>
      <c r="B1097" s="1" t="str">
        <f>IFERROR(VLOOKUP(A1097,Base2026!#REF!,2,FALSE),"")</f>
        <v/>
      </c>
      <c r="C1097" s="1" t="str">
        <f>IFERROR(VLOOKUP(B1097,Base2026!A:C,2,FALSE),"")</f>
        <v/>
      </c>
    </row>
    <row r="1098" spans="1:3" x14ac:dyDescent="0.3">
      <c r="A1098" s="21" t="s">
        <v>549</v>
      </c>
      <c r="B1098" s="21" t="str">
        <f>IFERROR(VLOOKUP(A1098,Base2026!#REF!,2,FALSE),"")</f>
        <v/>
      </c>
      <c r="C1098" s="21" t="str">
        <f>IFERROR(VLOOKUP(B1098,Base2026!A:C,2,FALSE),"")</f>
        <v/>
      </c>
    </row>
    <row r="1099" spans="1:3" x14ac:dyDescent="0.3">
      <c r="A1099" s="1" t="s">
        <v>275</v>
      </c>
      <c r="B1099" s="1" t="str">
        <f>IFERROR(VLOOKUP(A1099,Base2026!#REF!,2,FALSE),"")</f>
        <v/>
      </c>
      <c r="C1099" s="1" t="str">
        <f>IFERROR(VLOOKUP(B1099,Base2026!A:C,2,FALSE),"")</f>
        <v/>
      </c>
    </row>
    <row r="1100" spans="1:3" x14ac:dyDescent="0.3">
      <c r="A1100" s="21" t="s">
        <v>1032</v>
      </c>
      <c r="B1100" s="21" t="s">
        <v>458</v>
      </c>
      <c r="C1100" s="21" t="str">
        <f>IFERROR(VLOOKUP(B1100,Base2026!A:C,2,FALSE),"")</f>
        <v/>
      </c>
    </row>
    <row r="1101" spans="1:3" x14ac:dyDescent="0.3">
      <c r="A1101" s="1" t="s">
        <v>1033</v>
      </c>
      <c r="B1101" s="1" t="s">
        <v>65</v>
      </c>
      <c r="C1101" s="1">
        <v>5514067028</v>
      </c>
    </row>
    <row r="1102" spans="1:3" x14ac:dyDescent="0.3">
      <c r="A1102" s="21" t="s">
        <v>1033</v>
      </c>
      <c r="B1102" s="21" t="s">
        <v>65</v>
      </c>
      <c r="C1102" s="21">
        <v>5514067028</v>
      </c>
    </row>
    <row r="1103" spans="1:3" x14ac:dyDescent="0.3">
      <c r="A1103" s="1" t="s">
        <v>1034</v>
      </c>
      <c r="B1103" s="1" t="s">
        <v>339</v>
      </c>
      <c r="C1103" s="1">
        <v>5621208844</v>
      </c>
    </row>
    <row r="1104" spans="1:3" x14ac:dyDescent="0.3">
      <c r="A1104" s="21" t="s">
        <v>685</v>
      </c>
      <c r="B1104" s="21" t="str">
        <f>IFERROR(VLOOKUP(A1104,Base2026!#REF!,2,FALSE),"")</f>
        <v/>
      </c>
      <c r="C1104" s="21">
        <v>5573743760</v>
      </c>
    </row>
    <row r="1105" spans="1:3" x14ac:dyDescent="0.3">
      <c r="A1105" s="1" t="s">
        <v>1035</v>
      </c>
      <c r="B1105" s="1" t="s">
        <v>798</v>
      </c>
      <c r="C1105" s="1">
        <v>5515986862</v>
      </c>
    </row>
    <row r="1106" spans="1:3" x14ac:dyDescent="0.3">
      <c r="A1106" s="21" t="s">
        <v>1036</v>
      </c>
      <c r="B1106" s="21" t="s">
        <v>74</v>
      </c>
      <c r="C1106" s="21">
        <v>5522561987</v>
      </c>
    </row>
    <row r="1107" spans="1:3" x14ac:dyDescent="0.3">
      <c r="A1107" s="1" t="s">
        <v>1037</v>
      </c>
      <c r="B1107" s="1" t="s">
        <v>46</v>
      </c>
      <c r="C1107" s="1">
        <v>5531399169</v>
      </c>
    </row>
    <row r="1108" spans="1:3" x14ac:dyDescent="0.3">
      <c r="A1108" s="21" t="s">
        <v>1038</v>
      </c>
      <c r="B1108" s="21" t="s">
        <v>113</v>
      </c>
      <c r="C1108" s="21">
        <v>5564492703</v>
      </c>
    </row>
    <row r="1109" spans="1:3" x14ac:dyDescent="0.3">
      <c r="A1109" s="1" t="s">
        <v>1038</v>
      </c>
      <c r="B1109" s="1" t="s">
        <v>113</v>
      </c>
      <c r="C1109" s="1">
        <v>5564492703</v>
      </c>
    </row>
    <row r="1110" spans="1:3" x14ac:dyDescent="0.3">
      <c r="A1110" s="21" t="s">
        <v>1039</v>
      </c>
      <c r="B1110" s="21" t="s">
        <v>1040</v>
      </c>
      <c r="C1110" s="21">
        <v>5540443958</v>
      </c>
    </row>
    <row r="1111" spans="1:3" x14ac:dyDescent="0.3">
      <c r="A1111" s="1" t="s">
        <v>1041</v>
      </c>
      <c r="B1111" s="1" t="s">
        <v>354</v>
      </c>
      <c r="C1111" s="1">
        <v>5561759655</v>
      </c>
    </row>
    <row r="1112" spans="1:3" x14ac:dyDescent="0.3">
      <c r="A1112" s="24" t="s">
        <v>1042</v>
      </c>
      <c r="B1112" s="24" t="s">
        <v>456</v>
      </c>
      <c r="C1112" s="24" t="str">
        <f>IFERROR(VLOOKUP(B1112,Base2026!A:C,2,FALSE),"")</f>
        <v/>
      </c>
    </row>
    <row r="1113" spans="1:3" x14ac:dyDescent="0.3">
      <c r="A1113" s="1" t="s">
        <v>1042</v>
      </c>
      <c r="B1113" s="1" t="s">
        <v>456</v>
      </c>
      <c r="C1113" s="1" t="str">
        <f>IFERROR(VLOOKUP(B1113,Base2026!A:C,2,FALSE),"")</f>
        <v/>
      </c>
    </row>
    <row r="1114" spans="1:3" x14ac:dyDescent="0.3">
      <c r="A1114" s="24" t="s">
        <v>1043</v>
      </c>
      <c r="B1114" s="24" t="s">
        <v>1044</v>
      </c>
      <c r="C1114" s="24">
        <v>5578854795</v>
      </c>
    </row>
    <row r="1115" spans="1:3" x14ac:dyDescent="0.3">
      <c r="A1115" s="1" t="s">
        <v>432</v>
      </c>
      <c r="B1115" s="1" t="str">
        <f>IFERROR(VLOOKUP(A1115,Base2026!#REF!,2,FALSE),"")</f>
        <v/>
      </c>
      <c r="C1115" s="1" t="str">
        <f>IFERROR(VLOOKUP(B1115,Base2026!A:C,2,FALSE),"")</f>
        <v/>
      </c>
    </row>
    <row r="1116" spans="1:3" x14ac:dyDescent="0.3">
      <c r="A1116" s="24" t="s">
        <v>1045</v>
      </c>
      <c r="B1116" s="24" t="s">
        <v>580</v>
      </c>
      <c r="C1116" s="24" t="str">
        <f>IFERROR(VLOOKUP(B1116,Base2026!A:C,2,FALSE),"")</f>
        <v/>
      </c>
    </row>
    <row r="1117" spans="1:3" x14ac:dyDescent="0.3">
      <c r="A1117" s="1" t="s">
        <v>1046</v>
      </c>
      <c r="B1117" s="1" t="s">
        <v>1047</v>
      </c>
      <c r="C1117" s="1">
        <v>5529049760</v>
      </c>
    </row>
    <row r="1118" spans="1:3" x14ac:dyDescent="0.3">
      <c r="A1118" s="24" t="s">
        <v>1048</v>
      </c>
      <c r="B1118" s="24" t="s">
        <v>138</v>
      </c>
      <c r="C1118" s="24" t="str">
        <f>IFERROR(VLOOKUP(B1118,Base2026!A:C,2,FALSE),"")</f>
        <v/>
      </c>
    </row>
    <row r="1119" spans="1:3" x14ac:dyDescent="0.3">
      <c r="A1119" s="1" t="s">
        <v>122</v>
      </c>
      <c r="B1119" s="1" t="s">
        <v>123</v>
      </c>
      <c r="C1119" s="1" t="str">
        <f>IFERROR(VLOOKUP(B1119,Base2026!A:C,2,FALSE),"")</f>
        <v/>
      </c>
    </row>
    <row r="1120" spans="1:3" x14ac:dyDescent="0.3">
      <c r="A1120" s="24" t="s">
        <v>230</v>
      </c>
      <c r="B1120" s="24" t="s">
        <v>152</v>
      </c>
      <c r="C1120" s="24">
        <v>5554171386</v>
      </c>
    </row>
    <row r="1121" spans="1:3" x14ac:dyDescent="0.3">
      <c r="A1121" s="1" t="s">
        <v>1049</v>
      </c>
      <c r="B1121" s="1" t="s">
        <v>237</v>
      </c>
      <c r="C1121" s="1">
        <v>5545163219</v>
      </c>
    </row>
    <row r="1122" spans="1:3" x14ac:dyDescent="0.3">
      <c r="A1122" s="24" t="s">
        <v>1049</v>
      </c>
      <c r="B1122" s="24" t="s">
        <v>237</v>
      </c>
      <c r="C1122" s="24" t="str">
        <f>IFERROR(VLOOKUP(B1122,Base2026!A:C,2,FALSE),"")</f>
        <v/>
      </c>
    </row>
    <row r="1123" spans="1:3" x14ac:dyDescent="0.3">
      <c r="A1123" s="1" t="s">
        <v>1050</v>
      </c>
      <c r="B1123" s="1" t="s">
        <v>41</v>
      </c>
      <c r="C1123" s="1">
        <v>5566814110</v>
      </c>
    </row>
    <row r="1124" spans="1:3" x14ac:dyDescent="0.3">
      <c r="A1124" s="24" t="s">
        <v>1028</v>
      </c>
      <c r="B1124" s="24" t="s">
        <v>1051</v>
      </c>
      <c r="C1124" s="24">
        <v>5574395989</v>
      </c>
    </row>
    <row r="1125" spans="1:3" x14ac:dyDescent="0.3">
      <c r="A1125" s="1" t="s">
        <v>428</v>
      </c>
      <c r="B1125" s="1" t="str">
        <f>IFERROR(VLOOKUP(A1125,Base2026!#REF!,2,FALSE),"")</f>
        <v/>
      </c>
      <c r="C1125" s="1" t="str">
        <f>IFERROR(VLOOKUP(B1125,Base2026!A:C,2,FALSE),"")</f>
        <v/>
      </c>
    </row>
    <row r="1126" spans="1:3" x14ac:dyDescent="0.3">
      <c r="A1126" s="24" t="s">
        <v>428</v>
      </c>
      <c r="B1126" s="24" t="str">
        <f>IFERROR(VLOOKUP(A1126,Base2026!#REF!,2,FALSE),"")</f>
        <v/>
      </c>
      <c r="C1126" s="24" t="str">
        <f>IFERROR(VLOOKUP(B1126,Base2026!A:C,2,FALSE),"")</f>
        <v/>
      </c>
    </row>
    <row r="1127" spans="1:3" x14ac:dyDescent="0.3">
      <c r="A1127" s="1" t="s">
        <v>428</v>
      </c>
      <c r="B1127" s="1" t="str">
        <f>IFERROR(VLOOKUP(A1127,Base2026!#REF!,2,FALSE),"")</f>
        <v/>
      </c>
      <c r="C1127" s="1" t="str">
        <f>IFERROR(VLOOKUP(B1127,Base2026!A:C,2,FALSE),"")</f>
        <v/>
      </c>
    </row>
    <row r="1128" spans="1:3" x14ac:dyDescent="0.3">
      <c r="A1128" s="24" t="s">
        <v>1052</v>
      </c>
      <c r="B1128" s="24" t="s">
        <v>712</v>
      </c>
      <c r="C1128" s="24">
        <v>5518050285</v>
      </c>
    </row>
    <row r="1129" spans="1:3" x14ac:dyDescent="0.3">
      <c r="A1129" s="1" t="s">
        <v>562</v>
      </c>
      <c r="B1129" s="1" t="str">
        <f>IFERROR(VLOOKUP(A1129,Base2026!#REF!,2,FALSE),"")</f>
        <v/>
      </c>
      <c r="C1129" s="1" t="str">
        <f>IFERROR(VLOOKUP(B1129,Base2026!A:C,2,FALSE),"")</f>
        <v/>
      </c>
    </row>
    <row r="1130" spans="1:3" x14ac:dyDescent="0.3">
      <c r="A1130" s="24" t="s">
        <v>1055</v>
      </c>
      <c r="B1130" s="24" t="s">
        <v>68</v>
      </c>
      <c r="C1130" s="24">
        <v>5543450209</v>
      </c>
    </row>
    <row r="1131" spans="1:3" x14ac:dyDescent="0.3">
      <c r="A1131" s="1" t="s">
        <v>1053</v>
      </c>
      <c r="B1131" s="1" t="s">
        <v>297</v>
      </c>
      <c r="C1131" s="1">
        <v>5583722181</v>
      </c>
    </row>
    <row r="1132" spans="1:3" x14ac:dyDescent="0.3">
      <c r="A1132" s="24" t="s">
        <v>1054</v>
      </c>
      <c r="B1132" s="24" t="s">
        <v>74</v>
      </c>
      <c r="C1132" s="24">
        <v>5551208512</v>
      </c>
    </row>
    <row r="1133" spans="1:3" x14ac:dyDescent="0.3">
      <c r="A1133" s="1" t="s">
        <v>1056</v>
      </c>
      <c r="B1133" s="1" t="s">
        <v>1057</v>
      </c>
      <c r="C1133" s="1">
        <v>5539365121</v>
      </c>
    </row>
    <row r="1134" spans="1:3" x14ac:dyDescent="0.3">
      <c r="A1134" s="21" t="s">
        <v>1058</v>
      </c>
      <c r="B1134" s="21" t="s">
        <v>440</v>
      </c>
      <c r="C1134" s="21">
        <v>5538020334</v>
      </c>
    </row>
    <row r="1135" spans="1:3" x14ac:dyDescent="0.3">
      <c r="A1135" s="1" t="s">
        <v>55</v>
      </c>
      <c r="B1135" s="1" t="str">
        <f>IFERROR(VLOOKUP(A1135,Base2026!#REF!,2,FALSE),"")</f>
        <v/>
      </c>
      <c r="C1135" s="1" t="str">
        <f>IFERROR(VLOOKUP(B1135,Base2026!A:C,2,FALSE),"")</f>
        <v/>
      </c>
    </row>
    <row r="1136" spans="1:3" x14ac:dyDescent="0.3">
      <c r="A1136" s="21" t="s">
        <v>55</v>
      </c>
      <c r="B1136" s="21" t="str">
        <f>IFERROR(VLOOKUP(A1136,Base2026!#REF!,2,FALSE),"")</f>
        <v/>
      </c>
      <c r="C1136" s="21" t="str">
        <f>IFERROR(VLOOKUP(B1136,Base2026!A:C,2,FALSE),"")</f>
        <v/>
      </c>
    </row>
    <row r="1137" spans="1:3" x14ac:dyDescent="0.3">
      <c r="A1137" s="1" t="s">
        <v>55</v>
      </c>
      <c r="B1137" s="1" t="str">
        <f>IFERROR(VLOOKUP(A1137,Base2026!#REF!,2,FALSE),"")</f>
        <v/>
      </c>
      <c r="C1137" s="1" t="str">
        <f>IFERROR(VLOOKUP(B1137,Base2026!A:C,2,FALSE),"")</f>
        <v/>
      </c>
    </row>
    <row r="1138" spans="1:3" x14ac:dyDescent="0.3">
      <c r="A1138" s="21" t="s">
        <v>985</v>
      </c>
      <c r="B1138" s="21" t="s">
        <v>503</v>
      </c>
      <c r="C1138" s="21">
        <v>5614899650</v>
      </c>
    </row>
    <row r="1139" spans="1:3" x14ac:dyDescent="0.3">
      <c r="A1139" s="1" t="s">
        <v>1059</v>
      </c>
      <c r="B1139" s="1" t="s">
        <v>897</v>
      </c>
      <c r="C1139" s="1">
        <v>5616918648</v>
      </c>
    </row>
    <row r="1140" spans="1:3" x14ac:dyDescent="0.3">
      <c r="A1140" s="21" t="s">
        <v>664</v>
      </c>
      <c r="B1140" s="21" t="str">
        <f>IFERROR(VLOOKUP(A1140,Base2026!#REF!,2,FALSE),"")</f>
        <v/>
      </c>
      <c r="C1140" s="21" t="str">
        <f>IFERROR(VLOOKUP(B1140,Base2026!A:C,2,FALSE),"")</f>
        <v/>
      </c>
    </row>
    <row r="1141" spans="1:3" x14ac:dyDescent="0.3">
      <c r="A1141" s="1" t="s">
        <v>1012</v>
      </c>
      <c r="B1141" s="1" t="s">
        <v>117</v>
      </c>
      <c r="C1141" s="1">
        <v>5536692880</v>
      </c>
    </row>
    <row r="1142" spans="1:3" x14ac:dyDescent="0.3">
      <c r="A1142" s="21" t="s">
        <v>1012</v>
      </c>
      <c r="B1142" s="21" t="s">
        <v>117</v>
      </c>
      <c r="C1142" s="21">
        <v>5536692880</v>
      </c>
    </row>
    <row r="1143" spans="1:3" x14ac:dyDescent="0.3">
      <c r="A1143" s="1" t="s">
        <v>1060</v>
      </c>
      <c r="B1143" s="1" t="s">
        <v>159</v>
      </c>
      <c r="C1143" s="1" t="str">
        <f>IFERROR(VLOOKUP(B1143,Base2026!A:C,2,FALSE),"")</f>
        <v/>
      </c>
    </row>
    <row r="1144" spans="1:3" x14ac:dyDescent="0.3">
      <c r="A1144" s="21" t="s">
        <v>420</v>
      </c>
      <c r="B1144" s="21" t="s">
        <v>593</v>
      </c>
      <c r="C1144" s="21">
        <v>5542518119</v>
      </c>
    </row>
    <row r="1145" spans="1:3" x14ac:dyDescent="0.3">
      <c r="A1145" s="1" t="s">
        <v>1061</v>
      </c>
      <c r="B1145" s="1" t="s">
        <v>84</v>
      </c>
      <c r="C1145" s="1">
        <v>5540255976</v>
      </c>
    </row>
    <row r="1146" spans="1:3" x14ac:dyDescent="0.3">
      <c r="A1146" s="21" t="s">
        <v>194</v>
      </c>
      <c r="B1146" s="21" t="s">
        <v>648</v>
      </c>
      <c r="C1146" s="21">
        <v>5617687753</v>
      </c>
    </row>
    <row r="1147" spans="1:3" x14ac:dyDescent="0.3">
      <c r="A1147" s="1" t="s">
        <v>1062</v>
      </c>
      <c r="B1147" s="1" t="s">
        <v>130</v>
      </c>
      <c r="C1147" s="1">
        <v>5514614910</v>
      </c>
    </row>
  </sheetData>
  <autoFilter ref="A1:C136" xr:uid="{99CC3577-82F2-41F9-A309-D7595A3B1DCD}">
    <sortState xmlns:xlrd2="http://schemas.microsoft.com/office/spreadsheetml/2017/richdata2" ref="A2:C136">
      <sortCondition ref="A1:A136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4552-23C5-484C-A17D-6313AFF1E232}">
  <sheetPr codeName="Hoja14"/>
  <dimension ref="A1:H934"/>
  <sheetViews>
    <sheetView topLeftCell="E1" workbookViewId="0">
      <selection activeCell="M67" sqref="M67"/>
    </sheetView>
  </sheetViews>
  <sheetFormatPr baseColWidth="10" defaultRowHeight="15" x14ac:dyDescent="0.25"/>
  <cols>
    <col min="1" max="1" width="34.85546875" customWidth="1"/>
    <col min="2" max="3" width="20.140625" customWidth="1"/>
    <col min="4" max="4" width="17.5703125" bestFit="1" customWidth="1"/>
    <col min="5" max="5" width="20.5703125" bestFit="1" customWidth="1"/>
    <col min="6" max="6" width="2" bestFit="1" customWidth="1"/>
    <col min="7" max="7" width="22" bestFit="1" customWidth="1"/>
    <col min="8" max="8" width="22.7109375" bestFit="1" customWidth="1"/>
    <col min="9" max="9" width="8.28515625" bestFit="1" customWidth="1"/>
    <col min="10" max="10" width="22.42578125" bestFit="1" customWidth="1"/>
    <col min="11" max="11" width="8" bestFit="1" customWidth="1"/>
    <col min="12" max="12" width="18.7109375" bestFit="1" customWidth="1"/>
    <col min="13" max="13" width="16.140625" bestFit="1" customWidth="1"/>
    <col min="14" max="14" width="13.42578125" bestFit="1" customWidth="1"/>
    <col min="15" max="15" width="17.5703125" bestFit="1" customWidth="1"/>
    <col min="16" max="16" width="10.28515625" bestFit="1" customWidth="1"/>
    <col min="17" max="17" width="10.5703125" bestFit="1" customWidth="1"/>
    <col min="18" max="18" width="17.85546875" bestFit="1" customWidth="1"/>
    <col min="19" max="19" width="17.28515625" bestFit="1" customWidth="1"/>
    <col min="20" max="20" width="27" bestFit="1" customWidth="1"/>
    <col min="21" max="21" width="21.42578125" bestFit="1" customWidth="1"/>
    <col min="22" max="22" width="19.7109375" bestFit="1" customWidth="1"/>
    <col min="23" max="23" width="30.42578125" bestFit="1" customWidth="1"/>
    <col min="24" max="24" width="24.85546875" bestFit="1" customWidth="1"/>
    <col min="25" max="25" width="25.5703125" bestFit="1" customWidth="1"/>
    <col min="26" max="26" width="20.140625" bestFit="1" customWidth="1"/>
    <col min="27" max="27" width="37.85546875" bestFit="1" customWidth="1"/>
    <col min="28" max="28" width="9" bestFit="1" customWidth="1"/>
    <col min="29" max="29" width="21" bestFit="1" customWidth="1"/>
    <col min="30" max="30" width="22.85546875" bestFit="1" customWidth="1"/>
    <col min="31" max="31" width="19.42578125" bestFit="1" customWidth="1"/>
    <col min="32" max="32" width="23.28515625" bestFit="1" customWidth="1"/>
    <col min="33" max="33" width="9.7109375" bestFit="1" customWidth="1"/>
    <col min="34" max="34" width="12.85546875" bestFit="1" customWidth="1"/>
    <col min="35" max="35" width="11.85546875" bestFit="1" customWidth="1"/>
    <col min="36" max="36" width="10.5703125" bestFit="1" customWidth="1"/>
    <col min="37" max="37" width="11.140625" bestFit="1" customWidth="1"/>
    <col min="38" max="38" width="15" bestFit="1" customWidth="1"/>
    <col min="39" max="39" width="9.140625" bestFit="1" customWidth="1"/>
    <col min="40" max="40" width="19.42578125" bestFit="1" customWidth="1"/>
    <col min="41" max="41" width="11.28515625" bestFit="1" customWidth="1"/>
    <col min="42" max="42" width="14.5703125" bestFit="1" customWidth="1"/>
    <col min="43" max="43" width="19.85546875" bestFit="1" customWidth="1"/>
    <col min="44" max="44" width="20.7109375" bestFit="1" customWidth="1"/>
    <col min="45" max="45" width="22.85546875" bestFit="1" customWidth="1"/>
    <col min="46" max="46" width="18.85546875" bestFit="1" customWidth="1"/>
    <col min="47" max="47" width="26.85546875" bestFit="1" customWidth="1"/>
    <col min="48" max="48" width="12.42578125" bestFit="1" customWidth="1"/>
    <col min="49" max="49" width="21.85546875" bestFit="1" customWidth="1"/>
    <col min="50" max="50" width="19.5703125" bestFit="1" customWidth="1"/>
    <col min="51" max="51" width="7.5703125" bestFit="1" customWidth="1"/>
    <col min="52" max="52" width="14.42578125" bestFit="1" customWidth="1"/>
    <col min="53" max="53" width="29" bestFit="1" customWidth="1"/>
    <col min="54" max="54" width="19" bestFit="1" customWidth="1"/>
    <col min="55" max="55" width="11.5703125" bestFit="1" customWidth="1"/>
    <col min="56" max="56" width="20.140625" bestFit="1" customWidth="1"/>
    <col min="57" max="57" width="26.5703125" bestFit="1" customWidth="1"/>
    <col min="58" max="58" width="21" bestFit="1" customWidth="1"/>
    <col min="59" max="59" width="27.7109375" bestFit="1" customWidth="1"/>
    <col min="60" max="60" width="20.7109375" bestFit="1" customWidth="1"/>
    <col min="61" max="61" width="12" bestFit="1" customWidth="1"/>
    <col min="62" max="62" width="13" bestFit="1" customWidth="1"/>
    <col min="63" max="63" width="11.28515625" bestFit="1" customWidth="1"/>
    <col min="64" max="64" width="23.5703125" bestFit="1" customWidth="1"/>
    <col min="65" max="65" width="14.85546875" bestFit="1" customWidth="1"/>
    <col min="66" max="66" width="17.28515625" bestFit="1" customWidth="1"/>
    <col min="67" max="67" width="10.5703125" bestFit="1" customWidth="1"/>
    <col min="68" max="68" width="7.140625" bestFit="1" customWidth="1"/>
    <col min="69" max="69" width="18.28515625" bestFit="1" customWidth="1"/>
    <col min="70" max="70" width="27.42578125" bestFit="1" customWidth="1"/>
    <col min="71" max="71" width="22.140625" bestFit="1" customWidth="1"/>
    <col min="72" max="72" width="14" bestFit="1" customWidth="1"/>
    <col min="73" max="73" width="16.28515625" bestFit="1" customWidth="1"/>
    <col min="74" max="74" width="13.5703125" bestFit="1" customWidth="1"/>
    <col min="75" max="75" width="23.28515625" bestFit="1" customWidth="1"/>
    <col min="76" max="76" width="10.28515625" bestFit="1" customWidth="1"/>
    <col min="77" max="77" width="19.5703125" bestFit="1" customWidth="1"/>
    <col min="78" max="78" width="13.28515625" bestFit="1" customWidth="1"/>
    <col min="79" max="79" width="13.85546875" bestFit="1" customWidth="1"/>
    <col min="80" max="80" width="13" bestFit="1" customWidth="1"/>
    <col min="81" max="81" width="15.5703125" bestFit="1" customWidth="1"/>
    <col min="82" max="82" width="10.7109375" bestFit="1" customWidth="1"/>
    <col min="83" max="83" width="11.7109375" bestFit="1" customWidth="1"/>
    <col min="84" max="84" width="19.7109375" bestFit="1" customWidth="1"/>
    <col min="85" max="86" width="11.5703125" bestFit="1" customWidth="1"/>
    <col min="87" max="87" width="19" bestFit="1" customWidth="1"/>
    <col min="88" max="88" width="20.28515625" bestFit="1" customWidth="1"/>
    <col min="89" max="89" width="14.5703125" bestFit="1" customWidth="1"/>
    <col min="90" max="91" width="22" bestFit="1" customWidth="1"/>
    <col min="92" max="92" width="30.42578125" bestFit="1" customWidth="1"/>
    <col min="93" max="94" width="20.85546875" bestFit="1" customWidth="1"/>
    <col min="95" max="95" width="11.28515625" bestFit="1" customWidth="1"/>
    <col min="96" max="96" width="22" bestFit="1" customWidth="1"/>
    <col min="97" max="97" width="20.42578125" bestFit="1" customWidth="1"/>
    <col min="98" max="98" width="8.5703125" bestFit="1" customWidth="1"/>
    <col min="99" max="99" width="5" bestFit="1" customWidth="1"/>
    <col min="100" max="100" width="14.140625" bestFit="1" customWidth="1"/>
    <col min="101" max="101" width="21" bestFit="1" customWidth="1"/>
    <col min="102" max="102" width="14" bestFit="1" customWidth="1"/>
    <col min="103" max="103" width="19.28515625" bestFit="1" customWidth="1"/>
    <col min="104" max="104" width="9.5703125" bestFit="1" customWidth="1"/>
    <col min="105" max="105" width="12.42578125" bestFit="1" customWidth="1"/>
    <col min="106" max="106" width="28.140625" bestFit="1" customWidth="1"/>
    <col min="107" max="107" width="19.42578125" bestFit="1" customWidth="1"/>
    <col min="108" max="108" width="19.28515625" bestFit="1" customWidth="1"/>
    <col min="109" max="109" width="18.7109375" bestFit="1" customWidth="1"/>
    <col min="110" max="110" width="17.85546875" bestFit="1" customWidth="1"/>
    <col min="111" max="112" width="5.140625" bestFit="1" customWidth="1"/>
    <col min="113" max="113" width="20.85546875" bestFit="1" customWidth="1"/>
    <col min="114" max="114" width="21.7109375" bestFit="1" customWidth="1"/>
    <col min="115" max="116" width="24.140625" bestFit="1" customWidth="1"/>
    <col min="117" max="117" width="20" bestFit="1" customWidth="1"/>
    <col min="118" max="118" width="17.28515625" bestFit="1" customWidth="1"/>
    <col min="119" max="119" width="9.140625" bestFit="1" customWidth="1"/>
    <col min="120" max="120" width="12.5703125" bestFit="1" customWidth="1"/>
    <col min="121" max="122" width="10.7109375" bestFit="1" customWidth="1"/>
    <col min="123" max="123" width="12.5703125" bestFit="1" customWidth="1"/>
    <col min="124" max="124" width="8.5703125" bestFit="1" customWidth="1"/>
    <col min="125" max="125" width="10.42578125" bestFit="1" customWidth="1"/>
    <col min="126" max="126" width="20.28515625" bestFit="1" customWidth="1"/>
    <col min="127" max="127" width="9.28515625" bestFit="1" customWidth="1"/>
    <col min="128" max="128" width="6.5703125" bestFit="1" customWidth="1"/>
    <col min="129" max="129" width="10.5703125" bestFit="1" customWidth="1"/>
    <col min="130" max="130" width="20.28515625" bestFit="1" customWidth="1"/>
    <col min="131" max="131" width="16.7109375" bestFit="1" customWidth="1"/>
    <col min="132" max="132" width="17.5703125" bestFit="1" customWidth="1"/>
    <col min="133" max="133" width="9.140625" bestFit="1" customWidth="1"/>
    <col min="134" max="134" width="20" bestFit="1" customWidth="1"/>
    <col min="135" max="135" width="5.42578125" bestFit="1" customWidth="1"/>
    <col min="136" max="136" width="16.5703125" bestFit="1" customWidth="1"/>
    <col min="137" max="137" width="8.7109375" bestFit="1" customWidth="1"/>
    <col min="138" max="138" width="12.42578125" bestFit="1" customWidth="1"/>
    <col min="139" max="139" width="9.7109375" bestFit="1" customWidth="1"/>
    <col min="140" max="140" width="16.5703125" bestFit="1" customWidth="1"/>
    <col min="141" max="141" width="20.140625" bestFit="1" customWidth="1"/>
    <col min="142" max="142" width="20.85546875" bestFit="1" customWidth="1"/>
    <col min="143" max="143" width="19.85546875" bestFit="1" customWidth="1"/>
    <col min="144" max="144" width="18.5703125" bestFit="1" customWidth="1"/>
    <col min="145" max="145" width="8.140625" bestFit="1" customWidth="1"/>
    <col min="146" max="146" width="5.5703125" bestFit="1" customWidth="1"/>
    <col min="147" max="147" width="25.140625" bestFit="1" customWidth="1"/>
    <col min="148" max="148" width="18.28515625" bestFit="1" customWidth="1"/>
    <col min="149" max="150" width="19.7109375" bestFit="1" customWidth="1"/>
    <col min="151" max="151" width="21.42578125" bestFit="1" customWidth="1"/>
    <col min="152" max="152" width="25.7109375" bestFit="1" customWidth="1"/>
    <col min="153" max="153" width="24.5703125" bestFit="1" customWidth="1"/>
    <col min="154" max="154" width="31.85546875" bestFit="1" customWidth="1"/>
    <col min="155" max="156" width="20.28515625" bestFit="1" customWidth="1"/>
    <col min="157" max="157" width="15" bestFit="1" customWidth="1"/>
    <col min="158" max="158" width="29.7109375" bestFit="1" customWidth="1"/>
    <col min="159" max="159" width="15" bestFit="1" customWidth="1"/>
    <col min="160" max="160" width="21.28515625" bestFit="1" customWidth="1"/>
    <col min="161" max="161" width="10.7109375" bestFit="1" customWidth="1"/>
    <col min="162" max="162" width="20.140625" bestFit="1" customWidth="1"/>
    <col min="163" max="163" width="13.7109375" bestFit="1" customWidth="1"/>
    <col min="164" max="164" width="24.28515625" bestFit="1" customWidth="1"/>
    <col min="165" max="165" width="16.140625" bestFit="1" customWidth="1"/>
    <col min="166" max="166" width="24.42578125" bestFit="1" customWidth="1"/>
    <col min="167" max="167" width="25.85546875" bestFit="1" customWidth="1"/>
    <col min="168" max="168" width="28.5703125" bestFit="1" customWidth="1"/>
    <col min="169" max="169" width="17.140625" bestFit="1" customWidth="1"/>
    <col min="170" max="170" width="10.42578125" bestFit="1" customWidth="1"/>
    <col min="171" max="171" width="15" bestFit="1" customWidth="1"/>
    <col min="172" max="172" width="22.7109375" bestFit="1" customWidth="1"/>
    <col min="173" max="173" width="23.28515625" bestFit="1" customWidth="1"/>
    <col min="174" max="175" width="11.7109375" bestFit="1" customWidth="1"/>
    <col min="176" max="176" width="17.85546875" bestFit="1" customWidth="1"/>
    <col min="177" max="177" width="19.5703125" bestFit="1" customWidth="1"/>
    <col min="178" max="178" width="21" bestFit="1" customWidth="1"/>
    <col min="179" max="179" width="22.140625" bestFit="1" customWidth="1"/>
    <col min="180" max="180" width="11.85546875" bestFit="1" customWidth="1"/>
    <col min="181" max="181" width="8.28515625" bestFit="1" customWidth="1"/>
    <col min="182" max="182" width="20.7109375" bestFit="1" customWidth="1"/>
    <col min="183" max="183" width="24.42578125" bestFit="1" customWidth="1"/>
    <col min="184" max="184" width="24" bestFit="1" customWidth="1"/>
    <col min="185" max="186" width="25.85546875" bestFit="1" customWidth="1"/>
    <col min="187" max="187" width="24" bestFit="1" customWidth="1"/>
    <col min="188" max="188" width="23.7109375" bestFit="1" customWidth="1"/>
    <col min="189" max="189" width="21.5703125" bestFit="1" customWidth="1"/>
    <col min="190" max="190" width="24.42578125" bestFit="1" customWidth="1"/>
    <col min="191" max="191" width="25" bestFit="1" customWidth="1"/>
    <col min="192" max="192" width="22.28515625" bestFit="1" customWidth="1"/>
    <col min="193" max="193" width="20.42578125" bestFit="1" customWidth="1"/>
    <col min="194" max="194" width="22.140625" bestFit="1" customWidth="1"/>
    <col min="195" max="195" width="21.42578125" bestFit="1" customWidth="1"/>
    <col min="196" max="196" width="17.7109375" bestFit="1" customWidth="1"/>
    <col min="197" max="197" width="22.42578125" bestFit="1" customWidth="1"/>
    <col min="198" max="198" width="15.28515625" bestFit="1" customWidth="1"/>
    <col min="199" max="199" width="22.28515625" bestFit="1" customWidth="1"/>
    <col min="200" max="200" width="22.140625" bestFit="1" customWidth="1"/>
    <col min="201" max="201" width="21.85546875" bestFit="1" customWidth="1"/>
    <col min="202" max="202" width="21.7109375" bestFit="1" customWidth="1"/>
    <col min="203" max="203" width="15.140625" bestFit="1" customWidth="1"/>
    <col min="204" max="204" width="22.140625" bestFit="1" customWidth="1"/>
    <col min="205" max="205" width="21.5703125" bestFit="1" customWidth="1"/>
    <col min="206" max="206" width="23.5703125" bestFit="1" customWidth="1"/>
    <col min="207" max="207" width="21" bestFit="1" customWidth="1"/>
    <col min="208" max="208" width="13" bestFit="1" customWidth="1"/>
    <col min="209" max="209" width="28" bestFit="1" customWidth="1"/>
    <col min="210" max="210" width="25.28515625" bestFit="1" customWidth="1"/>
    <col min="211" max="212" width="24.42578125" bestFit="1" customWidth="1"/>
    <col min="213" max="213" width="12.5703125" bestFit="1" customWidth="1"/>
    <col min="214" max="214" width="25.140625" bestFit="1" customWidth="1"/>
    <col min="215" max="215" width="18.5703125" bestFit="1" customWidth="1"/>
    <col min="216" max="216" width="14.28515625" bestFit="1" customWidth="1"/>
    <col min="217" max="217" width="13.85546875" bestFit="1" customWidth="1"/>
    <col min="218" max="218" width="11.7109375" bestFit="1" customWidth="1"/>
    <col min="219" max="220" width="11.140625" bestFit="1" customWidth="1"/>
    <col min="221" max="221" width="32.140625" bestFit="1" customWidth="1"/>
    <col min="222" max="222" width="17.42578125" bestFit="1" customWidth="1"/>
    <col min="223" max="223" width="9.7109375" bestFit="1" customWidth="1"/>
    <col min="224" max="224" width="11.28515625" bestFit="1" customWidth="1"/>
    <col min="225" max="225" width="24.85546875" bestFit="1" customWidth="1"/>
    <col min="226" max="226" width="20.5703125" bestFit="1" customWidth="1"/>
    <col min="227" max="227" width="10" bestFit="1" customWidth="1"/>
    <col min="228" max="228" width="11.85546875" bestFit="1" customWidth="1"/>
    <col min="229" max="229" width="9.140625" bestFit="1" customWidth="1"/>
    <col min="230" max="230" width="15.85546875" bestFit="1" customWidth="1"/>
    <col min="231" max="231" width="22" bestFit="1" customWidth="1"/>
    <col min="232" max="232" width="13.85546875" bestFit="1" customWidth="1"/>
    <col min="233" max="233" width="13" bestFit="1" customWidth="1"/>
    <col min="234" max="234" width="12.42578125" bestFit="1" customWidth="1"/>
    <col min="235" max="235" width="21.85546875" bestFit="1" customWidth="1"/>
    <col min="236" max="236" width="10.5703125" bestFit="1" customWidth="1"/>
    <col min="237" max="237" width="9.5703125" bestFit="1" customWidth="1"/>
    <col min="238" max="238" width="18.140625" bestFit="1" customWidth="1"/>
    <col min="239" max="239" width="12" bestFit="1" customWidth="1"/>
    <col min="240" max="240" width="11.5703125" bestFit="1" customWidth="1"/>
    <col min="241" max="241" width="18.28515625" bestFit="1" customWidth="1"/>
    <col min="242" max="242" width="21.42578125" bestFit="1" customWidth="1"/>
    <col min="243" max="243" width="21.85546875" bestFit="1" customWidth="1"/>
    <col min="244" max="244" width="32.5703125" bestFit="1" customWidth="1"/>
    <col min="245" max="245" width="31.5703125" bestFit="1" customWidth="1"/>
    <col min="246" max="246" width="23" bestFit="1" customWidth="1"/>
    <col min="247" max="247" width="22.140625" bestFit="1" customWidth="1"/>
    <col min="248" max="248" width="24.28515625" bestFit="1" customWidth="1"/>
    <col min="249" max="249" width="15.28515625" bestFit="1" customWidth="1"/>
    <col min="250" max="250" width="12.42578125" bestFit="1" customWidth="1"/>
    <col min="251" max="251" width="12.140625" bestFit="1" customWidth="1"/>
    <col min="252" max="252" width="20.85546875" bestFit="1" customWidth="1"/>
    <col min="253" max="253" width="19" bestFit="1" customWidth="1"/>
    <col min="254" max="254" width="21.42578125" bestFit="1" customWidth="1"/>
    <col min="255" max="255" width="22.85546875" bestFit="1" customWidth="1"/>
    <col min="256" max="256" width="24" bestFit="1" customWidth="1"/>
    <col min="257" max="257" width="10.42578125" bestFit="1" customWidth="1"/>
    <col min="258" max="258" width="16.5703125" bestFit="1" customWidth="1"/>
    <col min="259" max="259" width="17.140625" bestFit="1" customWidth="1"/>
    <col min="260" max="260" width="18.5703125" bestFit="1" customWidth="1"/>
    <col min="261" max="261" width="13.140625" bestFit="1" customWidth="1"/>
    <col min="262" max="262" width="17" bestFit="1" customWidth="1"/>
    <col min="263" max="263" width="19" bestFit="1" customWidth="1"/>
    <col min="264" max="264" width="18.5703125" bestFit="1" customWidth="1"/>
    <col min="265" max="265" width="22.28515625" bestFit="1" customWidth="1"/>
    <col min="266" max="266" width="16.140625" bestFit="1" customWidth="1"/>
    <col min="267" max="267" width="16.85546875" bestFit="1" customWidth="1"/>
    <col min="268" max="268" width="17.7109375" bestFit="1" customWidth="1"/>
    <col min="269" max="269" width="20.140625" bestFit="1" customWidth="1"/>
    <col min="270" max="270" width="22" bestFit="1" customWidth="1"/>
    <col min="271" max="271" width="13.5703125" bestFit="1" customWidth="1"/>
    <col min="272" max="272" width="16.85546875" bestFit="1" customWidth="1"/>
    <col min="273" max="273" width="13" bestFit="1" customWidth="1"/>
    <col min="274" max="274" width="25.85546875" bestFit="1" customWidth="1"/>
    <col min="275" max="275" width="25.140625" bestFit="1" customWidth="1"/>
    <col min="276" max="276" width="8.85546875" bestFit="1" customWidth="1"/>
    <col min="277" max="277" width="9.7109375" bestFit="1" customWidth="1"/>
    <col min="278" max="278" width="5.7109375" bestFit="1" customWidth="1"/>
    <col min="279" max="279" width="17.7109375" bestFit="1" customWidth="1"/>
    <col min="281" max="281" width="18.5703125" bestFit="1" customWidth="1"/>
    <col min="282" max="282" width="15.85546875" bestFit="1" customWidth="1"/>
    <col min="283" max="283" width="19.85546875" bestFit="1" customWidth="1"/>
    <col min="284" max="284" width="15" bestFit="1" customWidth="1"/>
    <col min="285" max="285" width="17.5703125" bestFit="1" customWidth="1"/>
    <col min="286" max="286" width="17.42578125" bestFit="1" customWidth="1"/>
    <col min="287" max="287" width="19" bestFit="1" customWidth="1"/>
    <col min="288" max="288" width="8.28515625" bestFit="1" customWidth="1"/>
    <col min="289" max="289" width="13.140625" bestFit="1" customWidth="1"/>
    <col min="290" max="290" width="9.85546875" bestFit="1" customWidth="1"/>
    <col min="291" max="291" width="15.5703125" bestFit="1" customWidth="1"/>
    <col min="292" max="292" width="9.7109375" bestFit="1" customWidth="1"/>
    <col min="293" max="293" width="9.140625" bestFit="1" customWidth="1"/>
    <col min="294" max="294" width="22.5703125" bestFit="1" customWidth="1"/>
    <col min="295" max="295" width="23.85546875" bestFit="1" customWidth="1"/>
    <col min="296" max="296" width="19.42578125" bestFit="1" customWidth="1"/>
    <col min="297" max="297" width="13.140625" bestFit="1" customWidth="1"/>
    <col min="298" max="298" width="12.85546875" bestFit="1" customWidth="1"/>
    <col min="299" max="299" width="20.7109375" bestFit="1" customWidth="1"/>
    <col min="300" max="300" width="16.28515625" bestFit="1" customWidth="1"/>
    <col min="301" max="301" width="15.140625" bestFit="1" customWidth="1"/>
    <col min="302" max="302" width="15.42578125" bestFit="1" customWidth="1"/>
    <col min="303" max="303" width="15" bestFit="1" customWidth="1"/>
    <col min="304" max="304" width="18.85546875" bestFit="1" customWidth="1"/>
    <col min="305" max="305" width="23.140625" bestFit="1" customWidth="1"/>
    <col min="306" max="306" width="22.7109375" bestFit="1" customWidth="1"/>
    <col min="307" max="307" width="17.7109375" bestFit="1" customWidth="1"/>
    <col min="308" max="308" width="9.7109375" bestFit="1" customWidth="1"/>
    <col min="309" max="309" width="10.7109375" bestFit="1" customWidth="1"/>
    <col min="310" max="311" width="12.140625" bestFit="1" customWidth="1"/>
    <col min="312" max="312" width="11.7109375" bestFit="1" customWidth="1"/>
    <col min="313" max="313" width="13.140625" bestFit="1" customWidth="1"/>
    <col min="314" max="314" width="9.42578125" bestFit="1" customWidth="1"/>
    <col min="315" max="315" width="18.7109375" bestFit="1" customWidth="1"/>
    <col min="316" max="316" width="16.7109375" bestFit="1" customWidth="1"/>
    <col min="317" max="317" width="15.5703125" bestFit="1" customWidth="1"/>
    <col min="318" max="318" width="9.28515625" bestFit="1" customWidth="1"/>
    <col min="319" max="319" width="19.5703125" bestFit="1" customWidth="1"/>
    <col min="320" max="320" width="21.5703125" bestFit="1" customWidth="1"/>
    <col min="321" max="321" width="20.85546875" bestFit="1" customWidth="1"/>
    <col min="322" max="322" width="18.28515625" bestFit="1" customWidth="1"/>
    <col min="323" max="323" width="6.28515625" bestFit="1" customWidth="1"/>
    <col min="324" max="324" width="11.7109375" bestFit="1" customWidth="1"/>
    <col min="325" max="325" width="17" bestFit="1" customWidth="1"/>
    <col min="326" max="326" width="23" bestFit="1" customWidth="1"/>
    <col min="327" max="327" width="20.7109375" bestFit="1" customWidth="1"/>
    <col min="328" max="328" width="12.7109375" bestFit="1" customWidth="1"/>
    <col min="329" max="329" width="13.28515625" bestFit="1" customWidth="1"/>
    <col min="330" max="330" width="16.140625" bestFit="1" customWidth="1"/>
    <col min="331" max="331" width="10" bestFit="1" customWidth="1"/>
    <col min="332" max="332" width="19.28515625" bestFit="1" customWidth="1"/>
    <col min="333" max="333" width="18.28515625" bestFit="1" customWidth="1"/>
    <col min="334" max="334" width="14.5703125" bestFit="1" customWidth="1"/>
    <col min="335" max="335" width="24.28515625" bestFit="1" customWidth="1"/>
    <col min="336" max="336" width="24.140625" bestFit="1" customWidth="1"/>
    <col min="337" max="337" width="11.85546875" bestFit="1" customWidth="1"/>
    <col min="338" max="338" width="20.42578125" bestFit="1" customWidth="1"/>
    <col min="339" max="339" width="10.5703125" bestFit="1" customWidth="1"/>
    <col min="340" max="340" width="13.140625" bestFit="1" customWidth="1"/>
    <col min="341" max="341" width="18.42578125" bestFit="1" customWidth="1"/>
    <col min="342" max="342" width="12.5703125" bestFit="1" customWidth="1"/>
    <col min="343" max="344" width="10.7109375" bestFit="1" customWidth="1"/>
    <col min="345" max="345" width="12.140625" bestFit="1" customWidth="1"/>
    <col min="346" max="346" width="13.140625" bestFit="1" customWidth="1"/>
    <col min="347" max="348" width="12.140625" bestFit="1" customWidth="1"/>
    <col min="349" max="349" width="22.28515625" bestFit="1" customWidth="1"/>
    <col min="350" max="350" width="19.28515625" bestFit="1" customWidth="1"/>
    <col min="351" max="351" width="13.28515625" bestFit="1" customWidth="1"/>
    <col min="352" max="353" width="17.42578125" bestFit="1" customWidth="1"/>
    <col min="354" max="354" width="26" bestFit="1" customWidth="1"/>
    <col min="355" max="355" width="12" bestFit="1" customWidth="1"/>
    <col min="356" max="356" width="20.85546875" bestFit="1" customWidth="1"/>
    <col min="357" max="357" width="14.7109375" bestFit="1" customWidth="1"/>
    <col min="358" max="358" width="10.7109375" bestFit="1" customWidth="1"/>
    <col min="359" max="359" width="19.140625" bestFit="1" customWidth="1"/>
    <col min="360" max="360" width="15.28515625" bestFit="1" customWidth="1"/>
    <col min="361" max="361" width="25.28515625" bestFit="1" customWidth="1"/>
    <col min="362" max="362" width="22.85546875" bestFit="1" customWidth="1"/>
    <col min="363" max="363" width="24" bestFit="1" customWidth="1"/>
    <col min="364" max="364" width="16.85546875" bestFit="1" customWidth="1"/>
    <col min="365" max="365" width="19.140625" bestFit="1" customWidth="1"/>
    <col min="366" max="366" width="23.140625" bestFit="1" customWidth="1"/>
    <col min="367" max="367" width="21.42578125" bestFit="1" customWidth="1"/>
    <col min="368" max="371" width="21.7109375" bestFit="1" customWidth="1"/>
    <col min="372" max="372" width="25.42578125" bestFit="1" customWidth="1"/>
    <col min="373" max="373" width="35.5703125" bestFit="1" customWidth="1"/>
    <col min="374" max="374" width="19.5703125" bestFit="1" customWidth="1"/>
    <col min="375" max="375" width="19.42578125" bestFit="1" customWidth="1"/>
    <col min="376" max="376" width="19.85546875" bestFit="1" customWidth="1"/>
    <col min="377" max="377" width="20.7109375" bestFit="1" customWidth="1"/>
    <col min="378" max="378" width="19.5703125" bestFit="1" customWidth="1"/>
    <col min="379" max="379" width="21" bestFit="1" customWidth="1"/>
    <col min="380" max="380" width="17.42578125" bestFit="1" customWidth="1"/>
    <col min="381" max="381" width="22.5703125" bestFit="1" customWidth="1"/>
    <col min="382" max="382" width="28.140625" bestFit="1" customWidth="1"/>
    <col min="383" max="383" width="16.7109375" bestFit="1" customWidth="1"/>
    <col min="384" max="384" width="13.140625" bestFit="1" customWidth="1"/>
    <col min="385" max="385" width="22.42578125" bestFit="1" customWidth="1"/>
    <col min="386" max="386" width="22.5703125" bestFit="1" customWidth="1"/>
    <col min="387" max="387" width="21.28515625" bestFit="1" customWidth="1"/>
    <col min="388" max="388" width="13.28515625" bestFit="1" customWidth="1"/>
    <col min="389" max="389" width="18.42578125" bestFit="1" customWidth="1"/>
    <col min="390" max="390" width="23.140625" bestFit="1" customWidth="1"/>
    <col min="391" max="391" width="27.140625" bestFit="1" customWidth="1"/>
    <col min="392" max="392" width="24" bestFit="1" customWidth="1"/>
    <col min="393" max="393" width="23.5703125" bestFit="1" customWidth="1"/>
    <col min="394" max="394" width="13.7109375" bestFit="1" customWidth="1"/>
    <col min="395" max="395" width="23" bestFit="1" customWidth="1"/>
    <col min="396" max="396" width="22" bestFit="1" customWidth="1"/>
    <col min="397" max="397" width="27.85546875" bestFit="1" customWidth="1"/>
    <col min="398" max="398" width="22.5703125" bestFit="1" customWidth="1"/>
    <col min="399" max="399" width="7.85546875" bestFit="1" customWidth="1"/>
    <col min="400" max="400" width="9.28515625" bestFit="1" customWidth="1"/>
    <col min="401" max="401" width="18.28515625" bestFit="1" customWidth="1"/>
    <col min="402" max="402" width="7" bestFit="1" customWidth="1"/>
    <col min="403" max="403" width="15.42578125" bestFit="1" customWidth="1"/>
    <col min="404" max="404" width="10.42578125" bestFit="1" customWidth="1"/>
    <col min="405" max="405" width="12.42578125" bestFit="1" customWidth="1"/>
    <col min="406" max="406" width="16.7109375" bestFit="1" customWidth="1"/>
    <col min="407" max="407" width="11" bestFit="1" customWidth="1"/>
    <col min="408" max="408" width="9.7109375" bestFit="1" customWidth="1"/>
    <col min="409" max="409" width="10.140625" bestFit="1" customWidth="1"/>
    <col min="410" max="410" width="13.85546875" bestFit="1" customWidth="1"/>
    <col min="411" max="411" width="11.7109375" bestFit="1" customWidth="1"/>
    <col min="412" max="412" width="12.28515625" bestFit="1" customWidth="1"/>
    <col min="413" max="413" width="20.7109375" bestFit="1" customWidth="1"/>
    <col min="414" max="414" width="16.7109375" bestFit="1" customWidth="1"/>
    <col min="415" max="415" width="8.7109375" bestFit="1" customWidth="1"/>
    <col min="416" max="416" width="18" bestFit="1" customWidth="1"/>
    <col min="417" max="417" width="9.28515625" bestFit="1" customWidth="1"/>
    <col min="418" max="418" width="16.85546875" bestFit="1" customWidth="1"/>
    <col min="419" max="419" width="9.7109375" bestFit="1" customWidth="1"/>
    <col min="420" max="420" width="14.42578125" bestFit="1" customWidth="1"/>
    <col min="421" max="421" width="13.5703125" bestFit="1" customWidth="1"/>
    <col min="422" max="422" width="10.42578125" bestFit="1" customWidth="1"/>
    <col min="423" max="423" width="9.7109375" bestFit="1" customWidth="1"/>
    <col min="424" max="424" width="10.85546875" bestFit="1" customWidth="1"/>
    <col min="425" max="425" width="8.7109375" bestFit="1" customWidth="1"/>
    <col min="426" max="426" width="10.7109375" bestFit="1" customWidth="1"/>
    <col min="427" max="427" width="19" bestFit="1" customWidth="1"/>
    <col min="428" max="428" width="11.7109375" bestFit="1" customWidth="1"/>
    <col min="429" max="429" width="9.5703125" bestFit="1" customWidth="1"/>
    <col min="430" max="430" width="10.42578125" bestFit="1" customWidth="1"/>
    <col min="431" max="431" width="20.28515625" bestFit="1" customWidth="1"/>
    <col min="432" max="432" width="16.7109375" bestFit="1" customWidth="1"/>
    <col min="433" max="433" width="14.7109375" bestFit="1" customWidth="1"/>
    <col min="434" max="434" width="18.7109375" bestFit="1" customWidth="1"/>
    <col min="435" max="435" width="17.5703125" bestFit="1" customWidth="1"/>
    <col min="436" max="436" width="18.28515625" bestFit="1" customWidth="1"/>
    <col min="437" max="437" width="22.5703125" bestFit="1" customWidth="1"/>
    <col min="438" max="438" width="20.7109375" bestFit="1" customWidth="1"/>
    <col min="439" max="439" width="19.5703125" bestFit="1" customWidth="1"/>
    <col min="440" max="440" width="17.42578125" bestFit="1" customWidth="1"/>
    <col min="441" max="441" width="16.28515625" bestFit="1" customWidth="1"/>
    <col min="442" max="442" width="19" bestFit="1" customWidth="1"/>
    <col min="443" max="443" width="17.28515625" bestFit="1" customWidth="1"/>
    <col min="444" max="444" width="15.140625" bestFit="1" customWidth="1"/>
    <col min="445" max="445" width="8.42578125" bestFit="1" customWidth="1"/>
    <col min="446" max="446" width="19.140625" bestFit="1" customWidth="1"/>
    <col min="447" max="447" width="23.28515625" bestFit="1" customWidth="1"/>
    <col min="448" max="448" width="22.28515625" bestFit="1" customWidth="1"/>
    <col min="449" max="449" width="19.140625" bestFit="1" customWidth="1"/>
    <col min="450" max="450" width="18.7109375" bestFit="1" customWidth="1"/>
    <col min="451" max="451" width="13.85546875" bestFit="1" customWidth="1"/>
    <col min="452" max="452" width="14.7109375" bestFit="1" customWidth="1"/>
    <col min="453" max="453" width="17.140625" bestFit="1" customWidth="1"/>
    <col min="454" max="454" width="20.28515625" bestFit="1" customWidth="1"/>
    <col min="455" max="455" width="30.7109375" bestFit="1" customWidth="1"/>
    <col min="456" max="456" width="30.28515625" bestFit="1" customWidth="1"/>
    <col min="457" max="457" width="23.28515625" bestFit="1" customWidth="1"/>
    <col min="458" max="458" width="18.140625" bestFit="1" customWidth="1"/>
    <col min="459" max="459" width="19.140625" bestFit="1" customWidth="1"/>
    <col min="460" max="460" width="15.28515625" bestFit="1" customWidth="1"/>
    <col min="461" max="461" width="21.42578125" bestFit="1" customWidth="1"/>
    <col min="462" max="462" width="19.42578125" bestFit="1" customWidth="1"/>
    <col min="463" max="463" width="29.85546875" bestFit="1" customWidth="1"/>
    <col min="464" max="464" width="22.28515625" bestFit="1" customWidth="1"/>
    <col min="465" max="465" width="21.85546875" bestFit="1" customWidth="1"/>
    <col min="466" max="466" width="19" bestFit="1" customWidth="1"/>
    <col min="467" max="467" width="18.5703125" bestFit="1" customWidth="1"/>
    <col min="468" max="468" width="10.28515625" bestFit="1" customWidth="1"/>
    <col min="469" max="469" width="6.7109375" bestFit="1" customWidth="1"/>
    <col min="470" max="470" width="18.140625" bestFit="1" customWidth="1"/>
    <col min="471" max="471" width="13" bestFit="1" customWidth="1"/>
    <col min="472" max="472" width="13.85546875" bestFit="1" customWidth="1"/>
    <col min="473" max="473" width="11.7109375" bestFit="1" customWidth="1"/>
    <col min="474" max="474" width="11.85546875" bestFit="1" customWidth="1"/>
    <col min="475" max="475" width="23.140625" bestFit="1" customWidth="1"/>
    <col min="476" max="476" width="14.7109375" bestFit="1" customWidth="1"/>
    <col min="477" max="477" width="8" bestFit="1" customWidth="1"/>
    <col min="478" max="478" width="24.7109375" bestFit="1" customWidth="1"/>
    <col min="479" max="479" width="14.42578125" bestFit="1" customWidth="1"/>
    <col min="480" max="480" width="12" bestFit="1" customWidth="1"/>
    <col min="481" max="481" width="11" bestFit="1" customWidth="1"/>
    <col min="482" max="482" width="12.5703125" bestFit="1" customWidth="1"/>
  </cols>
  <sheetData>
    <row r="1" spans="1:4" x14ac:dyDescent="0.25">
      <c r="A1" s="158" t="s">
        <v>2073</v>
      </c>
      <c r="B1" s="158"/>
      <c r="C1" s="158"/>
      <c r="D1" s="158"/>
    </row>
    <row r="2" spans="1:4" x14ac:dyDescent="0.25">
      <c r="A2" s="129" t="s">
        <v>595</v>
      </c>
      <c r="B2" s="129" t="s">
        <v>2009</v>
      </c>
      <c r="C2" s="129" t="s">
        <v>2035</v>
      </c>
      <c r="D2" s="130" t="s">
        <v>2034</v>
      </c>
    </row>
    <row r="3" spans="1:4" x14ac:dyDescent="0.25">
      <c r="A3" s="131" t="s">
        <v>17</v>
      </c>
      <c r="B3" s="131" t="s">
        <v>2065</v>
      </c>
      <c r="C3" s="131">
        <v>153</v>
      </c>
      <c r="D3" s="132">
        <v>787853.30999999982</v>
      </c>
    </row>
    <row r="4" spans="1:4" x14ac:dyDescent="0.25">
      <c r="A4" s="131" t="s">
        <v>10</v>
      </c>
      <c r="B4" s="131" t="s">
        <v>2065</v>
      </c>
      <c r="C4" s="131">
        <v>136</v>
      </c>
      <c r="D4" s="132">
        <v>688148.39</v>
      </c>
    </row>
    <row r="5" spans="1:4" x14ac:dyDescent="0.25">
      <c r="A5" s="131" t="s">
        <v>11</v>
      </c>
      <c r="B5" s="131" t="s">
        <v>2065</v>
      </c>
      <c r="C5" s="131">
        <v>108</v>
      </c>
      <c r="D5" s="132">
        <v>1216228.7000000002</v>
      </c>
    </row>
    <row r="6" spans="1:4" x14ac:dyDescent="0.25">
      <c r="A6" s="131" t="s">
        <v>47</v>
      </c>
      <c r="B6" s="131" t="s">
        <v>2065</v>
      </c>
      <c r="C6" s="131">
        <v>73</v>
      </c>
      <c r="D6" s="132">
        <v>377225.54</v>
      </c>
    </row>
    <row r="7" spans="1:4" x14ac:dyDescent="0.25">
      <c r="A7" s="131" t="s">
        <v>755</v>
      </c>
      <c r="B7" s="131" t="s">
        <v>2065</v>
      </c>
      <c r="C7" s="131">
        <v>2</v>
      </c>
      <c r="D7" s="132">
        <v>82521.56</v>
      </c>
    </row>
    <row r="9" spans="1:4" x14ac:dyDescent="0.25">
      <c r="A9" s="159" t="s">
        <v>2074</v>
      </c>
      <c r="B9" s="159"/>
      <c r="C9" s="159"/>
      <c r="D9" s="159"/>
    </row>
    <row r="10" spans="1:4" x14ac:dyDescent="0.25">
      <c r="A10" s="131" t="s">
        <v>17</v>
      </c>
      <c r="B10" s="131" t="s">
        <v>2066</v>
      </c>
      <c r="C10" s="131">
        <v>132</v>
      </c>
      <c r="D10" s="132">
        <v>717771.96</v>
      </c>
    </row>
    <row r="11" spans="1:4" x14ac:dyDescent="0.25">
      <c r="A11" s="131" t="s">
        <v>10</v>
      </c>
      <c r="B11" s="131" t="s">
        <v>2066</v>
      </c>
      <c r="C11" s="131">
        <v>130</v>
      </c>
      <c r="D11" s="132">
        <v>708143.82000000007</v>
      </c>
    </row>
    <row r="12" spans="1:4" x14ac:dyDescent="0.25">
      <c r="A12" s="131" t="s">
        <v>11</v>
      </c>
      <c r="B12" s="131" t="s">
        <v>2066</v>
      </c>
      <c r="C12" s="131">
        <v>93</v>
      </c>
      <c r="D12" s="132">
        <v>1437395.1129999994</v>
      </c>
    </row>
    <row r="13" spans="1:4" x14ac:dyDescent="0.25">
      <c r="A13" s="131" t="s">
        <v>47</v>
      </c>
      <c r="B13" s="131" t="s">
        <v>2066</v>
      </c>
      <c r="C13" s="131">
        <v>72</v>
      </c>
      <c r="D13" s="132">
        <v>486128.93000000017</v>
      </c>
    </row>
    <row r="14" spans="1:4" x14ac:dyDescent="0.25">
      <c r="A14" s="131" t="s">
        <v>942</v>
      </c>
      <c r="B14" s="131" t="s">
        <v>2066</v>
      </c>
      <c r="C14" s="131">
        <v>1</v>
      </c>
      <c r="D14" s="132">
        <v>95140</v>
      </c>
    </row>
    <row r="15" spans="1:4" x14ac:dyDescent="0.25">
      <c r="A15" s="131" t="s">
        <v>983</v>
      </c>
      <c r="B15" s="131" t="s">
        <v>2066</v>
      </c>
      <c r="C15" s="131">
        <v>6</v>
      </c>
      <c r="D15" s="132">
        <v>91938.059999999983</v>
      </c>
    </row>
    <row r="16" spans="1:4" x14ac:dyDescent="0.25">
      <c r="A16" s="131" t="s">
        <v>1001</v>
      </c>
      <c r="B16" s="131" t="s">
        <v>2066</v>
      </c>
      <c r="C16" s="131">
        <v>4</v>
      </c>
      <c r="D16" s="132">
        <v>11227.3</v>
      </c>
    </row>
    <row r="17" spans="1:4" x14ac:dyDescent="0.25">
      <c r="A17" s="131" t="s">
        <v>1077</v>
      </c>
      <c r="B17" s="131" t="s">
        <v>2066</v>
      </c>
      <c r="C17" s="131">
        <v>4</v>
      </c>
      <c r="D17" s="132">
        <v>382711.36</v>
      </c>
    </row>
    <row r="19" spans="1:4" x14ac:dyDescent="0.25">
      <c r="A19" s="159" t="s">
        <v>2075</v>
      </c>
      <c r="B19" s="159"/>
      <c r="C19" s="159"/>
      <c r="D19" s="159"/>
    </row>
    <row r="20" spans="1:4" x14ac:dyDescent="0.25">
      <c r="A20" s="131" t="s">
        <v>10</v>
      </c>
      <c r="B20" s="131" t="s">
        <v>2067</v>
      </c>
      <c r="C20" s="131">
        <v>141</v>
      </c>
      <c r="D20" s="132">
        <v>803515.42999999993</v>
      </c>
    </row>
    <row r="21" spans="1:4" x14ac:dyDescent="0.25">
      <c r="A21" s="131" t="s">
        <v>11</v>
      </c>
      <c r="B21" s="131" t="s">
        <v>2067</v>
      </c>
      <c r="C21" s="131">
        <v>102</v>
      </c>
      <c r="D21" s="132">
        <v>854357.97000000009</v>
      </c>
    </row>
    <row r="22" spans="1:4" x14ac:dyDescent="0.25">
      <c r="A22" s="131" t="s">
        <v>47</v>
      </c>
      <c r="B22" s="131" t="s">
        <v>2067</v>
      </c>
      <c r="C22" s="131">
        <v>92</v>
      </c>
      <c r="D22" s="132">
        <v>492479.1399999999</v>
      </c>
    </row>
    <row r="23" spans="1:4" x14ac:dyDescent="0.25">
      <c r="A23" s="131" t="s">
        <v>17</v>
      </c>
      <c r="B23" s="131" t="s">
        <v>2067</v>
      </c>
      <c r="C23" s="131">
        <v>145</v>
      </c>
      <c r="D23" s="132">
        <v>725831.08999999973</v>
      </c>
    </row>
    <row r="24" spans="1:4" x14ac:dyDescent="0.25">
      <c r="A24" s="131" t="s">
        <v>1322</v>
      </c>
      <c r="B24" s="131" t="s">
        <v>2067</v>
      </c>
      <c r="C24" s="131">
        <v>1</v>
      </c>
      <c r="D24" s="132">
        <v>0</v>
      </c>
    </row>
    <row r="25" spans="1:4" x14ac:dyDescent="0.25">
      <c r="A25" s="131" t="s">
        <v>942</v>
      </c>
      <c r="B25" s="131" t="s">
        <v>2067</v>
      </c>
      <c r="C25" s="131">
        <v>1</v>
      </c>
      <c r="D25" s="132">
        <v>0</v>
      </c>
    </row>
    <row r="49" spans="1:8" x14ac:dyDescent="0.25">
      <c r="A49" s="126" t="s">
        <v>597</v>
      </c>
      <c r="B49" s="126" t="s">
        <v>2009</v>
      </c>
      <c r="C49" s="126" t="s">
        <v>2036</v>
      </c>
    </row>
    <row r="50" spans="1:8" x14ac:dyDescent="0.25">
      <c r="A50" t="s">
        <v>84</v>
      </c>
      <c r="B50" t="s">
        <v>2068</v>
      </c>
      <c r="C50">
        <v>22</v>
      </c>
    </row>
    <row r="51" spans="1:8" x14ac:dyDescent="0.25">
      <c r="A51" t="s">
        <v>41</v>
      </c>
      <c r="B51" t="s">
        <v>2068</v>
      </c>
      <c r="C51">
        <v>17</v>
      </c>
    </row>
    <row r="52" spans="1:8" x14ac:dyDescent="0.25">
      <c r="A52" t="s">
        <v>425</v>
      </c>
      <c r="B52" t="s">
        <v>2068</v>
      </c>
      <c r="C52">
        <v>16</v>
      </c>
      <c r="G52" s="133" t="s">
        <v>2076</v>
      </c>
      <c r="H52" t="s">
        <v>2077</v>
      </c>
    </row>
    <row r="53" spans="1:8" x14ac:dyDescent="0.25">
      <c r="A53" t="s">
        <v>46</v>
      </c>
      <c r="B53" t="s">
        <v>2068</v>
      </c>
      <c r="C53">
        <v>16</v>
      </c>
      <c r="G53" s="134" t="s">
        <v>2068</v>
      </c>
      <c r="H53">
        <v>525</v>
      </c>
    </row>
    <row r="54" spans="1:8" x14ac:dyDescent="0.25">
      <c r="A54" t="s">
        <v>204</v>
      </c>
      <c r="B54" t="s">
        <v>2068</v>
      </c>
      <c r="C54">
        <v>12</v>
      </c>
      <c r="G54" s="134" t="s">
        <v>2065</v>
      </c>
      <c r="H54">
        <v>472</v>
      </c>
    </row>
    <row r="55" spans="1:8" x14ac:dyDescent="0.25">
      <c r="A55" t="s">
        <v>16</v>
      </c>
      <c r="B55" t="s">
        <v>2068</v>
      </c>
      <c r="C55">
        <v>12</v>
      </c>
      <c r="G55" s="134" t="s">
        <v>2066</v>
      </c>
      <c r="H55">
        <v>442</v>
      </c>
    </row>
    <row r="56" spans="1:8" x14ac:dyDescent="0.25">
      <c r="A56" t="s">
        <v>187</v>
      </c>
      <c r="B56" t="s">
        <v>2068</v>
      </c>
      <c r="C56">
        <v>11</v>
      </c>
      <c r="G56" s="134" t="s">
        <v>2069</v>
      </c>
      <c r="H56">
        <v>1</v>
      </c>
    </row>
    <row r="57" spans="1:8" x14ac:dyDescent="0.25">
      <c r="A57" t="s">
        <v>43</v>
      </c>
      <c r="B57" t="s">
        <v>2068</v>
      </c>
      <c r="C57">
        <v>9</v>
      </c>
      <c r="G57" s="135" t="s">
        <v>518</v>
      </c>
      <c r="H57">
        <v>1</v>
      </c>
    </row>
    <row r="58" spans="1:8" x14ac:dyDescent="0.25">
      <c r="A58" t="s">
        <v>159</v>
      </c>
      <c r="B58" t="s">
        <v>2068</v>
      </c>
      <c r="C58">
        <v>9</v>
      </c>
      <c r="G58" s="134" t="s">
        <v>2067</v>
      </c>
      <c r="H58">
        <v>482</v>
      </c>
    </row>
    <row r="59" spans="1:8" x14ac:dyDescent="0.25">
      <c r="A59" t="s">
        <v>276</v>
      </c>
      <c r="B59" t="s">
        <v>2068</v>
      </c>
      <c r="C59">
        <v>9</v>
      </c>
      <c r="G59" s="134" t="s">
        <v>2070</v>
      </c>
      <c r="H59">
        <v>306</v>
      </c>
    </row>
    <row r="60" spans="1:8" x14ac:dyDescent="0.25">
      <c r="A60" t="s">
        <v>138</v>
      </c>
      <c r="B60" t="s">
        <v>2068</v>
      </c>
      <c r="C60">
        <v>8</v>
      </c>
      <c r="G60" s="134" t="s">
        <v>2078</v>
      </c>
      <c r="H60">
        <v>2228</v>
      </c>
    </row>
    <row r="61" spans="1:8" x14ac:dyDescent="0.25">
      <c r="A61" t="s">
        <v>458</v>
      </c>
      <c r="B61" t="s">
        <v>2068</v>
      </c>
      <c r="C61">
        <v>8</v>
      </c>
    </row>
    <row r="62" spans="1:8" x14ac:dyDescent="0.25">
      <c r="A62" t="s">
        <v>32</v>
      </c>
      <c r="B62" t="s">
        <v>2068</v>
      </c>
      <c r="C62">
        <v>8</v>
      </c>
    </row>
    <row r="63" spans="1:8" x14ac:dyDescent="0.25">
      <c r="A63" t="s">
        <v>68</v>
      </c>
      <c r="B63" t="s">
        <v>2068</v>
      </c>
      <c r="C63">
        <v>8</v>
      </c>
    </row>
    <row r="64" spans="1:8" x14ac:dyDescent="0.25">
      <c r="A64" t="s">
        <v>58</v>
      </c>
      <c r="B64" t="s">
        <v>2068</v>
      </c>
      <c r="C64">
        <v>8</v>
      </c>
    </row>
    <row r="65" spans="1:3" x14ac:dyDescent="0.25">
      <c r="A65" t="s">
        <v>336</v>
      </c>
      <c r="B65" t="s">
        <v>2068</v>
      </c>
      <c r="C65">
        <v>8</v>
      </c>
    </row>
    <row r="66" spans="1:3" x14ac:dyDescent="0.25">
      <c r="A66" t="s">
        <v>60</v>
      </c>
      <c r="B66" t="s">
        <v>2068</v>
      </c>
      <c r="C66">
        <v>7</v>
      </c>
    </row>
    <row r="67" spans="1:3" x14ac:dyDescent="0.25">
      <c r="A67" t="s">
        <v>1710</v>
      </c>
      <c r="B67" t="s">
        <v>2068</v>
      </c>
      <c r="C67">
        <v>7</v>
      </c>
    </row>
    <row r="68" spans="1:3" x14ac:dyDescent="0.25">
      <c r="A68" t="s">
        <v>626</v>
      </c>
      <c r="B68" t="s">
        <v>2068</v>
      </c>
      <c r="C68">
        <v>6</v>
      </c>
    </row>
    <row r="69" spans="1:3" x14ac:dyDescent="0.25">
      <c r="A69" t="s">
        <v>123</v>
      </c>
      <c r="B69" t="s">
        <v>2068</v>
      </c>
      <c r="C69">
        <v>6</v>
      </c>
    </row>
    <row r="70" spans="1:3" x14ac:dyDescent="0.25">
      <c r="A70" t="s">
        <v>103</v>
      </c>
      <c r="B70" t="s">
        <v>2068</v>
      </c>
      <c r="C70">
        <v>6</v>
      </c>
    </row>
    <row r="71" spans="1:3" x14ac:dyDescent="0.25">
      <c r="A71" t="s">
        <v>113</v>
      </c>
      <c r="B71" t="s">
        <v>2068</v>
      </c>
      <c r="C71">
        <v>6</v>
      </c>
    </row>
    <row r="72" spans="1:3" x14ac:dyDescent="0.25">
      <c r="A72" t="s">
        <v>1493</v>
      </c>
      <c r="B72" t="s">
        <v>2068</v>
      </c>
      <c r="C72">
        <v>6</v>
      </c>
    </row>
    <row r="73" spans="1:3" x14ac:dyDescent="0.25">
      <c r="A73" t="s">
        <v>1592</v>
      </c>
      <c r="B73" t="s">
        <v>2068</v>
      </c>
      <c r="C73">
        <v>6</v>
      </c>
    </row>
    <row r="74" spans="1:3" x14ac:dyDescent="0.25">
      <c r="A74" t="s">
        <v>1717</v>
      </c>
      <c r="B74" t="s">
        <v>2068</v>
      </c>
      <c r="C74">
        <v>6</v>
      </c>
    </row>
    <row r="75" spans="1:3" x14ac:dyDescent="0.25">
      <c r="A75" t="s">
        <v>88</v>
      </c>
      <c r="B75" t="s">
        <v>2068</v>
      </c>
      <c r="C75">
        <v>5</v>
      </c>
    </row>
    <row r="76" spans="1:3" x14ac:dyDescent="0.25">
      <c r="A76" t="s">
        <v>795</v>
      </c>
      <c r="B76" t="s">
        <v>2068</v>
      </c>
      <c r="C76">
        <v>5</v>
      </c>
    </row>
    <row r="77" spans="1:3" x14ac:dyDescent="0.25">
      <c r="A77" t="s">
        <v>218</v>
      </c>
      <c r="B77" t="s">
        <v>2068</v>
      </c>
      <c r="C77">
        <v>5</v>
      </c>
    </row>
    <row r="78" spans="1:3" x14ac:dyDescent="0.25">
      <c r="A78" t="s">
        <v>119</v>
      </c>
      <c r="B78" t="s">
        <v>2068</v>
      </c>
      <c r="C78">
        <v>5</v>
      </c>
    </row>
    <row r="79" spans="1:3" x14ac:dyDescent="0.25">
      <c r="A79" t="s">
        <v>806</v>
      </c>
      <c r="B79" t="s">
        <v>2068</v>
      </c>
      <c r="C79">
        <v>5</v>
      </c>
    </row>
    <row r="80" spans="1:3" x14ac:dyDescent="0.25">
      <c r="A80" t="s">
        <v>28</v>
      </c>
      <c r="B80" t="s">
        <v>2068</v>
      </c>
      <c r="C80">
        <v>5</v>
      </c>
    </row>
    <row r="81" spans="1:3" x14ac:dyDescent="0.25">
      <c r="A81" t="s">
        <v>825</v>
      </c>
      <c r="B81" t="s">
        <v>2068</v>
      </c>
      <c r="C81">
        <v>5</v>
      </c>
    </row>
    <row r="82" spans="1:3" x14ac:dyDescent="0.25">
      <c r="A82" t="s">
        <v>2051</v>
      </c>
      <c r="B82" t="s">
        <v>2068</v>
      </c>
      <c r="C82">
        <v>5</v>
      </c>
    </row>
    <row r="83" spans="1:3" x14ac:dyDescent="0.25">
      <c r="A83" t="s">
        <v>1690</v>
      </c>
      <c r="B83" t="s">
        <v>2068</v>
      </c>
      <c r="C83">
        <v>5</v>
      </c>
    </row>
    <row r="84" spans="1:3" x14ac:dyDescent="0.25">
      <c r="A84" t="s">
        <v>580</v>
      </c>
      <c r="B84" t="s">
        <v>2068</v>
      </c>
      <c r="C84">
        <v>4</v>
      </c>
    </row>
    <row r="85" spans="1:3" x14ac:dyDescent="0.25">
      <c r="A85" t="s">
        <v>54</v>
      </c>
      <c r="B85" t="s">
        <v>2068</v>
      </c>
      <c r="C85">
        <v>4</v>
      </c>
    </row>
    <row r="86" spans="1:3" x14ac:dyDescent="0.25">
      <c r="A86" t="s">
        <v>383</v>
      </c>
      <c r="B86" t="s">
        <v>2068</v>
      </c>
      <c r="C86">
        <v>4</v>
      </c>
    </row>
    <row r="87" spans="1:3" x14ac:dyDescent="0.25">
      <c r="A87" t="s">
        <v>1074</v>
      </c>
      <c r="B87" t="s">
        <v>2068</v>
      </c>
      <c r="C87">
        <v>4</v>
      </c>
    </row>
    <row r="88" spans="1:3" x14ac:dyDescent="0.25">
      <c r="A88" t="s">
        <v>1502</v>
      </c>
      <c r="B88" t="s">
        <v>2068</v>
      </c>
      <c r="C88">
        <v>4</v>
      </c>
    </row>
    <row r="89" spans="1:3" x14ac:dyDescent="0.25">
      <c r="A89" t="s">
        <v>201</v>
      </c>
      <c r="B89" t="s">
        <v>2068</v>
      </c>
      <c r="C89">
        <v>4</v>
      </c>
    </row>
    <row r="90" spans="1:3" x14ac:dyDescent="0.25">
      <c r="A90" t="s">
        <v>712</v>
      </c>
      <c r="B90" t="s">
        <v>2068</v>
      </c>
      <c r="C90">
        <v>4</v>
      </c>
    </row>
    <row r="91" spans="1:3" x14ac:dyDescent="0.25">
      <c r="A91" t="s">
        <v>591</v>
      </c>
      <c r="B91" t="s">
        <v>2068</v>
      </c>
      <c r="C91">
        <v>4</v>
      </c>
    </row>
    <row r="92" spans="1:3" x14ac:dyDescent="0.25">
      <c r="A92" t="s">
        <v>6</v>
      </c>
      <c r="B92" t="s">
        <v>2068</v>
      </c>
      <c r="C92">
        <v>4</v>
      </c>
    </row>
    <row r="93" spans="1:3" x14ac:dyDescent="0.25">
      <c r="A93" t="s">
        <v>648</v>
      </c>
      <c r="B93" t="s">
        <v>2068</v>
      </c>
      <c r="C93">
        <v>4</v>
      </c>
    </row>
    <row r="94" spans="1:3" x14ac:dyDescent="0.25">
      <c r="A94" t="s">
        <v>538</v>
      </c>
      <c r="B94" t="s">
        <v>2068</v>
      </c>
      <c r="C94">
        <v>4</v>
      </c>
    </row>
    <row r="95" spans="1:3" x14ac:dyDescent="0.25">
      <c r="A95" t="s">
        <v>1653</v>
      </c>
      <c r="B95" t="s">
        <v>2068</v>
      </c>
      <c r="C95">
        <v>4</v>
      </c>
    </row>
    <row r="96" spans="1:3" x14ac:dyDescent="0.25">
      <c r="A96" t="s">
        <v>1675</v>
      </c>
      <c r="B96" t="s">
        <v>2068</v>
      </c>
      <c r="C96">
        <v>4</v>
      </c>
    </row>
    <row r="97" spans="1:3" x14ac:dyDescent="0.25">
      <c r="A97" t="s">
        <v>1684</v>
      </c>
      <c r="B97" t="s">
        <v>2068</v>
      </c>
      <c r="C97">
        <v>4</v>
      </c>
    </row>
    <row r="98" spans="1:3" x14ac:dyDescent="0.25">
      <c r="A98" t="s">
        <v>1708</v>
      </c>
      <c r="B98" t="s">
        <v>2068</v>
      </c>
      <c r="C98">
        <v>4</v>
      </c>
    </row>
    <row r="99" spans="1:3" x14ac:dyDescent="0.25">
      <c r="A99" t="s">
        <v>250</v>
      </c>
      <c r="B99" t="s">
        <v>2068</v>
      </c>
      <c r="C99">
        <v>4</v>
      </c>
    </row>
    <row r="100" spans="1:3" x14ac:dyDescent="0.25">
      <c r="A100" t="s">
        <v>1151</v>
      </c>
      <c r="B100" t="s">
        <v>2068</v>
      </c>
      <c r="C100">
        <v>4</v>
      </c>
    </row>
    <row r="101" spans="1:3" x14ac:dyDescent="0.25">
      <c r="A101" t="s">
        <v>1373</v>
      </c>
      <c r="B101" t="s">
        <v>2068</v>
      </c>
      <c r="C101">
        <v>3</v>
      </c>
    </row>
    <row r="102" spans="1:3" x14ac:dyDescent="0.25">
      <c r="A102" t="s">
        <v>237</v>
      </c>
      <c r="B102" t="s">
        <v>2068</v>
      </c>
      <c r="C102">
        <v>3</v>
      </c>
    </row>
    <row r="103" spans="1:3" x14ac:dyDescent="0.25">
      <c r="A103" t="s">
        <v>287</v>
      </c>
      <c r="B103" t="s">
        <v>2068</v>
      </c>
      <c r="C103">
        <v>3</v>
      </c>
    </row>
    <row r="104" spans="1:3" x14ac:dyDescent="0.25">
      <c r="A104" t="s">
        <v>356</v>
      </c>
      <c r="B104" t="s">
        <v>2068</v>
      </c>
      <c r="C104">
        <v>3</v>
      </c>
    </row>
    <row r="105" spans="1:3" x14ac:dyDescent="0.25">
      <c r="A105" t="s">
        <v>23</v>
      </c>
      <c r="B105" t="s">
        <v>2068</v>
      </c>
      <c r="C105">
        <v>3</v>
      </c>
    </row>
    <row r="106" spans="1:3" x14ac:dyDescent="0.25">
      <c r="A106" t="s">
        <v>253</v>
      </c>
      <c r="B106" t="s">
        <v>2068</v>
      </c>
      <c r="C106">
        <v>3</v>
      </c>
    </row>
    <row r="107" spans="1:3" x14ac:dyDescent="0.25">
      <c r="A107" t="s">
        <v>74</v>
      </c>
      <c r="B107" t="s">
        <v>2068</v>
      </c>
      <c r="C107">
        <v>3</v>
      </c>
    </row>
    <row r="108" spans="1:3" x14ac:dyDescent="0.25">
      <c r="A108" t="s">
        <v>70</v>
      </c>
      <c r="B108" t="s">
        <v>2068</v>
      </c>
      <c r="C108">
        <v>3</v>
      </c>
    </row>
    <row r="109" spans="1:3" x14ac:dyDescent="0.25">
      <c r="A109" t="s">
        <v>747</v>
      </c>
      <c r="B109" t="s">
        <v>2068</v>
      </c>
      <c r="C109">
        <v>3</v>
      </c>
    </row>
    <row r="110" spans="1:3" x14ac:dyDescent="0.25">
      <c r="A110" t="s">
        <v>1697</v>
      </c>
      <c r="B110" t="s">
        <v>2068</v>
      </c>
      <c r="C110">
        <v>3</v>
      </c>
    </row>
    <row r="111" spans="1:3" x14ac:dyDescent="0.25">
      <c r="A111" t="s">
        <v>129</v>
      </c>
      <c r="B111" t="s">
        <v>2068</v>
      </c>
      <c r="C111">
        <v>3</v>
      </c>
    </row>
    <row r="112" spans="1:3" x14ac:dyDescent="0.25">
      <c r="A112" t="s">
        <v>545</v>
      </c>
      <c r="B112" t="s">
        <v>2068</v>
      </c>
      <c r="C112">
        <v>3</v>
      </c>
    </row>
    <row r="113" spans="1:3" x14ac:dyDescent="0.25">
      <c r="A113" t="s">
        <v>923</v>
      </c>
      <c r="B113" t="s">
        <v>2068</v>
      </c>
      <c r="C113">
        <v>2</v>
      </c>
    </row>
    <row r="114" spans="1:3" x14ac:dyDescent="0.25">
      <c r="A114" t="s">
        <v>733</v>
      </c>
      <c r="B114" t="s">
        <v>2068</v>
      </c>
      <c r="C114">
        <v>2</v>
      </c>
    </row>
    <row r="115" spans="1:3" x14ac:dyDescent="0.25">
      <c r="A115" t="s">
        <v>115</v>
      </c>
      <c r="B115" t="s">
        <v>2068</v>
      </c>
      <c r="C115">
        <v>2</v>
      </c>
    </row>
    <row r="116" spans="1:3" x14ac:dyDescent="0.25">
      <c r="A116" t="s">
        <v>174</v>
      </c>
      <c r="B116" t="s">
        <v>2068</v>
      </c>
      <c r="C116">
        <v>2</v>
      </c>
    </row>
    <row r="117" spans="1:3" x14ac:dyDescent="0.25">
      <c r="A117" t="s">
        <v>1486</v>
      </c>
      <c r="B117" t="s">
        <v>2068</v>
      </c>
      <c r="C117">
        <v>2</v>
      </c>
    </row>
    <row r="118" spans="1:3" x14ac:dyDescent="0.25">
      <c r="A118" t="s">
        <v>1495</v>
      </c>
      <c r="B118" t="s">
        <v>2068</v>
      </c>
      <c r="C118">
        <v>2</v>
      </c>
    </row>
    <row r="119" spans="1:3" x14ac:dyDescent="0.25">
      <c r="A119" t="s">
        <v>1498</v>
      </c>
      <c r="B119" t="s">
        <v>2068</v>
      </c>
      <c r="C119">
        <v>2</v>
      </c>
    </row>
    <row r="120" spans="1:3" x14ac:dyDescent="0.25">
      <c r="A120" t="s">
        <v>1260</v>
      </c>
      <c r="B120" t="s">
        <v>2068</v>
      </c>
      <c r="C120">
        <v>2</v>
      </c>
    </row>
    <row r="121" spans="1:3" x14ac:dyDescent="0.25">
      <c r="A121" t="s">
        <v>895</v>
      </c>
      <c r="B121" t="s">
        <v>2068</v>
      </c>
      <c r="C121">
        <v>2</v>
      </c>
    </row>
    <row r="122" spans="1:3" x14ac:dyDescent="0.25">
      <c r="A122" t="s">
        <v>225</v>
      </c>
      <c r="B122" t="s">
        <v>2068</v>
      </c>
      <c r="C122">
        <v>2</v>
      </c>
    </row>
    <row r="123" spans="1:3" x14ac:dyDescent="0.25">
      <c r="A123" t="s">
        <v>390</v>
      </c>
      <c r="B123" t="s">
        <v>2068</v>
      </c>
      <c r="C123">
        <v>2</v>
      </c>
    </row>
    <row r="124" spans="1:3" x14ac:dyDescent="0.25">
      <c r="A124" t="s">
        <v>1524</v>
      </c>
      <c r="B124" t="s">
        <v>2068</v>
      </c>
      <c r="C124">
        <v>2</v>
      </c>
    </row>
    <row r="125" spans="1:3" x14ac:dyDescent="0.25">
      <c r="A125" t="s">
        <v>1532</v>
      </c>
      <c r="B125" t="s">
        <v>2068</v>
      </c>
      <c r="C125">
        <v>2</v>
      </c>
    </row>
    <row r="126" spans="1:3" x14ac:dyDescent="0.25">
      <c r="A126" t="s">
        <v>721</v>
      </c>
      <c r="B126" t="s">
        <v>2068</v>
      </c>
      <c r="C126">
        <v>2</v>
      </c>
    </row>
    <row r="127" spans="1:3" x14ac:dyDescent="0.25">
      <c r="A127" t="s">
        <v>2053</v>
      </c>
      <c r="B127" t="s">
        <v>2068</v>
      </c>
      <c r="C127">
        <v>2</v>
      </c>
    </row>
    <row r="128" spans="1:3" x14ac:dyDescent="0.25">
      <c r="A128" t="s">
        <v>30</v>
      </c>
      <c r="B128" t="s">
        <v>2068</v>
      </c>
      <c r="C128">
        <v>2</v>
      </c>
    </row>
    <row r="129" spans="1:3" x14ac:dyDescent="0.25">
      <c r="A129" t="s">
        <v>1601</v>
      </c>
      <c r="B129" t="s">
        <v>2068</v>
      </c>
      <c r="C129">
        <v>2</v>
      </c>
    </row>
    <row r="130" spans="1:3" x14ac:dyDescent="0.25">
      <c r="A130" t="s">
        <v>190</v>
      </c>
      <c r="B130" t="s">
        <v>2068</v>
      </c>
      <c r="C130">
        <v>2</v>
      </c>
    </row>
    <row r="131" spans="1:3" x14ac:dyDescent="0.25">
      <c r="A131" t="s">
        <v>1071</v>
      </c>
      <c r="B131" t="s">
        <v>2068</v>
      </c>
      <c r="C131">
        <v>2</v>
      </c>
    </row>
    <row r="132" spans="1:3" x14ac:dyDescent="0.25">
      <c r="A132" t="s">
        <v>816</v>
      </c>
      <c r="B132" t="s">
        <v>2068</v>
      </c>
      <c r="C132">
        <v>2</v>
      </c>
    </row>
    <row r="133" spans="1:3" x14ac:dyDescent="0.25">
      <c r="A133" t="s">
        <v>1630</v>
      </c>
      <c r="B133" t="s">
        <v>2068</v>
      </c>
      <c r="C133">
        <v>2</v>
      </c>
    </row>
    <row r="134" spans="1:3" x14ac:dyDescent="0.25">
      <c r="A134" t="s">
        <v>614</v>
      </c>
      <c r="B134" t="s">
        <v>2068</v>
      </c>
      <c r="C134">
        <v>2</v>
      </c>
    </row>
    <row r="135" spans="1:3" x14ac:dyDescent="0.25">
      <c r="A135" t="s">
        <v>0</v>
      </c>
      <c r="B135" t="s">
        <v>2068</v>
      </c>
      <c r="C135">
        <v>2</v>
      </c>
    </row>
    <row r="136" spans="1:3" x14ac:dyDescent="0.25">
      <c r="A136" t="s">
        <v>514</v>
      </c>
      <c r="B136" t="s">
        <v>2068</v>
      </c>
      <c r="C136">
        <v>2</v>
      </c>
    </row>
    <row r="137" spans="1:3" x14ac:dyDescent="0.25">
      <c r="A137" t="s">
        <v>1669</v>
      </c>
      <c r="B137" t="s">
        <v>2068</v>
      </c>
      <c r="C137">
        <v>2</v>
      </c>
    </row>
    <row r="138" spans="1:3" x14ac:dyDescent="0.25">
      <c r="A138" t="s">
        <v>1681</v>
      </c>
      <c r="B138" t="s">
        <v>2068</v>
      </c>
      <c r="C138">
        <v>2</v>
      </c>
    </row>
    <row r="139" spans="1:3" x14ac:dyDescent="0.25">
      <c r="A139" t="s">
        <v>771</v>
      </c>
      <c r="B139" t="s">
        <v>2068</v>
      </c>
      <c r="C139">
        <v>2</v>
      </c>
    </row>
    <row r="140" spans="1:3" x14ac:dyDescent="0.25">
      <c r="A140" t="s">
        <v>1692</v>
      </c>
      <c r="B140" t="s">
        <v>2068</v>
      </c>
      <c r="C140">
        <v>2</v>
      </c>
    </row>
    <row r="141" spans="1:3" x14ac:dyDescent="0.25">
      <c r="A141" t="s">
        <v>117</v>
      </c>
      <c r="B141" t="s">
        <v>2068</v>
      </c>
      <c r="C141">
        <v>2</v>
      </c>
    </row>
    <row r="142" spans="1:3" x14ac:dyDescent="0.25">
      <c r="A142" t="s">
        <v>467</v>
      </c>
      <c r="B142" t="s">
        <v>2068</v>
      </c>
      <c r="C142">
        <v>2</v>
      </c>
    </row>
    <row r="143" spans="1:3" x14ac:dyDescent="0.25">
      <c r="A143" t="s">
        <v>531</v>
      </c>
      <c r="B143" t="s">
        <v>2068</v>
      </c>
      <c r="C143">
        <v>2</v>
      </c>
    </row>
    <row r="144" spans="1:3" x14ac:dyDescent="0.25">
      <c r="A144" t="s">
        <v>902</v>
      </c>
      <c r="B144" t="s">
        <v>2068</v>
      </c>
      <c r="C144">
        <v>2</v>
      </c>
    </row>
    <row r="145" spans="1:3" x14ac:dyDescent="0.25">
      <c r="A145" t="s">
        <v>465</v>
      </c>
      <c r="B145" t="s">
        <v>2068</v>
      </c>
      <c r="C145">
        <v>2</v>
      </c>
    </row>
    <row r="146" spans="1:3" x14ac:dyDescent="0.25">
      <c r="A146" t="s">
        <v>1724</v>
      </c>
      <c r="B146" t="s">
        <v>2068</v>
      </c>
      <c r="C146">
        <v>2</v>
      </c>
    </row>
    <row r="147" spans="1:3" x14ac:dyDescent="0.25">
      <c r="A147" t="s">
        <v>1704</v>
      </c>
      <c r="B147" t="s">
        <v>2068</v>
      </c>
      <c r="C147">
        <v>2</v>
      </c>
    </row>
    <row r="148" spans="1:3" x14ac:dyDescent="0.25">
      <c r="A148" t="s">
        <v>1731</v>
      </c>
      <c r="B148" t="s">
        <v>2068</v>
      </c>
      <c r="C148">
        <v>2</v>
      </c>
    </row>
    <row r="149" spans="1:3" x14ac:dyDescent="0.25">
      <c r="A149" t="s">
        <v>702</v>
      </c>
      <c r="B149" t="s">
        <v>2068</v>
      </c>
      <c r="C149">
        <v>2</v>
      </c>
    </row>
    <row r="150" spans="1:3" x14ac:dyDescent="0.25">
      <c r="A150" t="s">
        <v>640</v>
      </c>
      <c r="B150" t="s">
        <v>2068</v>
      </c>
      <c r="C150">
        <v>2</v>
      </c>
    </row>
    <row r="151" spans="1:3" x14ac:dyDescent="0.25">
      <c r="A151" t="s">
        <v>490</v>
      </c>
      <c r="B151" t="s">
        <v>2068</v>
      </c>
      <c r="C151">
        <v>2</v>
      </c>
    </row>
    <row r="152" spans="1:3" x14ac:dyDescent="0.25">
      <c r="A152" t="s">
        <v>1751</v>
      </c>
      <c r="B152" t="s">
        <v>2068</v>
      </c>
      <c r="C152">
        <v>2</v>
      </c>
    </row>
    <row r="153" spans="1:3" x14ac:dyDescent="0.25">
      <c r="A153" t="s">
        <v>1451</v>
      </c>
      <c r="B153" t="s">
        <v>2068</v>
      </c>
      <c r="C153">
        <v>1</v>
      </c>
    </row>
    <row r="154" spans="1:3" x14ac:dyDescent="0.25">
      <c r="A154" t="s">
        <v>431</v>
      </c>
      <c r="B154" t="s">
        <v>2068</v>
      </c>
      <c r="C154">
        <v>1</v>
      </c>
    </row>
    <row r="155" spans="1:3" x14ac:dyDescent="0.25">
      <c r="A155" t="s">
        <v>1460</v>
      </c>
      <c r="B155" t="s">
        <v>2068</v>
      </c>
      <c r="C155">
        <v>1</v>
      </c>
    </row>
    <row r="156" spans="1:3" x14ac:dyDescent="0.25">
      <c r="A156" t="s">
        <v>1457</v>
      </c>
      <c r="B156" t="s">
        <v>2068</v>
      </c>
      <c r="C156">
        <v>1</v>
      </c>
    </row>
    <row r="157" spans="1:3" x14ac:dyDescent="0.25">
      <c r="A157" t="s">
        <v>1464</v>
      </c>
      <c r="B157" t="s">
        <v>2068</v>
      </c>
      <c r="C157">
        <v>1</v>
      </c>
    </row>
    <row r="158" spans="1:3" x14ac:dyDescent="0.25">
      <c r="A158" t="s">
        <v>1469</v>
      </c>
      <c r="B158" t="s">
        <v>2068</v>
      </c>
      <c r="C158">
        <v>1</v>
      </c>
    </row>
    <row r="159" spans="1:3" x14ac:dyDescent="0.25">
      <c r="A159" t="s">
        <v>1275</v>
      </c>
      <c r="B159" t="s">
        <v>2068</v>
      </c>
      <c r="C159">
        <v>1</v>
      </c>
    </row>
    <row r="160" spans="1:3" x14ac:dyDescent="0.25">
      <c r="A160" t="s">
        <v>1479</v>
      </c>
      <c r="B160" t="s">
        <v>2068</v>
      </c>
      <c r="C160">
        <v>1</v>
      </c>
    </row>
    <row r="161" spans="1:3" x14ac:dyDescent="0.25">
      <c r="A161" t="s">
        <v>798</v>
      </c>
      <c r="B161" t="s">
        <v>2068</v>
      </c>
      <c r="C161">
        <v>1</v>
      </c>
    </row>
    <row r="162" spans="1:3" x14ac:dyDescent="0.25">
      <c r="A162" t="s">
        <v>63</v>
      </c>
      <c r="B162" t="s">
        <v>2068</v>
      </c>
      <c r="C162">
        <v>1</v>
      </c>
    </row>
    <row r="163" spans="1:3" x14ac:dyDescent="0.25">
      <c r="A163" t="s">
        <v>1501</v>
      </c>
      <c r="B163" t="s">
        <v>2068</v>
      </c>
      <c r="C163">
        <v>1</v>
      </c>
    </row>
    <row r="164" spans="1:3" x14ac:dyDescent="0.25">
      <c r="A164" t="s">
        <v>9</v>
      </c>
      <c r="B164" t="s">
        <v>2068</v>
      </c>
      <c r="C164">
        <v>1</v>
      </c>
    </row>
    <row r="165" spans="1:3" x14ac:dyDescent="0.25">
      <c r="A165" t="s">
        <v>973</v>
      </c>
      <c r="B165" t="s">
        <v>2068</v>
      </c>
      <c r="C165">
        <v>1</v>
      </c>
    </row>
    <row r="166" spans="1:3" x14ac:dyDescent="0.25">
      <c r="A166" t="s">
        <v>1351</v>
      </c>
      <c r="B166" t="s">
        <v>2068</v>
      </c>
      <c r="C166">
        <v>1</v>
      </c>
    </row>
    <row r="167" spans="1:3" x14ac:dyDescent="0.25">
      <c r="A167" t="s">
        <v>787</v>
      </c>
      <c r="B167" t="s">
        <v>2068</v>
      </c>
      <c r="C167">
        <v>1</v>
      </c>
    </row>
    <row r="168" spans="1:3" x14ac:dyDescent="0.25">
      <c r="A168" t="s">
        <v>1522</v>
      </c>
      <c r="B168" t="s">
        <v>2068</v>
      </c>
      <c r="C168">
        <v>1</v>
      </c>
    </row>
    <row r="169" spans="1:3" x14ac:dyDescent="0.25">
      <c r="A169" t="s">
        <v>1000</v>
      </c>
      <c r="B169" t="s">
        <v>2068</v>
      </c>
      <c r="C169">
        <v>1</v>
      </c>
    </row>
    <row r="170" spans="1:3" x14ac:dyDescent="0.25">
      <c r="A170" t="s">
        <v>622</v>
      </c>
      <c r="B170" t="s">
        <v>2068</v>
      </c>
      <c r="C170">
        <v>1</v>
      </c>
    </row>
    <row r="171" spans="1:3" x14ac:dyDescent="0.25">
      <c r="A171" t="s">
        <v>652</v>
      </c>
      <c r="B171" t="s">
        <v>2068</v>
      </c>
      <c r="C171">
        <v>1</v>
      </c>
    </row>
    <row r="172" spans="1:3" x14ac:dyDescent="0.25">
      <c r="A172" t="s">
        <v>82</v>
      </c>
      <c r="B172" t="s">
        <v>2068</v>
      </c>
      <c r="C172">
        <v>1</v>
      </c>
    </row>
    <row r="173" spans="1:3" x14ac:dyDescent="0.25">
      <c r="A173" t="s">
        <v>354</v>
      </c>
      <c r="B173" t="s">
        <v>2068</v>
      </c>
      <c r="C173">
        <v>1</v>
      </c>
    </row>
    <row r="174" spans="1:3" x14ac:dyDescent="0.25">
      <c r="A174" t="s">
        <v>1550</v>
      </c>
      <c r="B174" t="s">
        <v>2068</v>
      </c>
      <c r="C174">
        <v>1</v>
      </c>
    </row>
    <row r="175" spans="1:3" x14ac:dyDescent="0.25">
      <c r="A175" t="s">
        <v>1554</v>
      </c>
      <c r="B175" t="s">
        <v>2068</v>
      </c>
      <c r="C175">
        <v>1</v>
      </c>
    </row>
    <row r="176" spans="1:3" x14ac:dyDescent="0.25">
      <c r="A176" t="s">
        <v>1551</v>
      </c>
      <c r="B176" t="s">
        <v>2068</v>
      </c>
      <c r="C176">
        <v>1</v>
      </c>
    </row>
    <row r="177" spans="1:3" x14ac:dyDescent="0.25">
      <c r="A177" t="s">
        <v>111</v>
      </c>
      <c r="B177" t="s">
        <v>2068</v>
      </c>
      <c r="C177">
        <v>1</v>
      </c>
    </row>
    <row r="178" spans="1:3" x14ac:dyDescent="0.25">
      <c r="A178" t="s">
        <v>1560</v>
      </c>
      <c r="B178" t="s">
        <v>2068</v>
      </c>
      <c r="C178">
        <v>1</v>
      </c>
    </row>
    <row r="179" spans="1:3" x14ac:dyDescent="0.25">
      <c r="A179" t="s">
        <v>90</v>
      </c>
      <c r="B179" t="s">
        <v>2068</v>
      </c>
      <c r="C179">
        <v>1</v>
      </c>
    </row>
    <row r="180" spans="1:3" x14ac:dyDescent="0.25">
      <c r="A180" t="s">
        <v>889</v>
      </c>
      <c r="B180" t="s">
        <v>2068</v>
      </c>
      <c r="C180">
        <v>1</v>
      </c>
    </row>
    <row r="181" spans="1:3" x14ac:dyDescent="0.25">
      <c r="A181" t="s">
        <v>1568</v>
      </c>
      <c r="B181" t="s">
        <v>2068</v>
      </c>
      <c r="C181">
        <v>1</v>
      </c>
    </row>
    <row r="182" spans="1:3" x14ac:dyDescent="0.25">
      <c r="A182" t="s">
        <v>1578</v>
      </c>
      <c r="B182" t="s">
        <v>2068</v>
      </c>
      <c r="C182">
        <v>1</v>
      </c>
    </row>
    <row r="183" spans="1:3" x14ac:dyDescent="0.25">
      <c r="A183" t="s">
        <v>1580</v>
      </c>
      <c r="B183" t="s">
        <v>2068</v>
      </c>
      <c r="C183">
        <v>1</v>
      </c>
    </row>
    <row r="184" spans="1:3" x14ac:dyDescent="0.25">
      <c r="A184" t="s">
        <v>2037</v>
      </c>
      <c r="B184" t="s">
        <v>2068</v>
      </c>
      <c r="C184">
        <v>1</v>
      </c>
    </row>
    <row r="185" spans="1:3" x14ac:dyDescent="0.25">
      <c r="A185" t="s">
        <v>212</v>
      </c>
      <c r="B185" t="s">
        <v>2068</v>
      </c>
      <c r="C185">
        <v>1</v>
      </c>
    </row>
    <row r="186" spans="1:3" x14ac:dyDescent="0.25">
      <c r="A186" t="s">
        <v>292</v>
      </c>
      <c r="B186" t="s">
        <v>2068</v>
      </c>
      <c r="C186">
        <v>1</v>
      </c>
    </row>
    <row r="187" spans="1:3" x14ac:dyDescent="0.25">
      <c r="A187" t="s">
        <v>1620</v>
      </c>
      <c r="B187" t="s">
        <v>2068</v>
      </c>
      <c r="C187">
        <v>1</v>
      </c>
    </row>
    <row r="188" spans="1:3" x14ac:dyDescent="0.25">
      <c r="A188" t="s">
        <v>631</v>
      </c>
      <c r="B188" t="s">
        <v>2068</v>
      </c>
      <c r="C188">
        <v>1</v>
      </c>
    </row>
    <row r="189" spans="1:3" x14ac:dyDescent="0.25">
      <c r="A189" t="s">
        <v>293</v>
      </c>
      <c r="B189" t="s">
        <v>2068</v>
      </c>
      <c r="C189">
        <v>1</v>
      </c>
    </row>
    <row r="190" spans="1:3" x14ac:dyDescent="0.25">
      <c r="A190" t="s">
        <v>252</v>
      </c>
      <c r="B190" t="s">
        <v>2068</v>
      </c>
      <c r="C190">
        <v>1</v>
      </c>
    </row>
    <row r="191" spans="1:3" x14ac:dyDescent="0.25">
      <c r="A191" t="s">
        <v>248</v>
      </c>
      <c r="B191" t="s">
        <v>2068</v>
      </c>
      <c r="C191">
        <v>1</v>
      </c>
    </row>
    <row r="192" spans="1:3" x14ac:dyDescent="0.25">
      <c r="A192" t="s">
        <v>1651</v>
      </c>
      <c r="B192" t="s">
        <v>2068</v>
      </c>
      <c r="C192">
        <v>1</v>
      </c>
    </row>
    <row r="193" spans="1:3" x14ac:dyDescent="0.25">
      <c r="A193" t="s">
        <v>37</v>
      </c>
      <c r="B193" t="s">
        <v>2068</v>
      </c>
      <c r="C193">
        <v>1</v>
      </c>
    </row>
    <row r="194" spans="1:3" x14ac:dyDescent="0.25">
      <c r="A194" t="s">
        <v>518</v>
      </c>
      <c r="B194" t="s">
        <v>2068</v>
      </c>
      <c r="C194">
        <v>1</v>
      </c>
    </row>
    <row r="195" spans="1:3" x14ac:dyDescent="0.25">
      <c r="A195" t="s">
        <v>2043</v>
      </c>
      <c r="B195" t="s">
        <v>2068</v>
      </c>
      <c r="C195">
        <v>1</v>
      </c>
    </row>
    <row r="196" spans="1:3" x14ac:dyDescent="0.25">
      <c r="A196" t="s">
        <v>897</v>
      </c>
      <c r="B196" t="s">
        <v>2068</v>
      </c>
      <c r="C196">
        <v>1</v>
      </c>
    </row>
    <row r="197" spans="1:3" x14ac:dyDescent="0.25">
      <c r="A197" t="s">
        <v>1386</v>
      </c>
      <c r="B197" t="s">
        <v>2068</v>
      </c>
      <c r="C197">
        <v>1</v>
      </c>
    </row>
    <row r="198" spans="1:3" x14ac:dyDescent="0.25">
      <c r="A198" t="s">
        <v>1672</v>
      </c>
      <c r="B198" t="s">
        <v>2068</v>
      </c>
      <c r="C198">
        <v>1</v>
      </c>
    </row>
    <row r="199" spans="1:3" x14ac:dyDescent="0.25">
      <c r="A199" t="s">
        <v>1679</v>
      </c>
      <c r="B199" t="s">
        <v>2068</v>
      </c>
      <c r="C199">
        <v>1</v>
      </c>
    </row>
    <row r="200" spans="1:3" x14ac:dyDescent="0.25">
      <c r="A200" t="s">
        <v>65</v>
      </c>
      <c r="B200" t="s">
        <v>2068</v>
      </c>
      <c r="C200">
        <v>1</v>
      </c>
    </row>
    <row r="201" spans="1:3" x14ac:dyDescent="0.25">
      <c r="A201" t="s">
        <v>1699</v>
      </c>
      <c r="B201" t="s">
        <v>2068</v>
      </c>
      <c r="C201">
        <v>1</v>
      </c>
    </row>
    <row r="202" spans="1:3" x14ac:dyDescent="0.25">
      <c r="A202" t="s">
        <v>1706</v>
      </c>
      <c r="B202" t="s">
        <v>2068</v>
      </c>
      <c r="C202">
        <v>1</v>
      </c>
    </row>
    <row r="203" spans="1:3" x14ac:dyDescent="0.25">
      <c r="A203" t="s">
        <v>1712</v>
      </c>
      <c r="B203" t="s">
        <v>2068</v>
      </c>
      <c r="C203">
        <v>1</v>
      </c>
    </row>
    <row r="204" spans="1:3" x14ac:dyDescent="0.25">
      <c r="A204" t="s">
        <v>107</v>
      </c>
      <c r="B204" t="s">
        <v>2068</v>
      </c>
      <c r="C204">
        <v>1</v>
      </c>
    </row>
    <row r="205" spans="1:3" x14ac:dyDescent="0.25">
      <c r="A205" t="s">
        <v>1727</v>
      </c>
      <c r="B205" t="s">
        <v>2068</v>
      </c>
      <c r="C205">
        <v>1</v>
      </c>
    </row>
    <row r="206" spans="1:3" x14ac:dyDescent="0.25">
      <c r="A206" t="s">
        <v>228</v>
      </c>
      <c r="B206" t="s">
        <v>2068</v>
      </c>
      <c r="C206">
        <v>1</v>
      </c>
    </row>
    <row r="207" spans="1:3" x14ac:dyDescent="0.25">
      <c r="A207" t="s">
        <v>665</v>
      </c>
      <c r="B207" t="s">
        <v>2068</v>
      </c>
      <c r="C207">
        <v>1</v>
      </c>
    </row>
    <row r="208" spans="1:3" x14ac:dyDescent="0.25">
      <c r="A208" t="s">
        <v>1426</v>
      </c>
      <c r="B208" t="s">
        <v>2068</v>
      </c>
      <c r="C208">
        <v>1</v>
      </c>
    </row>
    <row r="209" spans="1:3" x14ac:dyDescent="0.25">
      <c r="A209" t="s">
        <v>848</v>
      </c>
      <c r="B209" t="s">
        <v>2068</v>
      </c>
      <c r="C209">
        <v>1</v>
      </c>
    </row>
    <row r="210" spans="1:3" x14ac:dyDescent="0.25">
      <c r="A210" t="s">
        <v>1748</v>
      </c>
      <c r="B210" t="s">
        <v>2068</v>
      </c>
      <c r="C210">
        <v>1</v>
      </c>
    </row>
    <row r="211" spans="1:3" x14ac:dyDescent="0.25">
      <c r="A211" t="s">
        <v>561</v>
      </c>
      <c r="B211" t="s">
        <v>2068</v>
      </c>
      <c r="C211">
        <v>1</v>
      </c>
    </row>
    <row r="212" spans="1:3" x14ac:dyDescent="0.25">
      <c r="A212" t="s">
        <v>41</v>
      </c>
      <c r="B212" t="s">
        <v>2065</v>
      </c>
      <c r="C212">
        <v>20</v>
      </c>
    </row>
    <row r="213" spans="1:3" x14ac:dyDescent="0.25">
      <c r="A213" t="s">
        <v>138</v>
      </c>
      <c r="B213" t="s">
        <v>2065</v>
      </c>
      <c r="C213">
        <v>11</v>
      </c>
    </row>
    <row r="214" spans="1:3" x14ac:dyDescent="0.25">
      <c r="A214" t="s">
        <v>425</v>
      </c>
      <c r="B214" t="s">
        <v>2065</v>
      </c>
      <c r="C214">
        <v>10</v>
      </c>
    </row>
    <row r="215" spans="1:3" x14ac:dyDescent="0.25">
      <c r="A215" t="s">
        <v>480</v>
      </c>
      <c r="B215" t="s">
        <v>2065</v>
      </c>
      <c r="C215">
        <v>10</v>
      </c>
    </row>
    <row r="216" spans="1:3" x14ac:dyDescent="0.25">
      <c r="A216" t="s">
        <v>68</v>
      </c>
      <c r="B216" t="s">
        <v>2065</v>
      </c>
      <c r="C216">
        <v>9</v>
      </c>
    </row>
    <row r="217" spans="1:3" x14ac:dyDescent="0.25">
      <c r="A217" t="s">
        <v>0</v>
      </c>
      <c r="B217" t="s">
        <v>2065</v>
      </c>
      <c r="C217">
        <v>9</v>
      </c>
    </row>
    <row r="218" spans="1:3" x14ac:dyDescent="0.25">
      <c r="A218" t="s">
        <v>560</v>
      </c>
      <c r="B218" t="s">
        <v>2065</v>
      </c>
      <c r="C218">
        <v>7</v>
      </c>
    </row>
    <row r="219" spans="1:3" x14ac:dyDescent="0.25">
      <c r="A219" t="s">
        <v>56</v>
      </c>
      <c r="B219" t="s">
        <v>2065</v>
      </c>
      <c r="C219">
        <v>7</v>
      </c>
    </row>
    <row r="220" spans="1:3" x14ac:dyDescent="0.25">
      <c r="A220" t="s">
        <v>117</v>
      </c>
      <c r="B220" t="s">
        <v>2065</v>
      </c>
      <c r="C220">
        <v>7</v>
      </c>
    </row>
    <row r="221" spans="1:3" x14ac:dyDescent="0.25">
      <c r="A221" t="s">
        <v>591</v>
      </c>
      <c r="B221" t="s">
        <v>2065</v>
      </c>
      <c r="C221">
        <v>6</v>
      </c>
    </row>
    <row r="222" spans="1:3" x14ac:dyDescent="0.25">
      <c r="A222" t="s">
        <v>159</v>
      </c>
      <c r="B222" t="s">
        <v>2065</v>
      </c>
      <c r="C222">
        <v>6</v>
      </c>
    </row>
    <row r="223" spans="1:3" x14ac:dyDescent="0.25">
      <c r="A223" t="s">
        <v>218</v>
      </c>
      <c r="B223" t="s">
        <v>2065</v>
      </c>
      <c r="C223">
        <v>6</v>
      </c>
    </row>
    <row r="224" spans="1:3" x14ac:dyDescent="0.25">
      <c r="A224" t="s">
        <v>32</v>
      </c>
      <c r="B224" t="s">
        <v>2065</v>
      </c>
      <c r="C224">
        <v>6</v>
      </c>
    </row>
    <row r="225" spans="1:3" x14ac:dyDescent="0.25">
      <c r="A225" t="s">
        <v>6</v>
      </c>
      <c r="B225" t="s">
        <v>2065</v>
      </c>
      <c r="C225">
        <v>6</v>
      </c>
    </row>
    <row r="226" spans="1:3" x14ac:dyDescent="0.25">
      <c r="A226" t="s">
        <v>16</v>
      </c>
      <c r="B226" t="s">
        <v>2065</v>
      </c>
      <c r="C226">
        <v>6</v>
      </c>
    </row>
    <row r="227" spans="1:3" x14ac:dyDescent="0.25">
      <c r="A227" t="s">
        <v>74</v>
      </c>
      <c r="B227" t="s">
        <v>2065</v>
      </c>
      <c r="C227">
        <v>5</v>
      </c>
    </row>
    <row r="228" spans="1:3" x14ac:dyDescent="0.25">
      <c r="A228" t="s">
        <v>208</v>
      </c>
      <c r="B228" t="s">
        <v>2065</v>
      </c>
      <c r="C228">
        <v>5</v>
      </c>
    </row>
    <row r="229" spans="1:3" x14ac:dyDescent="0.25">
      <c r="A229" t="s">
        <v>4</v>
      </c>
      <c r="B229" t="s">
        <v>2065</v>
      </c>
      <c r="C229">
        <v>5</v>
      </c>
    </row>
    <row r="230" spans="1:3" x14ac:dyDescent="0.25">
      <c r="A230" t="s">
        <v>456</v>
      </c>
      <c r="B230" t="s">
        <v>2065</v>
      </c>
      <c r="C230">
        <v>5</v>
      </c>
    </row>
    <row r="231" spans="1:3" x14ac:dyDescent="0.25">
      <c r="A231" t="s">
        <v>465</v>
      </c>
      <c r="B231" t="s">
        <v>2065</v>
      </c>
      <c r="C231">
        <v>5</v>
      </c>
    </row>
    <row r="232" spans="1:3" x14ac:dyDescent="0.25">
      <c r="A232" t="s">
        <v>514</v>
      </c>
      <c r="B232" t="s">
        <v>2065</v>
      </c>
      <c r="C232">
        <v>5</v>
      </c>
    </row>
    <row r="233" spans="1:3" x14ac:dyDescent="0.25">
      <c r="A233" t="s">
        <v>161</v>
      </c>
      <c r="B233" t="s">
        <v>2065</v>
      </c>
      <c r="C233">
        <v>5</v>
      </c>
    </row>
    <row r="234" spans="1:3" x14ac:dyDescent="0.25">
      <c r="A234" t="s">
        <v>336</v>
      </c>
      <c r="B234" t="s">
        <v>2065</v>
      </c>
      <c r="C234">
        <v>5</v>
      </c>
    </row>
    <row r="235" spans="1:3" x14ac:dyDescent="0.25">
      <c r="A235" t="s">
        <v>250</v>
      </c>
      <c r="B235" t="s">
        <v>2065</v>
      </c>
      <c r="C235">
        <v>5</v>
      </c>
    </row>
    <row r="236" spans="1:3" x14ac:dyDescent="0.25">
      <c r="A236" t="s">
        <v>88</v>
      </c>
      <c r="B236" t="s">
        <v>2065</v>
      </c>
      <c r="C236">
        <v>5</v>
      </c>
    </row>
    <row r="237" spans="1:3" x14ac:dyDescent="0.25">
      <c r="A237" t="s">
        <v>63</v>
      </c>
      <c r="B237" t="s">
        <v>2065</v>
      </c>
      <c r="C237">
        <v>4</v>
      </c>
    </row>
    <row r="238" spans="1:3" x14ac:dyDescent="0.25">
      <c r="A238" t="s">
        <v>28</v>
      </c>
      <c r="B238" t="s">
        <v>2065</v>
      </c>
      <c r="C238">
        <v>4</v>
      </c>
    </row>
    <row r="239" spans="1:3" x14ac:dyDescent="0.25">
      <c r="A239" t="s">
        <v>458</v>
      </c>
      <c r="B239" t="s">
        <v>2065</v>
      </c>
      <c r="C239">
        <v>4</v>
      </c>
    </row>
    <row r="240" spans="1:3" x14ac:dyDescent="0.25">
      <c r="A240" t="s">
        <v>274</v>
      </c>
      <c r="B240" t="s">
        <v>2065</v>
      </c>
      <c r="C240">
        <v>4</v>
      </c>
    </row>
    <row r="241" spans="1:3" x14ac:dyDescent="0.25">
      <c r="A241" t="s">
        <v>46</v>
      </c>
      <c r="B241" t="s">
        <v>2065</v>
      </c>
      <c r="C241">
        <v>4</v>
      </c>
    </row>
    <row r="242" spans="1:3" x14ac:dyDescent="0.25">
      <c r="A242" t="s">
        <v>252</v>
      </c>
      <c r="B242" t="s">
        <v>2065</v>
      </c>
      <c r="C242">
        <v>4</v>
      </c>
    </row>
    <row r="243" spans="1:3" x14ac:dyDescent="0.25">
      <c r="A243" t="s">
        <v>345</v>
      </c>
      <c r="B243" t="s">
        <v>2065</v>
      </c>
      <c r="C243">
        <v>4</v>
      </c>
    </row>
    <row r="244" spans="1:3" x14ac:dyDescent="0.25">
      <c r="A244" t="s">
        <v>123</v>
      </c>
      <c r="B244" t="s">
        <v>2065</v>
      </c>
      <c r="C244">
        <v>4</v>
      </c>
    </row>
    <row r="245" spans="1:3" x14ac:dyDescent="0.25">
      <c r="A245" t="s">
        <v>60</v>
      </c>
      <c r="B245" t="s">
        <v>2065</v>
      </c>
      <c r="C245">
        <v>4</v>
      </c>
    </row>
    <row r="246" spans="1:3" x14ac:dyDescent="0.25">
      <c r="A246" t="s">
        <v>611</v>
      </c>
      <c r="B246" t="s">
        <v>2065</v>
      </c>
      <c r="C246">
        <v>4</v>
      </c>
    </row>
    <row r="247" spans="1:3" x14ac:dyDescent="0.25">
      <c r="A247" t="s">
        <v>698</v>
      </c>
      <c r="B247" t="s">
        <v>2065</v>
      </c>
      <c r="C247">
        <v>4</v>
      </c>
    </row>
    <row r="248" spans="1:3" x14ac:dyDescent="0.25">
      <c r="A248" t="s">
        <v>717</v>
      </c>
      <c r="B248" t="s">
        <v>2065</v>
      </c>
      <c r="C248">
        <v>4</v>
      </c>
    </row>
    <row r="249" spans="1:3" x14ac:dyDescent="0.25">
      <c r="A249" t="s">
        <v>739</v>
      </c>
      <c r="B249" t="s">
        <v>2065</v>
      </c>
      <c r="C249">
        <v>4</v>
      </c>
    </row>
    <row r="250" spans="1:3" x14ac:dyDescent="0.25">
      <c r="A250" t="s">
        <v>2051</v>
      </c>
      <c r="B250" t="s">
        <v>2065</v>
      </c>
      <c r="C250">
        <v>4</v>
      </c>
    </row>
    <row r="251" spans="1:3" x14ac:dyDescent="0.25">
      <c r="A251" t="s">
        <v>9</v>
      </c>
      <c r="B251" t="s">
        <v>2065</v>
      </c>
      <c r="C251">
        <v>3</v>
      </c>
    </row>
    <row r="252" spans="1:3" x14ac:dyDescent="0.25">
      <c r="A252" t="s">
        <v>201</v>
      </c>
      <c r="B252" t="s">
        <v>2065</v>
      </c>
      <c r="C252">
        <v>3</v>
      </c>
    </row>
    <row r="253" spans="1:3" x14ac:dyDescent="0.25">
      <c r="A253" t="s">
        <v>324</v>
      </c>
      <c r="B253" t="s">
        <v>2065</v>
      </c>
      <c r="C253">
        <v>3</v>
      </c>
    </row>
    <row r="254" spans="1:3" x14ac:dyDescent="0.25">
      <c r="A254" t="s">
        <v>626</v>
      </c>
      <c r="B254" t="s">
        <v>2065</v>
      </c>
      <c r="C254">
        <v>3</v>
      </c>
    </row>
    <row r="255" spans="1:3" x14ac:dyDescent="0.25">
      <c r="A255" t="s">
        <v>187</v>
      </c>
      <c r="B255" t="s">
        <v>2065</v>
      </c>
      <c r="C255">
        <v>3</v>
      </c>
    </row>
    <row r="256" spans="1:3" x14ac:dyDescent="0.25">
      <c r="A256" t="s">
        <v>2039</v>
      </c>
      <c r="B256" t="s">
        <v>2065</v>
      </c>
      <c r="C256">
        <v>3</v>
      </c>
    </row>
    <row r="257" spans="1:3" x14ac:dyDescent="0.25">
      <c r="A257" t="s">
        <v>119</v>
      </c>
      <c r="B257" t="s">
        <v>2065</v>
      </c>
      <c r="C257">
        <v>3</v>
      </c>
    </row>
    <row r="258" spans="1:3" x14ac:dyDescent="0.25">
      <c r="A258" t="s">
        <v>339</v>
      </c>
      <c r="B258" t="s">
        <v>2065</v>
      </c>
      <c r="C258">
        <v>3</v>
      </c>
    </row>
    <row r="259" spans="1:3" x14ac:dyDescent="0.25">
      <c r="A259" t="s">
        <v>115</v>
      </c>
      <c r="B259" t="s">
        <v>2065</v>
      </c>
      <c r="C259">
        <v>3</v>
      </c>
    </row>
    <row r="260" spans="1:3" x14ac:dyDescent="0.25">
      <c r="A260" t="s">
        <v>474</v>
      </c>
      <c r="B260" t="s">
        <v>2065</v>
      </c>
      <c r="C260">
        <v>3</v>
      </c>
    </row>
    <row r="261" spans="1:3" x14ac:dyDescent="0.25">
      <c r="A261" t="s">
        <v>107</v>
      </c>
      <c r="B261" t="s">
        <v>2065</v>
      </c>
      <c r="C261">
        <v>3</v>
      </c>
    </row>
    <row r="262" spans="1:3" x14ac:dyDescent="0.25">
      <c r="A262" t="s">
        <v>511</v>
      </c>
      <c r="B262" t="s">
        <v>2065</v>
      </c>
      <c r="C262">
        <v>3</v>
      </c>
    </row>
    <row r="263" spans="1:3" x14ac:dyDescent="0.25">
      <c r="A263" t="s">
        <v>297</v>
      </c>
      <c r="B263" t="s">
        <v>2065</v>
      </c>
      <c r="C263">
        <v>3</v>
      </c>
    </row>
    <row r="264" spans="1:3" x14ac:dyDescent="0.25">
      <c r="A264" t="s">
        <v>580</v>
      </c>
      <c r="B264" t="s">
        <v>2065</v>
      </c>
      <c r="C264">
        <v>3</v>
      </c>
    </row>
    <row r="265" spans="1:3" x14ac:dyDescent="0.25">
      <c r="A265" t="s">
        <v>582</v>
      </c>
      <c r="B265" t="s">
        <v>2065</v>
      </c>
      <c r="C265">
        <v>3</v>
      </c>
    </row>
    <row r="266" spans="1:3" x14ac:dyDescent="0.25">
      <c r="A266" t="s">
        <v>43</v>
      </c>
      <c r="B266" t="s">
        <v>2065</v>
      </c>
      <c r="C266">
        <v>3</v>
      </c>
    </row>
    <row r="267" spans="1:3" x14ac:dyDescent="0.25">
      <c r="A267" t="s">
        <v>593</v>
      </c>
      <c r="B267" t="s">
        <v>2065</v>
      </c>
      <c r="C267">
        <v>3</v>
      </c>
    </row>
    <row r="268" spans="1:3" x14ac:dyDescent="0.25">
      <c r="A268" t="s">
        <v>129</v>
      </c>
      <c r="B268" t="s">
        <v>2065</v>
      </c>
      <c r="C268">
        <v>3</v>
      </c>
    </row>
    <row r="269" spans="1:3" x14ac:dyDescent="0.25">
      <c r="A269" t="s">
        <v>712</v>
      </c>
      <c r="B269" t="s">
        <v>2065</v>
      </c>
      <c r="C269">
        <v>3</v>
      </c>
    </row>
    <row r="270" spans="1:3" x14ac:dyDescent="0.25">
      <c r="A270" t="s">
        <v>729</v>
      </c>
      <c r="B270" t="s">
        <v>2065</v>
      </c>
      <c r="C270">
        <v>3</v>
      </c>
    </row>
    <row r="271" spans="1:3" x14ac:dyDescent="0.25">
      <c r="A271" t="s">
        <v>429</v>
      </c>
      <c r="B271" t="s">
        <v>2065</v>
      </c>
      <c r="C271">
        <v>2</v>
      </c>
    </row>
    <row r="272" spans="1:3" x14ac:dyDescent="0.25">
      <c r="A272" t="s">
        <v>431</v>
      </c>
      <c r="B272" t="s">
        <v>2065</v>
      </c>
      <c r="C272">
        <v>2</v>
      </c>
    </row>
    <row r="273" spans="1:3" x14ac:dyDescent="0.25">
      <c r="A273" t="s">
        <v>26</v>
      </c>
      <c r="B273" t="s">
        <v>2065</v>
      </c>
      <c r="C273">
        <v>2</v>
      </c>
    </row>
    <row r="274" spans="1:3" x14ac:dyDescent="0.25">
      <c r="A274" t="s">
        <v>113</v>
      </c>
      <c r="B274" t="s">
        <v>2065</v>
      </c>
      <c r="C274">
        <v>2</v>
      </c>
    </row>
    <row r="275" spans="1:3" x14ac:dyDescent="0.25">
      <c r="A275" t="s">
        <v>30</v>
      </c>
      <c r="B275" t="s">
        <v>2065</v>
      </c>
      <c r="C275">
        <v>2</v>
      </c>
    </row>
    <row r="276" spans="1:3" x14ac:dyDescent="0.25">
      <c r="A276" t="s">
        <v>65</v>
      </c>
      <c r="B276" t="s">
        <v>2065</v>
      </c>
      <c r="C276">
        <v>2</v>
      </c>
    </row>
    <row r="277" spans="1:3" x14ac:dyDescent="0.25">
      <c r="A277" t="s">
        <v>103</v>
      </c>
      <c r="B277" t="s">
        <v>2065</v>
      </c>
      <c r="C277">
        <v>2</v>
      </c>
    </row>
    <row r="278" spans="1:3" x14ac:dyDescent="0.25">
      <c r="A278" t="s">
        <v>484</v>
      </c>
      <c r="B278" t="s">
        <v>2065</v>
      </c>
      <c r="C278">
        <v>2</v>
      </c>
    </row>
    <row r="279" spans="1:3" x14ac:dyDescent="0.25">
      <c r="A279" t="s">
        <v>144</v>
      </c>
      <c r="B279" t="s">
        <v>2065</v>
      </c>
      <c r="C279">
        <v>2</v>
      </c>
    </row>
    <row r="280" spans="1:3" x14ac:dyDescent="0.25">
      <c r="A280" t="s">
        <v>237</v>
      </c>
      <c r="B280" t="s">
        <v>2065</v>
      </c>
      <c r="C280">
        <v>2</v>
      </c>
    </row>
    <row r="281" spans="1:3" x14ac:dyDescent="0.25">
      <c r="A281" t="s">
        <v>490</v>
      </c>
      <c r="B281" t="s">
        <v>2065</v>
      </c>
      <c r="C281">
        <v>2</v>
      </c>
    </row>
    <row r="282" spans="1:3" x14ac:dyDescent="0.25">
      <c r="A282" t="s">
        <v>493</v>
      </c>
      <c r="B282" t="s">
        <v>2065</v>
      </c>
      <c r="C282">
        <v>2</v>
      </c>
    </row>
    <row r="283" spans="1:3" x14ac:dyDescent="0.25">
      <c r="A283" t="s">
        <v>500</v>
      </c>
      <c r="B283" t="s">
        <v>2065</v>
      </c>
      <c r="C283">
        <v>2</v>
      </c>
    </row>
    <row r="284" spans="1:3" x14ac:dyDescent="0.25">
      <c r="A284" t="s">
        <v>503</v>
      </c>
      <c r="B284" t="s">
        <v>2065</v>
      </c>
      <c r="C284">
        <v>2</v>
      </c>
    </row>
    <row r="285" spans="1:3" x14ac:dyDescent="0.25">
      <c r="A285" t="s">
        <v>153</v>
      </c>
      <c r="B285" t="s">
        <v>2065</v>
      </c>
      <c r="C285">
        <v>2</v>
      </c>
    </row>
    <row r="286" spans="1:3" x14ac:dyDescent="0.25">
      <c r="A286" t="s">
        <v>548</v>
      </c>
      <c r="B286" t="s">
        <v>2065</v>
      </c>
      <c r="C286">
        <v>2</v>
      </c>
    </row>
    <row r="287" spans="1:3" x14ac:dyDescent="0.25">
      <c r="A287" t="s">
        <v>550</v>
      </c>
      <c r="B287" t="s">
        <v>2065</v>
      </c>
      <c r="C287">
        <v>2</v>
      </c>
    </row>
    <row r="288" spans="1:3" x14ac:dyDescent="0.25">
      <c r="A288" t="s">
        <v>276</v>
      </c>
      <c r="B288" t="s">
        <v>2065</v>
      </c>
      <c r="C288">
        <v>2</v>
      </c>
    </row>
    <row r="289" spans="1:3" x14ac:dyDescent="0.25">
      <c r="A289" t="s">
        <v>555</v>
      </c>
      <c r="B289" t="s">
        <v>2065</v>
      </c>
      <c r="C289">
        <v>2</v>
      </c>
    </row>
    <row r="290" spans="1:3" x14ac:dyDescent="0.25">
      <c r="A290" t="s">
        <v>54</v>
      </c>
      <c r="B290" t="s">
        <v>2065</v>
      </c>
      <c r="C290">
        <v>2</v>
      </c>
    </row>
    <row r="291" spans="1:3" x14ac:dyDescent="0.25">
      <c r="A291" t="s">
        <v>152</v>
      </c>
      <c r="B291" t="s">
        <v>2065</v>
      </c>
      <c r="C291">
        <v>2</v>
      </c>
    </row>
    <row r="292" spans="1:3" x14ac:dyDescent="0.25">
      <c r="A292" t="s">
        <v>58</v>
      </c>
      <c r="B292" t="s">
        <v>2065</v>
      </c>
      <c r="C292">
        <v>2</v>
      </c>
    </row>
    <row r="293" spans="1:3" x14ac:dyDescent="0.25">
      <c r="A293" t="s">
        <v>637</v>
      </c>
      <c r="B293" t="s">
        <v>2065</v>
      </c>
      <c r="C293">
        <v>2</v>
      </c>
    </row>
    <row r="294" spans="1:3" x14ac:dyDescent="0.25">
      <c r="A294" t="s">
        <v>649</v>
      </c>
      <c r="B294" t="s">
        <v>2065</v>
      </c>
      <c r="C294">
        <v>2</v>
      </c>
    </row>
    <row r="295" spans="1:3" x14ac:dyDescent="0.25">
      <c r="A295" t="s">
        <v>674</v>
      </c>
      <c r="B295" t="s">
        <v>2065</v>
      </c>
      <c r="C295">
        <v>2</v>
      </c>
    </row>
    <row r="296" spans="1:3" x14ac:dyDescent="0.25">
      <c r="A296" t="s">
        <v>688</v>
      </c>
      <c r="B296" t="s">
        <v>2065</v>
      </c>
      <c r="C296">
        <v>2</v>
      </c>
    </row>
    <row r="297" spans="1:3" x14ac:dyDescent="0.25">
      <c r="A297" t="s">
        <v>702</v>
      </c>
      <c r="B297" t="s">
        <v>2065</v>
      </c>
      <c r="C297">
        <v>2</v>
      </c>
    </row>
    <row r="298" spans="1:3" x14ac:dyDescent="0.25">
      <c r="A298" t="s">
        <v>84</v>
      </c>
      <c r="B298" t="s">
        <v>2065</v>
      </c>
      <c r="C298">
        <v>2</v>
      </c>
    </row>
    <row r="299" spans="1:3" x14ac:dyDescent="0.25">
      <c r="A299" t="s">
        <v>721</v>
      </c>
      <c r="B299" t="s">
        <v>2065</v>
      </c>
      <c r="C299">
        <v>2</v>
      </c>
    </row>
    <row r="300" spans="1:3" x14ac:dyDescent="0.25">
      <c r="A300" t="s">
        <v>782</v>
      </c>
      <c r="B300" t="s">
        <v>2065</v>
      </c>
      <c r="C300">
        <v>2</v>
      </c>
    </row>
    <row r="301" spans="1:3" x14ac:dyDescent="0.25">
      <c r="A301" t="s">
        <v>80</v>
      </c>
      <c r="B301" t="s">
        <v>2065</v>
      </c>
      <c r="C301">
        <v>2</v>
      </c>
    </row>
    <row r="302" spans="1:3" x14ac:dyDescent="0.25">
      <c r="A302" t="s">
        <v>844</v>
      </c>
      <c r="B302" t="s">
        <v>2065</v>
      </c>
      <c r="C302">
        <v>2</v>
      </c>
    </row>
    <row r="303" spans="1:3" x14ac:dyDescent="0.25">
      <c r="A303" t="s">
        <v>433</v>
      </c>
      <c r="B303" t="s">
        <v>2065</v>
      </c>
      <c r="C303">
        <v>1</v>
      </c>
    </row>
    <row r="304" spans="1:3" x14ac:dyDescent="0.25">
      <c r="A304" t="s">
        <v>440</v>
      </c>
      <c r="B304" t="s">
        <v>2065</v>
      </c>
      <c r="C304">
        <v>1</v>
      </c>
    </row>
    <row r="305" spans="1:3" x14ac:dyDescent="0.25">
      <c r="A305" t="s">
        <v>444</v>
      </c>
      <c r="B305" t="s">
        <v>2065</v>
      </c>
      <c r="C305">
        <v>1</v>
      </c>
    </row>
    <row r="306" spans="1:3" x14ac:dyDescent="0.25">
      <c r="A306" t="s">
        <v>446</v>
      </c>
      <c r="B306" t="s">
        <v>2065</v>
      </c>
      <c r="C306">
        <v>1</v>
      </c>
    </row>
    <row r="307" spans="1:3" x14ac:dyDescent="0.25">
      <c r="A307" t="s">
        <v>450</v>
      </c>
      <c r="B307" t="s">
        <v>2065</v>
      </c>
      <c r="C307">
        <v>1</v>
      </c>
    </row>
    <row r="308" spans="1:3" x14ac:dyDescent="0.25">
      <c r="A308" t="s">
        <v>48</v>
      </c>
      <c r="B308" t="s">
        <v>2065</v>
      </c>
      <c r="C308">
        <v>1</v>
      </c>
    </row>
    <row r="309" spans="1:3" x14ac:dyDescent="0.25">
      <c r="A309" t="s">
        <v>467</v>
      </c>
      <c r="B309" t="s">
        <v>2065</v>
      </c>
      <c r="C309">
        <v>1</v>
      </c>
    </row>
    <row r="310" spans="1:3" x14ac:dyDescent="0.25">
      <c r="A310" t="s">
        <v>469</v>
      </c>
      <c r="B310" t="s">
        <v>2065</v>
      </c>
      <c r="C310">
        <v>1</v>
      </c>
    </row>
    <row r="311" spans="1:3" x14ac:dyDescent="0.25">
      <c r="A311" t="s">
        <v>2038</v>
      </c>
      <c r="B311" t="s">
        <v>2065</v>
      </c>
      <c r="C311">
        <v>1</v>
      </c>
    </row>
    <row r="312" spans="1:3" x14ac:dyDescent="0.25">
      <c r="A312" t="s">
        <v>479</v>
      </c>
      <c r="B312" t="s">
        <v>2065</v>
      </c>
      <c r="C312">
        <v>1</v>
      </c>
    </row>
    <row r="313" spans="1:3" x14ac:dyDescent="0.25">
      <c r="A313" t="s">
        <v>482</v>
      </c>
      <c r="B313" t="s">
        <v>2065</v>
      </c>
      <c r="C313">
        <v>1</v>
      </c>
    </row>
    <row r="314" spans="1:3" x14ac:dyDescent="0.25">
      <c r="A314" t="s">
        <v>495</v>
      </c>
      <c r="B314" t="s">
        <v>2065</v>
      </c>
      <c r="C314">
        <v>1</v>
      </c>
    </row>
    <row r="315" spans="1:3" x14ac:dyDescent="0.25">
      <c r="A315" t="s">
        <v>506</v>
      </c>
      <c r="B315" t="s">
        <v>2065</v>
      </c>
      <c r="C315">
        <v>1</v>
      </c>
    </row>
    <row r="316" spans="1:3" x14ac:dyDescent="0.25">
      <c r="A316" t="s">
        <v>14</v>
      </c>
      <c r="B316" t="s">
        <v>2065</v>
      </c>
      <c r="C316">
        <v>1</v>
      </c>
    </row>
    <row r="317" spans="1:3" x14ac:dyDescent="0.25">
      <c r="A317" t="s">
        <v>379</v>
      </c>
      <c r="B317" t="s">
        <v>2065</v>
      </c>
      <c r="C317">
        <v>1</v>
      </c>
    </row>
    <row r="318" spans="1:3" x14ac:dyDescent="0.25">
      <c r="A318" t="s">
        <v>518</v>
      </c>
      <c r="B318" t="s">
        <v>2065</v>
      </c>
      <c r="C318">
        <v>1</v>
      </c>
    </row>
    <row r="319" spans="1:3" x14ac:dyDescent="0.25">
      <c r="A319" t="s">
        <v>520</v>
      </c>
      <c r="B319" t="s">
        <v>2065</v>
      </c>
      <c r="C319">
        <v>1</v>
      </c>
    </row>
    <row r="320" spans="1:3" x14ac:dyDescent="0.25">
      <c r="A320" t="s">
        <v>90</v>
      </c>
      <c r="B320" t="s">
        <v>2065</v>
      </c>
      <c r="C320">
        <v>1</v>
      </c>
    </row>
    <row r="321" spans="1:3" x14ac:dyDescent="0.25">
      <c r="A321" t="s">
        <v>531</v>
      </c>
      <c r="B321" t="s">
        <v>2065</v>
      </c>
      <c r="C321">
        <v>1</v>
      </c>
    </row>
    <row r="322" spans="1:3" x14ac:dyDescent="0.25">
      <c r="A322" t="s">
        <v>536</v>
      </c>
      <c r="B322" t="s">
        <v>2065</v>
      </c>
      <c r="C322">
        <v>1</v>
      </c>
    </row>
    <row r="323" spans="1:3" x14ac:dyDescent="0.25">
      <c r="A323" t="s">
        <v>538</v>
      </c>
      <c r="B323" t="s">
        <v>2065</v>
      </c>
      <c r="C323">
        <v>1</v>
      </c>
    </row>
    <row r="324" spans="1:3" x14ac:dyDescent="0.25">
      <c r="A324" t="s">
        <v>991</v>
      </c>
      <c r="B324" t="s">
        <v>2065</v>
      </c>
      <c r="C324">
        <v>1</v>
      </c>
    </row>
    <row r="325" spans="1:3" x14ac:dyDescent="0.25">
      <c r="A325" t="s">
        <v>541</v>
      </c>
      <c r="B325" t="s">
        <v>2065</v>
      </c>
      <c r="C325">
        <v>1</v>
      </c>
    </row>
    <row r="326" spans="1:3" x14ac:dyDescent="0.25">
      <c r="A326" t="s">
        <v>543</v>
      </c>
      <c r="B326" t="s">
        <v>2065</v>
      </c>
      <c r="C326">
        <v>1</v>
      </c>
    </row>
    <row r="327" spans="1:3" x14ac:dyDescent="0.25">
      <c r="A327" t="s">
        <v>545</v>
      </c>
      <c r="B327" t="s">
        <v>2065</v>
      </c>
      <c r="C327">
        <v>1</v>
      </c>
    </row>
    <row r="328" spans="1:3" x14ac:dyDescent="0.25">
      <c r="A328" t="s">
        <v>147</v>
      </c>
      <c r="B328" t="s">
        <v>2065</v>
      </c>
      <c r="C328">
        <v>1</v>
      </c>
    </row>
    <row r="329" spans="1:3" x14ac:dyDescent="0.25">
      <c r="A329" t="s">
        <v>163</v>
      </c>
      <c r="B329" t="s">
        <v>2065</v>
      </c>
      <c r="C329">
        <v>1</v>
      </c>
    </row>
    <row r="330" spans="1:3" x14ac:dyDescent="0.25">
      <c r="A330" t="s">
        <v>561</v>
      </c>
      <c r="B330" t="s">
        <v>2065</v>
      </c>
      <c r="C330">
        <v>1</v>
      </c>
    </row>
    <row r="331" spans="1:3" x14ac:dyDescent="0.25">
      <c r="A331" t="s">
        <v>558</v>
      </c>
      <c r="B331" t="s">
        <v>2065</v>
      </c>
      <c r="C331">
        <v>1</v>
      </c>
    </row>
    <row r="332" spans="1:3" x14ac:dyDescent="0.25">
      <c r="A332" t="s">
        <v>564</v>
      </c>
      <c r="B332" t="s">
        <v>2065</v>
      </c>
      <c r="C332">
        <v>1</v>
      </c>
    </row>
    <row r="333" spans="1:3" x14ac:dyDescent="0.25">
      <c r="A333" t="s">
        <v>578</v>
      </c>
      <c r="B333" t="s">
        <v>2065</v>
      </c>
      <c r="C333">
        <v>1</v>
      </c>
    </row>
    <row r="334" spans="1:3" x14ac:dyDescent="0.25">
      <c r="A334" t="s">
        <v>576</v>
      </c>
      <c r="B334" t="s">
        <v>2065</v>
      </c>
      <c r="C334">
        <v>1</v>
      </c>
    </row>
    <row r="335" spans="1:3" x14ac:dyDescent="0.25">
      <c r="A335" t="s">
        <v>306</v>
      </c>
      <c r="B335" t="s">
        <v>2065</v>
      </c>
      <c r="C335">
        <v>1</v>
      </c>
    </row>
    <row r="336" spans="1:3" x14ac:dyDescent="0.25">
      <c r="A336" t="s">
        <v>572</v>
      </c>
      <c r="B336" t="s">
        <v>2065</v>
      </c>
      <c r="C336">
        <v>1</v>
      </c>
    </row>
    <row r="337" spans="1:3" x14ac:dyDescent="0.25">
      <c r="A337" t="s">
        <v>575</v>
      </c>
      <c r="B337" t="s">
        <v>2065</v>
      </c>
      <c r="C337">
        <v>1</v>
      </c>
    </row>
    <row r="338" spans="1:3" x14ac:dyDescent="0.25">
      <c r="A338" t="s">
        <v>586</v>
      </c>
      <c r="B338" t="s">
        <v>2065</v>
      </c>
      <c r="C338">
        <v>1</v>
      </c>
    </row>
    <row r="339" spans="1:3" x14ac:dyDescent="0.25">
      <c r="A339" t="s">
        <v>592</v>
      </c>
      <c r="B339" t="s">
        <v>2065</v>
      </c>
      <c r="C339">
        <v>1</v>
      </c>
    </row>
    <row r="340" spans="1:3" x14ac:dyDescent="0.25">
      <c r="A340" t="s">
        <v>204</v>
      </c>
      <c r="B340" t="s">
        <v>2065</v>
      </c>
      <c r="C340">
        <v>1</v>
      </c>
    </row>
    <row r="341" spans="1:3" x14ac:dyDescent="0.25">
      <c r="A341" t="s">
        <v>614</v>
      </c>
      <c r="B341" t="s">
        <v>2065</v>
      </c>
      <c r="C341">
        <v>1</v>
      </c>
    </row>
    <row r="342" spans="1:3" x14ac:dyDescent="0.25">
      <c r="A342" t="s">
        <v>616</v>
      </c>
      <c r="B342" t="s">
        <v>2065</v>
      </c>
      <c r="C342">
        <v>1</v>
      </c>
    </row>
    <row r="343" spans="1:3" x14ac:dyDescent="0.25">
      <c r="A343">
        <v>0</v>
      </c>
      <c r="B343" t="s">
        <v>2065</v>
      </c>
      <c r="C343">
        <v>1</v>
      </c>
    </row>
    <row r="344" spans="1:3" x14ac:dyDescent="0.25">
      <c r="A344" t="s">
        <v>373</v>
      </c>
      <c r="B344" t="s">
        <v>2065</v>
      </c>
      <c r="C344">
        <v>1</v>
      </c>
    </row>
    <row r="345" spans="1:3" x14ac:dyDescent="0.25">
      <c r="A345" t="s">
        <v>622</v>
      </c>
      <c r="B345" t="s">
        <v>2065</v>
      </c>
      <c r="C345">
        <v>1</v>
      </c>
    </row>
    <row r="346" spans="1:3" x14ac:dyDescent="0.25">
      <c r="A346" t="s">
        <v>624</v>
      </c>
      <c r="B346" t="s">
        <v>2065</v>
      </c>
      <c r="C346">
        <v>1</v>
      </c>
    </row>
    <row r="347" spans="1:3" x14ac:dyDescent="0.25">
      <c r="A347" t="s">
        <v>293</v>
      </c>
      <c r="B347" t="s">
        <v>2065</v>
      </c>
      <c r="C347">
        <v>1</v>
      </c>
    </row>
    <row r="348" spans="1:3" x14ac:dyDescent="0.25">
      <c r="A348" t="s">
        <v>629</v>
      </c>
      <c r="B348" t="s">
        <v>2065</v>
      </c>
      <c r="C348">
        <v>1</v>
      </c>
    </row>
    <row r="349" spans="1:3" x14ac:dyDescent="0.25">
      <c r="A349" t="s">
        <v>631</v>
      </c>
      <c r="B349" t="s">
        <v>2065</v>
      </c>
      <c r="C349">
        <v>1</v>
      </c>
    </row>
    <row r="350" spans="1:3" x14ac:dyDescent="0.25">
      <c r="A350" t="s">
        <v>143</v>
      </c>
      <c r="B350" t="s">
        <v>2065</v>
      </c>
      <c r="C350">
        <v>1</v>
      </c>
    </row>
    <row r="351" spans="1:3" x14ac:dyDescent="0.25">
      <c r="A351" t="s">
        <v>635</v>
      </c>
      <c r="B351" t="s">
        <v>2065</v>
      </c>
      <c r="C351">
        <v>1</v>
      </c>
    </row>
    <row r="352" spans="1:3" x14ac:dyDescent="0.25">
      <c r="A352" t="s">
        <v>253</v>
      </c>
      <c r="B352" t="s">
        <v>2065</v>
      </c>
      <c r="C352">
        <v>1</v>
      </c>
    </row>
    <row r="353" spans="1:3" x14ac:dyDescent="0.25">
      <c r="A353" t="s">
        <v>640</v>
      </c>
      <c r="B353" t="s">
        <v>2065</v>
      </c>
      <c r="C353">
        <v>1</v>
      </c>
    </row>
    <row r="354" spans="1:3" x14ac:dyDescent="0.25">
      <c r="A354" t="s">
        <v>311</v>
      </c>
      <c r="B354" t="s">
        <v>2065</v>
      </c>
      <c r="C354">
        <v>1</v>
      </c>
    </row>
    <row r="355" spans="1:3" x14ac:dyDescent="0.25">
      <c r="A355" t="s">
        <v>648</v>
      </c>
      <c r="B355" t="s">
        <v>2065</v>
      </c>
      <c r="C355">
        <v>1</v>
      </c>
    </row>
    <row r="356" spans="1:3" x14ac:dyDescent="0.25">
      <c r="A356" t="s">
        <v>652</v>
      </c>
      <c r="B356" t="s">
        <v>2065</v>
      </c>
      <c r="C356">
        <v>1</v>
      </c>
    </row>
    <row r="357" spans="1:3" x14ac:dyDescent="0.25">
      <c r="A357" t="s">
        <v>653</v>
      </c>
      <c r="B357" t="s">
        <v>2065</v>
      </c>
      <c r="C357">
        <v>1</v>
      </c>
    </row>
    <row r="358" spans="1:3" x14ac:dyDescent="0.25">
      <c r="A358" t="s">
        <v>654</v>
      </c>
      <c r="B358" t="s">
        <v>2065</v>
      </c>
      <c r="C358">
        <v>1</v>
      </c>
    </row>
    <row r="359" spans="1:3" x14ac:dyDescent="0.25">
      <c r="A359" t="s">
        <v>656</v>
      </c>
      <c r="B359" t="s">
        <v>2065</v>
      </c>
      <c r="C359">
        <v>1</v>
      </c>
    </row>
    <row r="360" spans="1:3" x14ac:dyDescent="0.25">
      <c r="A360" t="s">
        <v>658</v>
      </c>
      <c r="B360" t="s">
        <v>2065</v>
      </c>
      <c r="C360">
        <v>1</v>
      </c>
    </row>
    <row r="361" spans="1:3" x14ac:dyDescent="0.25">
      <c r="A361" t="s">
        <v>661</v>
      </c>
      <c r="B361" t="s">
        <v>2065</v>
      </c>
      <c r="C361">
        <v>1</v>
      </c>
    </row>
    <row r="362" spans="1:3" x14ac:dyDescent="0.25">
      <c r="A362" t="s">
        <v>663</v>
      </c>
      <c r="B362" t="s">
        <v>2065</v>
      </c>
      <c r="C362">
        <v>1</v>
      </c>
    </row>
    <row r="363" spans="1:3" x14ac:dyDescent="0.25">
      <c r="A363" t="s">
        <v>665</v>
      </c>
      <c r="B363" t="s">
        <v>2065</v>
      </c>
      <c r="C363">
        <v>1</v>
      </c>
    </row>
    <row r="364" spans="1:3" x14ac:dyDescent="0.25">
      <c r="A364" t="s">
        <v>167</v>
      </c>
      <c r="B364" t="s">
        <v>2065</v>
      </c>
      <c r="C364">
        <v>1</v>
      </c>
    </row>
    <row r="365" spans="1:3" x14ac:dyDescent="0.25">
      <c r="A365" t="s">
        <v>670</v>
      </c>
      <c r="B365" t="s">
        <v>2065</v>
      </c>
      <c r="C365">
        <v>1</v>
      </c>
    </row>
    <row r="366" spans="1:3" x14ac:dyDescent="0.25">
      <c r="A366" t="s">
        <v>1218</v>
      </c>
      <c r="B366" t="s">
        <v>2065</v>
      </c>
      <c r="C366">
        <v>1</v>
      </c>
    </row>
    <row r="367" spans="1:3" x14ac:dyDescent="0.25">
      <c r="A367" t="s">
        <v>214</v>
      </c>
      <c r="B367" t="s">
        <v>2065</v>
      </c>
      <c r="C367">
        <v>1</v>
      </c>
    </row>
    <row r="368" spans="1:3" x14ac:dyDescent="0.25">
      <c r="A368" t="s">
        <v>292</v>
      </c>
      <c r="B368" t="s">
        <v>2065</v>
      </c>
      <c r="C368">
        <v>1</v>
      </c>
    </row>
    <row r="369" spans="1:3" x14ac:dyDescent="0.25">
      <c r="A369" t="s">
        <v>679</v>
      </c>
      <c r="B369" t="s">
        <v>2065</v>
      </c>
      <c r="C369">
        <v>1</v>
      </c>
    </row>
    <row r="370" spans="1:3" x14ac:dyDescent="0.25">
      <c r="A370" t="s">
        <v>687</v>
      </c>
      <c r="B370" t="s">
        <v>2065</v>
      </c>
      <c r="C370">
        <v>1</v>
      </c>
    </row>
    <row r="371" spans="1:3" x14ac:dyDescent="0.25">
      <c r="A371" t="s">
        <v>70</v>
      </c>
      <c r="B371" t="s">
        <v>2065</v>
      </c>
      <c r="C371">
        <v>1</v>
      </c>
    </row>
    <row r="372" spans="1:3" x14ac:dyDescent="0.25">
      <c r="A372" t="s">
        <v>72</v>
      </c>
      <c r="B372" t="s">
        <v>2065</v>
      </c>
      <c r="C372">
        <v>1</v>
      </c>
    </row>
    <row r="373" spans="1:3" x14ac:dyDescent="0.25">
      <c r="A373" t="s">
        <v>694</v>
      </c>
      <c r="B373" t="s">
        <v>2065</v>
      </c>
      <c r="C373">
        <v>1</v>
      </c>
    </row>
    <row r="374" spans="1:3" x14ac:dyDescent="0.25">
      <c r="A374" t="s">
        <v>695</v>
      </c>
      <c r="B374" t="s">
        <v>2065</v>
      </c>
      <c r="C374">
        <v>1</v>
      </c>
    </row>
    <row r="375" spans="1:3" x14ac:dyDescent="0.25">
      <c r="A375" t="s">
        <v>699</v>
      </c>
      <c r="B375" t="s">
        <v>2065</v>
      </c>
      <c r="C375">
        <v>1</v>
      </c>
    </row>
    <row r="376" spans="1:3" x14ac:dyDescent="0.25">
      <c r="A376" t="s">
        <v>707</v>
      </c>
      <c r="B376" t="s">
        <v>2065</v>
      </c>
      <c r="C376">
        <v>1</v>
      </c>
    </row>
    <row r="377" spans="1:3" x14ac:dyDescent="0.25">
      <c r="A377" t="s">
        <v>206</v>
      </c>
      <c r="B377" t="s">
        <v>2065</v>
      </c>
      <c r="C377">
        <v>1</v>
      </c>
    </row>
    <row r="378" spans="1:3" x14ac:dyDescent="0.25">
      <c r="A378" t="s">
        <v>714</v>
      </c>
      <c r="B378" t="s">
        <v>2065</v>
      </c>
      <c r="C378">
        <v>1</v>
      </c>
    </row>
    <row r="379" spans="1:3" x14ac:dyDescent="0.25">
      <c r="A379" t="s">
        <v>356</v>
      </c>
      <c r="B379" t="s">
        <v>2065</v>
      </c>
      <c r="C379">
        <v>1</v>
      </c>
    </row>
    <row r="380" spans="1:3" x14ac:dyDescent="0.25">
      <c r="A380" t="s">
        <v>165</v>
      </c>
      <c r="B380" t="s">
        <v>2065</v>
      </c>
      <c r="C380">
        <v>1</v>
      </c>
    </row>
    <row r="381" spans="1:3" x14ac:dyDescent="0.25">
      <c r="A381" t="s">
        <v>724</v>
      </c>
      <c r="B381" t="s">
        <v>2065</v>
      </c>
      <c r="C381">
        <v>1</v>
      </c>
    </row>
    <row r="382" spans="1:3" x14ac:dyDescent="0.25">
      <c r="A382" t="s">
        <v>731</v>
      </c>
      <c r="B382" t="s">
        <v>2065</v>
      </c>
      <c r="C382">
        <v>1</v>
      </c>
    </row>
    <row r="383" spans="1:3" x14ac:dyDescent="0.25">
      <c r="A383" t="s">
        <v>733</v>
      </c>
      <c r="B383" t="s">
        <v>2065</v>
      </c>
      <c r="C383">
        <v>1</v>
      </c>
    </row>
    <row r="384" spans="1:3" x14ac:dyDescent="0.25">
      <c r="A384" t="s">
        <v>735</v>
      </c>
      <c r="B384" t="s">
        <v>2065</v>
      </c>
      <c r="C384">
        <v>1</v>
      </c>
    </row>
    <row r="385" spans="1:3" x14ac:dyDescent="0.25">
      <c r="A385" t="s">
        <v>737</v>
      </c>
      <c r="B385" t="s">
        <v>2065</v>
      </c>
      <c r="C385">
        <v>1</v>
      </c>
    </row>
    <row r="386" spans="1:3" x14ac:dyDescent="0.25">
      <c r="A386" t="s">
        <v>743</v>
      </c>
      <c r="B386" t="s">
        <v>2065</v>
      </c>
      <c r="C386">
        <v>1</v>
      </c>
    </row>
    <row r="387" spans="1:3" x14ac:dyDescent="0.25">
      <c r="A387" t="s">
        <v>745</v>
      </c>
      <c r="B387" t="s">
        <v>2065</v>
      </c>
      <c r="C387">
        <v>1</v>
      </c>
    </row>
    <row r="388" spans="1:3" x14ac:dyDescent="0.25">
      <c r="A388" t="s">
        <v>747</v>
      </c>
      <c r="B388" t="s">
        <v>2065</v>
      </c>
      <c r="C388">
        <v>1</v>
      </c>
    </row>
    <row r="389" spans="1:3" x14ac:dyDescent="0.25">
      <c r="A389" t="s">
        <v>750</v>
      </c>
      <c r="B389" t="s">
        <v>2065</v>
      </c>
      <c r="C389">
        <v>1</v>
      </c>
    </row>
    <row r="390" spans="1:3" x14ac:dyDescent="0.25">
      <c r="A390" t="s">
        <v>753</v>
      </c>
      <c r="B390" t="s">
        <v>2065</v>
      </c>
      <c r="C390">
        <v>1</v>
      </c>
    </row>
    <row r="391" spans="1:3" x14ac:dyDescent="0.25">
      <c r="A391" t="s">
        <v>756</v>
      </c>
      <c r="B391" t="s">
        <v>2065</v>
      </c>
      <c r="C391">
        <v>1</v>
      </c>
    </row>
    <row r="392" spans="1:3" x14ac:dyDescent="0.25">
      <c r="A392" t="s">
        <v>763</v>
      </c>
      <c r="B392" t="s">
        <v>2065</v>
      </c>
      <c r="C392">
        <v>1</v>
      </c>
    </row>
    <row r="393" spans="1:3" x14ac:dyDescent="0.25">
      <c r="A393" t="s">
        <v>2037</v>
      </c>
      <c r="B393" t="s">
        <v>2065</v>
      </c>
      <c r="C393">
        <v>1</v>
      </c>
    </row>
    <row r="394" spans="1:3" x14ac:dyDescent="0.25">
      <c r="A394" t="s">
        <v>771</v>
      </c>
      <c r="B394" t="s">
        <v>2065</v>
      </c>
      <c r="C394">
        <v>1</v>
      </c>
    </row>
    <row r="395" spans="1:3" x14ac:dyDescent="0.25">
      <c r="A395" t="s">
        <v>778</v>
      </c>
      <c r="B395" t="s">
        <v>2065</v>
      </c>
      <c r="C395">
        <v>1</v>
      </c>
    </row>
    <row r="396" spans="1:3" x14ac:dyDescent="0.25">
      <c r="A396" t="s">
        <v>786</v>
      </c>
      <c r="B396" t="s">
        <v>2065</v>
      </c>
      <c r="C396">
        <v>1</v>
      </c>
    </row>
    <row r="397" spans="1:3" x14ac:dyDescent="0.25">
      <c r="A397" t="s">
        <v>783</v>
      </c>
      <c r="B397" t="s">
        <v>2065</v>
      </c>
      <c r="C397">
        <v>1</v>
      </c>
    </row>
    <row r="398" spans="1:3" x14ac:dyDescent="0.25">
      <c r="A398" t="s">
        <v>787</v>
      </c>
      <c r="B398" t="s">
        <v>2065</v>
      </c>
      <c r="C398">
        <v>1</v>
      </c>
    </row>
    <row r="399" spans="1:3" x14ac:dyDescent="0.25">
      <c r="A399" t="s">
        <v>791</v>
      </c>
      <c r="B399" t="s">
        <v>2065</v>
      </c>
      <c r="C399">
        <v>1</v>
      </c>
    </row>
    <row r="400" spans="1:3" x14ac:dyDescent="0.25">
      <c r="A400" t="s">
        <v>798</v>
      </c>
      <c r="B400" t="s">
        <v>2065</v>
      </c>
      <c r="C400">
        <v>1</v>
      </c>
    </row>
    <row r="401" spans="1:3" x14ac:dyDescent="0.25">
      <c r="A401" t="s">
        <v>795</v>
      </c>
      <c r="B401" t="s">
        <v>2065</v>
      </c>
      <c r="C401">
        <v>1</v>
      </c>
    </row>
    <row r="402" spans="1:3" x14ac:dyDescent="0.25">
      <c r="A402" t="s">
        <v>802</v>
      </c>
      <c r="B402" t="s">
        <v>2065</v>
      </c>
      <c r="C402">
        <v>1</v>
      </c>
    </row>
    <row r="403" spans="1:3" x14ac:dyDescent="0.25">
      <c r="A403" t="s">
        <v>806</v>
      </c>
      <c r="B403" t="s">
        <v>2065</v>
      </c>
      <c r="C403">
        <v>1</v>
      </c>
    </row>
    <row r="404" spans="1:3" x14ac:dyDescent="0.25">
      <c r="A404" t="s">
        <v>808</v>
      </c>
      <c r="B404" t="s">
        <v>2065</v>
      </c>
      <c r="C404">
        <v>1</v>
      </c>
    </row>
    <row r="405" spans="1:3" x14ac:dyDescent="0.25">
      <c r="A405" t="s">
        <v>810</v>
      </c>
      <c r="B405" t="s">
        <v>2065</v>
      </c>
      <c r="C405">
        <v>1</v>
      </c>
    </row>
    <row r="406" spans="1:3" x14ac:dyDescent="0.25">
      <c r="A406" t="s">
        <v>832</v>
      </c>
      <c r="B406" t="s">
        <v>2065</v>
      </c>
      <c r="C406">
        <v>1</v>
      </c>
    </row>
    <row r="407" spans="1:3" x14ac:dyDescent="0.25">
      <c r="A407" t="s">
        <v>814</v>
      </c>
      <c r="B407" t="s">
        <v>2065</v>
      </c>
      <c r="C407">
        <v>1</v>
      </c>
    </row>
    <row r="408" spans="1:3" x14ac:dyDescent="0.25">
      <c r="A408" t="s">
        <v>816</v>
      </c>
      <c r="B408" t="s">
        <v>2065</v>
      </c>
      <c r="C408">
        <v>1</v>
      </c>
    </row>
    <row r="409" spans="1:3" x14ac:dyDescent="0.25">
      <c r="A409" t="s">
        <v>818</v>
      </c>
      <c r="B409" t="s">
        <v>2065</v>
      </c>
      <c r="C409">
        <v>1</v>
      </c>
    </row>
    <row r="410" spans="1:3" x14ac:dyDescent="0.25">
      <c r="A410" t="s">
        <v>820</v>
      </c>
      <c r="B410" t="s">
        <v>2065</v>
      </c>
      <c r="C410">
        <v>1</v>
      </c>
    </row>
    <row r="411" spans="1:3" x14ac:dyDescent="0.25">
      <c r="A411" t="s">
        <v>822</v>
      </c>
      <c r="B411" t="s">
        <v>2065</v>
      </c>
      <c r="C411">
        <v>1</v>
      </c>
    </row>
    <row r="412" spans="1:3" x14ac:dyDescent="0.25">
      <c r="A412" t="s">
        <v>78</v>
      </c>
      <c r="B412" t="s">
        <v>2065</v>
      </c>
      <c r="C412">
        <v>1</v>
      </c>
    </row>
    <row r="413" spans="1:3" x14ac:dyDescent="0.25">
      <c r="A413" t="s">
        <v>825</v>
      </c>
      <c r="B413" t="s">
        <v>2065</v>
      </c>
      <c r="C413">
        <v>1</v>
      </c>
    </row>
    <row r="414" spans="1:3" x14ac:dyDescent="0.25">
      <c r="A414" t="s">
        <v>827</v>
      </c>
      <c r="B414" t="s">
        <v>2065</v>
      </c>
      <c r="C414">
        <v>1</v>
      </c>
    </row>
    <row r="415" spans="1:3" x14ac:dyDescent="0.25">
      <c r="A415" t="s">
        <v>829</v>
      </c>
      <c r="B415" t="s">
        <v>2065</v>
      </c>
      <c r="C415">
        <v>1</v>
      </c>
    </row>
    <row r="416" spans="1:3" x14ac:dyDescent="0.25">
      <c r="A416" t="s">
        <v>833</v>
      </c>
      <c r="B416" t="s">
        <v>2065</v>
      </c>
      <c r="C416">
        <v>1</v>
      </c>
    </row>
    <row r="417" spans="1:3" x14ac:dyDescent="0.25">
      <c r="A417" t="s">
        <v>839</v>
      </c>
      <c r="B417" t="s">
        <v>2065</v>
      </c>
      <c r="C417">
        <v>1</v>
      </c>
    </row>
    <row r="418" spans="1:3" x14ac:dyDescent="0.25">
      <c r="A418" t="s">
        <v>244</v>
      </c>
      <c r="B418" t="s">
        <v>2065</v>
      </c>
      <c r="C418">
        <v>1</v>
      </c>
    </row>
    <row r="419" spans="1:3" x14ac:dyDescent="0.25">
      <c r="A419" t="s">
        <v>41</v>
      </c>
      <c r="B419" t="s">
        <v>2066</v>
      </c>
      <c r="C419">
        <v>20</v>
      </c>
    </row>
    <row r="420" spans="1:3" x14ac:dyDescent="0.25">
      <c r="A420" t="s">
        <v>425</v>
      </c>
      <c r="B420" t="s">
        <v>2066</v>
      </c>
      <c r="C420">
        <v>14</v>
      </c>
    </row>
    <row r="421" spans="1:3" x14ac:dyDescent="0.25">
      <c r="A421" t="s">
        <v>46</v>
      </c>
      <c r="B421" t="s">
        <v>2066</v>
      </c>
      <c r="C421">
        <v>13</v>
      </c>
    </row>
    <row r="422" spans="1:3" x14ac:dyDescent="0.25">
      <c r="A422" t="s">
        <v>923</v>
      </c>
      <c r="B422" t="s">
        <v>2066</v>
      </c>
      <c r="C422">
        <v>13</v>
      </c>
    </row>
    <row r="423" spans="1:3" x14ac:dyDescent="0.25">
      <c r="A423" t="s">
        <v>906</v>
      </c>
      <c r="B423" t="s">
        <v>2066</v>
      </c>
      <c r="C423">
        <v>9</v>
      </c>
    </row>
    <row r="424" spans="1:3" x14ac:dyDescent="0.25">
      <c r="A424" t="s">
        <v>84</v>
      </c>
      <c r="B424" t="s">
        <v>2066</v>
      </c>
      <c r="C424">
        <v>9</v>
      </c>
    </row>
    <row r="425" spans="1:3" x14ac:dyDescent="0.25">
      <c r="A425" t="s">
        <v>159</v>
      </c>
      <c r="B425" t="s">
        <v>2066</v>
      </c>
      <c r="C425">
        <v>8</v>
      </c>
    </row>
    <row r="426" spans="1:3" x14ac:dyDescent="0.25">
      <c r="A426" t="s">
        <v>187</v>
      </c>
      <c r="B426" t="s">
        <v>2066</v>
      </c>
      <c r="C426">
        <v>7</v>
      </c>
    </row>
    <row r="427" spans="1:3" x14ac:dyDescent="0.25">
      <c r="A427" t="s">
        <v>30</v>
      </c>
      <c r="B427" t="s">
        <v>2066</v>
      </c>
      <c r="C427">
        <v>7</v>
      </c>
    </row>
    <row r="428" spans="1:3" x14ac:dyDescent="0.25">
      <c r="A428" t="s">
        <v>806</v>
      </c>
      <c r="B428" t="s">
        <v>2066</v>
      </c>
      <c r="C428">
        <v>7</v>
      </c>
    </row>
    <row r="429" spans="1:3" x14ac:dyDescent="0.25">
      <c r="A429" t="s">
        <v>123</v>
      </c>
      <c r="B429" t="s">
        <v>2066</v>
      </c>
      <c r="C429">
        <v>7</v>
      </c>
    </row>
    <row r="430" spans="1:3" x14ac:dyDescent="0.25">
      <c r="A430" t="s">
        <v>297</v>
      </c>
      <c r="B430" t="s">
        <v>2066</v>
      </c>
      <c r="C430">
        <v>7</v>
      </c>
    </row>
    <row r="431" spans="1:3" x14ac:dyDescent="0.25">
      <c r="A431" t="s">
        <v>43</v>
      </c>
      <c r="B431" t="s">
        <v>2066</v>
      </c>
      <c r="C431">
        <v>6</v>
      </c>
    </row>
    <row r="432" spans="1:3" x14ac:dyDescent="0.25">
      <c r="A432" t="s">
        <v>56</v>
      </c>
      <c r="B432" t="s">
        <v>2066</v>
      </c>
      <c r="C432">
        <v>5</v>
      </c>
    </row>
    <row r="433" spans="1:3" x14ac:dyDescent="0.25">
      <c r="A433" t="s">
        <v>32</v>
      </c>
      <c r="B433" t="s">
        <v>2066</v>
      </c>
      <c r="C433">
        <v>5</v>
      </c>
    </row>
    <row r="434" spans="1:3" x14ac:dyDescent="0.25">
      <c r="A434" t="s">
        <v>237</v>
      </c>
      <c r="B434" t="s">
        <v>2066</v>
      </c>
      <c r="C434">
        <v>5</v>
      </c>
    </row>
    <row r="435" spans="1:3" x14ac:dyDescent="0.25">
      <c r="A435" t="s">
        <v>68</v>
      </c>
      <c r="B435" t="s">
        <v>2066</v>
      </c>
      <c r="C435">
        <v>5</v>
      </c>
    </row>
    <row r="436" spans="1:3" x14ac:dyDescent="0.25">
      <c r="A436" t="s">
        <v>144</v>
      </c>
      <c r="B436" t="s">
        <v>2066</v>
      </c>
      <c r="C436">
        <v>5</v>
      </c>
    </row>
    <row r="437" spans="1:3" x14ac:dyDescent="0.25">
      <c r="A437" t="s">
        <v>429</v>
      </c>
      <c r="B437" t="s">
        <v>2066</v>
      </c>
      <c r="C437">
        <v>5</v>
      </c>
    </row>
    <row r="438" spans="1:3" x14ac:dyDescent="0.25">
      <c r="A438" t="s">
        <v>458</v>
      </c>
      <c r="B438" t="s">
        <v>2066</v>
      </c>
      <c r="C438">
        <v>5</v>
      </c>
    </row>
    <row r="439" spans="1:3" x14ac:dyDescent="0.25">
      <c r="A439" t="s">
        <v>138</v>
      </c>
      <c r="B439" t="s">
        <v>2066</v>
      </c>
      <c r="C439">
        <v>5</v>
      </c>
    </row>
    <row r="440" spans="1:3" x14ac:dyDescent="0.25">
      <c r="A440" t="s">
        <v>1107</v>
      </c>
      <c r="B440" t="s">
        <v>2066</v>
      </c>
      <c r="C440">
        <v>5</v>
      </c>
    </row>
    <row r="441" spans="1:3" x14ac:dyDescent="0.25">
      <c r="A441" t="s">
        <v>848</v>
      </c>
      <c r="B441" t="s">
        <v>2066</v>
      </c>
      <c r="C441">
        <v>4</v>
      </c>
    </row>
    <row r="442" spans="1:3" x14ac:dyDescent="0.25">
      <c r="A442" t="s">
        <v>871</v>
      </c>
      <c r="B442" t="s">
        <v>2066</v>
      </c>
      <c r="C442">
        <v>4</v>
      </c>
    </row>
    <row r="443" spans="1:3" x14ac:dyDescent="0.25">
      <c r="A443" t="s">
        <v>74</v>
      </c>
      <c r="B443" t="s">
        <v>2066</v>
      </c>
      <c r="C443">
        <v>4</v>
      </c>
    </row>
    <row r="444" spans="1:3" x14ac:dyDescent="0.25">
      <c r="A444" t="s">
        <v>877</v>
      </c>
      <c r="B444" t="s">
        <v>2066</v>
      </c>
      <c r="C444">
        <v>4</v>
      </c>
    </row>
    <row r="445" spans="1:3" x14ac:dyDescent="0.25">
      <c r="A445" t="s">
        <v>167</v>
      </c>
      <c r="B445" t="s">
        <v>2066</v>
      </c>
      <c r="C445">
        <v>4</v>
      </c>
    </row>
    <row r="446" spans="1:3" x14ac:dyDescent="0.25">
      <c r="A446" t="s">
        <v>0</v>
      </c>
      <c r="B446" t="s">
        <v>2066</v>
      </c>
      <c r="C446">
        <v>4</v>
      </c>
    </row>
    <row r="447" spans="1:3" x14ac:dyDescent="0.25">
      <c r="A447" t="s">
        <v>560</v>
      </c>
      <c r="B447" t="s">
        <v>2066</v>
      </c>
      <c r="C447">
        <v>4</v>
      </c>
    </row>
    <row r="448" spans="1:3" x14ac:dyDescent="0.25">
      <c r="A448" t="s">
        <v>113</v>
      </c>
      <c r="B448" t="s">
        <v>2066</v>
      </c>
      <c r="C448">
        <v>4</v>
      </c>
    </row>
    <row r="449" spans="1:3" x14ac:dyDescent="0.25">
      <c r="A449" t="s">
        <v>2039</v>
      </c>
      <c r="B449" t="s">
        <v>2066</v>
      </c>
      <c r="C449">
        <v>4</v>
      </c>
    </row>
    <row r="450" spans="1:3" x14ac:dyDescent="0.25">
      <c r="A450" t="s">
        <v>204</v>
      </c>
      <c r="B450" t="s">
        <v>2066</v>
      </c>
      <c r="C450">
        <v>3</v>
      </c>
    </row>
    <row r="451" spans="1:3" x14ac:dyDescent="0.25">
      <c r="A451" t="s">
        <v>253</v>
      </c>
      <c r="B451" t="s">
        <v>2066</v>
      </c>
      <c r="C451">
        <v>3</v>
      </c>
    </row>
    <row r="452" spans="1:3" x14ac:dyDescent="0.25">
      <c r="A452" t="s">
        <v>2062</v>
      </c>
      <c r="B452" t="s">
        <v>2066</v>
      </c>
      <c r="C452">
        <v>3</v>
      </c>
    </row>
    <row r="453" spans="1:3" x14ac:dyDescent="0.25">
      <c r="A453" t="s">
        <v>161</v>
      </c>
      <c r="B453" t="s">
        <v>2066</v>
      </c>
      <c r="C453">
        <v>3</v>
      </c>
    </row>
    <row r="454" spans="1:3" x14ac:dyDescent="0.25">
      <c r="A454" t="s">
        <v>798</v>
      </c>
      <c r="B454" t="s">
        <v>2066</v>
      </c>
      <c r="C454">
        <v>3</v>
      </c>
    </row>
    <row r="455" spans="1:3" x14ac:dyDescent="0.25">
      <c r="A455" t="s">
        <v>58</v>
      </c>
      <c r="B455" t="s">
        <v>2066</v>
      </c>
      <c r="C455">
        <v>3</v>
      </c>
    </row>
    <row r="456" spans="1:3" x14ac:dyDescent="0.25">
      <c r="A456" t="s">
        <v>339</v>
      </c>
      <c r="B456" t="s">
        <v>2066</v>
      </c>
      <c r="C456">
        <v>3</v>
      </c>
    </row>
    <row r="457" spans="1:3" x14ac:dyDescent="0.25">
      <c r="A457" t="s">
        <v>480</v>
      </c>
      <c r="B457" t="s">
        <v>2066</v>
      </c>
      <c r="C457">
        <v>3</v>
      </c>
    </row>
    <row r="458" spans="1:3" x14ac:dyDescent="0.25">
      <c r="A458" t="s">
        <v>611</v>
      </c>
      <c r="B458" t="s">
        <v>2066</v>
      </c>
      <c r="C458">
        <v>3</v>
      </c>
    </row>
    <row r="459" spans="1:3" x14ac:dyDescent="0.25">
      <c r="A459" t="s">
        <v>580</v>
      </c>
      <c r="B459" t="s">
        <v>2066</v>
      </c>
      <c r="C459">
        <v>3</v>
      </c>
    </row>
    <row r="460" spans="1:3" x14ac:dyDescent="0.25">
      <c r="A460" t="s">
        <v>635</v>
      </c>
      <c r="B460" t="s">
        <v>2066</v>
      </c>
      <c r="C460">
        <v>3</v>
      </c>
    </row>
    <row r="461" spans="1:3" x14ac:dyDescent="0.25">
      <c r="A461" t="s">
        <v>130</v>
      </c>
      <c r="B461" t="s">
        <v>2066</v>
      </c>
      <c r="C461">
        <v>3</v>
      </c>
    </row>
    <row r="462" spans="1:3" x14ac:dyDescent="0.25">
      <c r="A462" t="s">
        <v>301</v>
      </c>
      <c r="B462" t="s">
        <v>2066</v>
      </c>
      <c r="C462">
        <v>3</v>
      </c>
    </row>
    <row r="463" spans="1:3" x14ac:dyDescent="0.25">
      <c r="A463" t="s">
        <v>356</v>
      </c>
      <c r="B463" t="s">
        <v>2066</v>
      </c>
      <c r="C463">
        <v>3</v>
      </c>
    </row>
    <row r="464" spans="1:3" x14ac:dyDescent="0.25">
      <c r="A464" t="s">
        <v>712</v>
      </c>
      <c r="B464" t="s">
        <v>2066</v>
      </c>
      <c r="C464">
        <v>3</v>
      </c>
    </row>
    <row r="465" spans="1:3" x14ac:dyDescent="0.25">
      <c r="A465" t="s">
        <v>4</v>
      </c>
      <c r="B465" t="s">
        <v>2066</v>
      </c>
      <c r="C465">
        <v>3</v>
      </c>
    </row>
    <row r="466" spans="1:3" x14ac:dyDescent="0.25">
      <c r="A466" t="s">
        <v>1020</v>
      </c>
      <c r="B466" t="s">
        <v>2066</v>
      </c>
      <c r="C466">
        <v>3</v>
      </c>
    </row>
    <row r="467" spans="1:3" x14ac:dyDescent="0.25">
      <c r="A467" t="s">
        <v>65</v>
      </c>
      <c r="B467" t="s">
        <v>2066</v>
      </c>
      <c r="C467">
        <v>3</v>
      </c>
    </row>
    <row r="468" spans="1:3" x14ac:dyDescent="0.25">
      <c r="A468" t="s">
        <v>1074</v>
      </c>
      <c r="B468" t="s">
        <v>2066</v>
      </c>
      <c r="C468">
        <v>3</v>
      </c>
    </row>
    <row r="469" spans="1:3" x14ac:dyDescent="0.25">
      <c r="A469" t="s">
        <v>107</v>
      </c>
      <c r="B469" t="s">
        <v>2066</v>
      </c>
      <c r="C469">
        <v>3</v>
      </c>
    </row>
    <row r="470" spans="1:3" x14ac:dyDescent="0.25">
      <c r="A470" t="s">
        <v>180</v>
      </c>
      <c r="B470" t="s">
        <v>2066</v>
      </c>
      <c r="C470">
        <v>3</v>
      </c>
    </row>
    <row r="471" spans="1:3" x14ac:dyDescent="0.25">
      <c r="A471" t="s">
        <v>250</v>
      </c>
      <c r="B471" t="s">
        <v>2066</v>
      </c>
      <c r="C471">
        <v>3</v>
      </c>
    </row>
    <row r="472" spans="1:3" x14ac:dyDescent="0.25">
      <c r="A472" t="s">
        <v>855</v>
      </c>
      <c r="B472" t="s">
        <v>2066</v>
      </c>
      <c r="C472">
        <v>2</v>
      </c>
    </row>
    <row r="473" spans="1:3" x14ac:dyDescent="0.25">
      <c r="A473" t="s">
        <v>878</v>
      </c>
      <c r="B473" t="s">
        <v>2066</v>
      </c>
      <c r="C473">
        <v>2</v>
      </c>
    </row>
    <row r="474" spans="1:3" x14ac:dyDescent="0.25">
      <c r="A474" t="s">
        <v>895</v>
      </c>
      <c r="B474" t="s">
        <v>2066</v>
      </c>
      <c r="C474">
        <v>2</v>
      </c>
    </row>
    <row r="475" spans="1:3" x14ac:dyDescent="0.25">
      <c r="A475" t="s">
        <v>897</v>
      </c>
      <c r="B475" t="s">
        <v>2066</v>
      </c>
      <c r="C475">
        <v>2</v>
      </c>
    </row>
    <row r="476" spans="1:3" x14ac:dyDescent="0.25">
      <c r="A476" t="s">
        <v>661</v>
      </c>
      <c r="B476" t="s">
        <v>2066</v>
      </c>
      <c r="C476">
        <v>2</v>
      </c>
    </row>
    <row r="477" spans="1:3" x14ac:dyDescent="0.25">
      <c r="A477" t="s">
        <v>336</v>
      </c>
      <c r="B477" t="s">
        <v>2066</v>
      </c>
      <c r="C477">
        <v>2</v>
      </c>
    </row>
    <row r="478" spans="1:3" x14ac:dyDescent="0.25">
      <c r="A478" t="s">
        <v>228</v>
      </c>
      <c r="B478" t="s">
        <v>2066</v>
      </c>
      <c r="C478">
        <v>2</v>
      </c>
    </row>
    <row r="479" spans="1:3" x14ac:dyDescent="0.25">
      <c r="A479" t="s">
        <v>514</v>
      </c>
      <c r="B479" t="s">
        <v>2066</v>
      </c>
      <c r="C479">
        <v>2</v>
      </c>
    </row>
    <row r="480" spans="1:3" x14ac:dyDescent="0.25">
      <c r="A480" t="s">
        <v>28</v>
      </c>
      <c r="B480" t="s">
        <v>2066</v>
      </c>
      <c r="C480">
        <v>2</v>
      </c>
    </row>
    <row r="481" spans="1:3" x14ac:dyDescent="0.25">
      <c r="A481" t="s">
        <v>739</v>
      </c>
      <c r="B481" t="s">
        <v>2066</v>
      </c>
      <c r="C481">
        <v>2</v>
      </c>
    </row>
    <row r="482" spans="1:3" x14ac:dyDescent="0.25">
      <c r="A482" t="s">
        <v>153</v>
      </c>
      <c r="B482" t="s">
        <v>2066</v>
      </c>
      <c r="C482">
        <v>2</v>
      </c>
    </row>
    <row r="483" spans="1:3" x14ac:dyDescent="0.25">
      <c r="A483" t="s">
        <v>698</v>
      </c>
      <c r="B483" t="s">
        <v>2066</v>
      </c>
      <c r="C483">
        <v>2</v>
      </c>
    </row>
    <row r="484" spans="1:3" x14ac:dyDescent="0.25">
      <c r="A484" t="s">
        <v>9</v>
      </c>
      <c r="B484" t="s">
        <v>2066</v>
      </c>
      <c r="C484">
        <v>2</v>
      </c>
    </row>
    <row r="485" spans="1:3" x14ac:dyDescent="0.25">
      <c r="A485" t="s">
        <v>163</v>
      </c>
      <c r="B485" t="s">
        <v>2066</v>
      </c>
      <c r="C485">
        <v>2</v>
      </c>
    </row>
    <row r="486" spans="1:3" x14ac:dyDescent="0.25">
      <c r="A486" t="s">
        <v>957</v>
      </c>
      <c r="B486" t="s">
        <v>2066</v>
      </c>
      <c r="C486">
        <v>2</v>
      </c>
    </row>
    <row r="487" spans="1:3" x14ac:dyDescent="0.25">
      <c r="A487" t="s">
        <v>965</v>
      </c>
      <c r="B487" t="s">
        <v>2066</v>
      </c>
      <c r="C487">
        <v>2</v>
      </c>
    </row>
    <row r="488" spans="1:3" x14ac:dyDescent="0.25">
      <c r="A488" t="s">
        <v>973</v>
      </c>
      <c r="B488" t="s">
        <v>2066</v>
      </c>
      <c r="C488">
        <v>2</v>
      </c>
    </row>
    <row r="489" spans="1:3" x14ac:dyDescent="0.25">
      <c r="A489" t="s">
        <v>572</v>
      </c>
      <c r="B489" t="s">
        <v>2066</v>
      </c>
      <c r="C489">
        <v>2</v>
      </c>
    </row>
    <row r="490" spans="1:3" x14ac:dyDescent="0.25">
      <c r="A490" t="s">
        <v>218</v>
      </c>
      <c r="B490" t="s">
        <v>2066</v>
      </c>
      <c r="C490">
        <v>2</v>
      </c>
    </row>
    <row r="491" spans="1:3" x14ac:dyDescent="0.25">
      <c r="A491" t="s">
        <v>782</v>
      </c>
      <c r="B491" t="s">
        <v>2066</v>
      </c>
      <c r="C491">
        <v>2</v>
      </c>
    </row>
    <row r="492" spans="1:3" x14ac:dyDescent="0.25">
      <c r="A492" t="s">
        <v>674</v>
      </c>
      <c r="B492" t="s">
        <v>2066</v>
      </c>
      <c r="C492">
        <v>2</v>
      </c>
    </row>
    <row r="493" spans="1:3" x14ac:dyDescent="0.25">
      <c r="A493" t="s">
        <v>1007</v>
      </c>
      <c r="B493" t="s">
        <v>2066</v>
      </c>
      <c r="C493">
        <v>2</v>
      </c>
    </row>
    <row r="494" spans="1:3" x14ac:dyDescent="0.25">
      <c r="A494" t="s">
        <v>72</v>
      </c>
      <c r="B494" t="s">
        <v>2066</v>
      </c>
      <c r="C494">
        <v>2</v>
      </c>
    </row>
    <row r="495" spans="1:3" x14ac:dyDescent="0.25">
      <c r="A495" t="s">
        <v>280</v>
      </c>
      <c r="B495" t="s">
        <v>2066</v>
      </c>
      <c r="C495">
        <v>2</v>
      </c>
    </row>
    <row r="496" spans="1:3" x14ac:dyDescent="0.25">
      <c r="A496" t="s">
        <v>1017</v>
      </c>
      <c r="B496" t="s">
        <v>2066</v>
      </c>
      <c r="C496">
        <v>2</v>
      </c>
    </row>
    <row r="497" spans="1:3" x14ac:dyDescent="0.25">
      <c r="A497" t="s">
        <v>503</v>
      </c>
      <c r="B497" t="s">
        <v>2066</v>
      </c>
      <c r="C497">
        <v>2</v>
      </c>
    </row>
    <row r="498" spans="1:3" x14ac:dyDescent="0.25">
      <c r="A498" t="s">
        <v>550</v>
      </c>
      <c r="B498" t="s">
        <v>2066</v>
      </c>
      <c r="C498">
        <v>2</v>
      </c>
    </row>
    <row r="499" spans="1:3" x14ac:dyDescent="0.25">
      <c r="A499" t="s">
        <v>354</v>
      </c>
      <c r="B499" t="s">
        <v>2066</v>
      </c>
      <c r="C499">
        <v>2</v>
      </c>
    </row>
    <row r="500" spans="1:3" x14ac:dyDescent="0.25">
      <c r="A500" t="s">
        <v>456</v>
      </c>
      <c r="B500" t="s">
        <v>2066</v>
      </c>
      <c r="C500">
        <v>2</v>
      </c>
    </row>
    <row r="501" spans="1:3" x14ac:dyDescent="0.25">
      <c r="A501" t="s">
        <v>248</v>
      </c>
      <c r="B501" t="s">
        <v>2066</v>
      </c>
      <c r="C501">
        <v>2</v>
      </c>
    </row>
    <row r="502" spans="1:3" x14ac:dyDescent="0.25">
      <c r="A502" t="s">
        <v>152</v>
      </c>
      <c r="B502" t="s">
        <v>2066</v>
      </c>
      <c r="C502">
        <v>2</v>
      </c>
    </row>
    <row r="503" spans="1:3" x14ac:dyDescent="0.25">
      <c r="A503" t="s">
        <v>117</v>
      </c>
      <c r="B503" t="s">
        <v>2066</v>
      </c>
      <c r="C503">
        <v>2</v>
      </c>
    </row>
    <row r="504" spans="1:3" x14ac:dyDescent="0.25">
      <c r="A504" t="s">
        <v>6</v>
      </c>
      <c r="B504" t="s">
        <v>2066</v>
      </c>
      <c r="C504">
        <v>2</v>
      </c>
    </row>
    <row r="505" spans="1:3" x14ac:dyDescent="0.25">
      <c r="B505" t="s">
        <v>2066</v>
      </c>
      <c r="C505">
        <v>2</v>
      </c>
    </row>
    <row r="506" spans="1:3" x14ac:dyDescent="0.25">
      <c r="A506" t="s">
        <v>1102</v>
      </c>
      <c r="B506" t="s">
        <v>2066</v>
      </c>
      <c r="C506">
        <v>2</v>
      </c>
    </row>
    <row r="507" spans="1:3" x14ac:dyDescent="0.25">
      <c r="A507" t="s">
        <v>543</v>
      </c>
      <c r="B507" t="s">
        <v>2066</v>
      </c>
      <c r="C507">
        <v>2</v>
      </c>
    </row>
    <row r="508" spans="1:3" x14ac:dyDescent="0.25">
      <c r="A508" t="s">
        <v>1104</v>
      </c>
      <c r="B508" t="s">
        <v>2066</v>
      </c>
      <c r="C508">
        <v>2</v>
      </c>
    </row>
    <row r="509" spans="1:3" x14ac:dyDescent="0.25">
      <c r="A509" t="s">
        <v>1151</v>
      </c>
      <c r="B509" t="s">
        <v>2066</v>
      </c>
      <c r="C509">
        <v>2</v>
      </c>
    </row>
    <row r="510" spans="1:3" x14ac:dyDescent="0.25">
      <c r="A510" t="s">
        <v>837</v>
      </c>
      <c r="B510" t="s">
        <v>2066</v>
      </c>
      <c r="C510">
        <v>1</v>
      </c>
    </row>
    <row r="511" spans="1:3" x14ac:dyDescent="0.25">
      <c r="A511" t="s">
        <v>206</v>
      </c>
      <c r="B511" t="s">
        <v>2066</v>
      </c>
      <c r="C511">
        <v>1</v>
      </c>
    </row>
    <row r="512" spans="1:3" x14ac:dyDescent="0.25">
      <c r="A512" t="s">
        <v>854</v>
      </c>
      <c r="B512" t="s">
        <v>2066</v>
      </c>
      <c r="C512">
        <v>1</v>
      </c>
    </row>
    <row r="513" spans="1:3" x14ac:dyDescent="0.25">
      <c r="A513" t="s">
        <v>858</v>
      </c>
      <c r="B513" t="s">
        <v>2066</v>
      </c>
      <c r="C513">
        <v>1</v>
      </c>
    </row>
    <row r="514" spans="1:3" x14ac:dyDescent="0.25">
      <c r="A514" t="s">
        <v>860</v>
      </c>
      <c r="B514" t="s">
        <v>2066</v>
      </c>
      <c r="C514">
        <v>1</v>
      </c>
    </row>
    <row r="515" spans="1:3" x14ac:dyDescent="0.25">
      <c r="A515" t="s">
        <v>864</v>
      </c>
      <c r="B515" t="s">
        <v>2066</v>
      </c>
      <c r="C515">
        <v>1</v>
      </c>
    </row>
    <row r="516" spans="1:3" x14ac:dyDescent="0.25">
      <c r="A516" t="s">
        <v>591</v>
      </c>
      <c r="B516" t="s">
        <v>2066</v>
      </c>
      <c r="C516">
        <v>1</v>
      </c>
    </row>
    <row r="517" spans="1:3" x14ac:dyDescent="0.25">
      <c r="A517" t="s">
        <v>822</v>
      </c>
      <c r="B517" t="s">
        <v>2066</v>
      </c>
      <c r="C517">
        <v>1</v>
      </c>
    </row>
    <row r="518" spans="1:3" x14ac:dyDescent="0.25">
      <c r="A518" t="s">
        <v>2040</v>
      </c>
      <c r="B518" t="s">
        <v>2066</v>
      </c>
      <c r="C518">
        <v>1</v>
      </c>
    </row>
    <row r="519" spans="1:3" x14ac:dyDescent="0.25">
      <c r="A519" t="s">
        <v>60</v>
      </c>
      <c r="B519" t="s">
        <v>2066</v>
      </c>
      <c r="C519">
        <v>1</v>
      </c>
    </row>
    <row r="520" spans="1:3" x14ac:dyDescent="0.25">
      <c r="A520" t="s">
        <v>889</v>
      </c>
      <c r="B520" t="s">
        <v>2066</v>
      </c>
      <c r="C520">
        <v>1</v>
      </c>
    </row>
    <row r="521" spans="1:3" x14ac:dyDescent="0.25">
      <c r="A521" t="s">
        <v>287</v>
      </c>
      <c r="B521" t="s">
        <v>2066</v>
      </c>
      <c r="C521">
        <v>1</v>
      </c>
    </row>
    <row r="522" spans="1:3" x14ac:dyDescent="0.25">
      <c r="A522" t="s">
        <v>902</v>
      </c>
      <c r="B522" t="s">
        <v>2066</v>
      </c>
      <c r="C522">
        <v>1</v>
      </c>
    </row>
    <row r="523" spans="1:3" x14ac:dyDescent="0.25">
      <c r="A523" t="s">
        <v>733</v>
      </c>
      <c r="B523" t="s">
        <v>2066</v>
      </c>
      <c r="C523">
        <v>1</v>
      </c>
    </row>
    <row r="524" spans="1:3" x14ac:dyDescent="0.25">
      <c r="A524" t="s">
        <v>903</v>
      </c>
      <c r="B524" t="s">
        <v>2066</v>
      </c>
      <c r="C524">
        <v>1</v>
      </c>
    </row>
    <row r="525" spans="1:3" x14ac:dyDescent="0.25">
      <c r="A525" t="s">
        <v>16</v>
      </c>
      <c r="B525" t="s">
        <v>2066</v>
      </c>
      <c r="C525">
        <v>1</v>
      </c>
    </row>
    <row r="526" spans="1:3" x14ac:dyDescent="0.25">
      <c r="A526" t="s">
        <v>915</v>
      </c>
      <c r="B526" t="s">
        <v>2066</v>
      </c>
      <c r="C526">
        <v>1</v>
      </c>
    </row>
    <row r="527" spans="1:3" x14ac:dyDescent="0.25">
      <c r="A527" t="s">
        <v>548</v>
      </c>
      <c r="B527" t="s">
        <v>2066</v>
      </c>
      <c r="C527">
        <v>1</v>
      </c>
    </row>
    <row r="528" spans="1:3" x14ac:dyDescent="0.25">
      <c r="A528" t="s">
        <v>225</v>
      </c>
      <c r="B528" t="s">
        <v>2066</v>
      </c>
      <c r="C528">
        <v>1</v>
      </c>
    </row>
    <row r="529" spans="1:3" x14ac:dyDescent="0.25">
      <c r="A529" t="s">
        <v>922</v>
      </c>
      <c r="B529" t="s">
        <v>2066</v>
      </c>
      <c r="C529">
        <v>1</v>
      </c>
    </row>
    <row r="530" spans="1:3" x14ac:dyDescent="0.25">
      <c r="A530" t="s">
        <v>934</v>
      </c>
      <c r="B530" t="s">
        <v>2066</v>
      </c>
      <c r="C530">
        <v>1</v>
      </c>
    </row>
    <row r="531" spans="1:3" x14ac:dyDescent="0.25">
      <c r="A531" t="s">
        <v>937</v>
      </c>
      <c r="B531" t="s">
        <v>2066</v>
      </c>
      <c r="C531">
        <v>1</v>
      </c>
    </row>
    <row r="532" spans="1:3" x14ac:dyDescent="0.25">
      <c r="A532" t="s">
        <v>938</v>
      </c>
      <c r="B532" t="s">
        <v>2066</v>
      </c>
      <c r="C532">
        <v>1</v>
      </c>
    </row>
    <row r="533" spans="1:3" x14ac:dyDescent="0.25">
      <c r="A533" t="s">
        <v>640</v>
      </c>
      <c r="B533" t="s">
        <v>2066</v>
      </c>
      <c r="C533">
        <v>1</v>
      </c>
    </row>
    <row r="534" spans="1:3" x14ac:dyDescent="0.25">
      <c r="A534" t="s">
        <v>941</v>
      </c>
      <c r="B534" t="s">
        <v>2066</v>
      </c>
      <c r="C534">
        <v>1</v>
      </c>
    </row>
    <row r="535" spans="1:3" x14ac:dyDescent="0.25">
      <c r="A535" t="s">
        <v>319</v>
      </c>
      <c r="B535" t="s">
        <v>2066</v>
      </c>
      <c r="C535">
        <v>1</v>
      </c>
    </row>
    <row r="536" spans="1:3" x14ac:dyDescent="0.25">
      <c r="A536" t="s">
        <v>103</v>
      </c>
      <c r="B536" t="s">
        <v>2066</v>
      </c>
      <c r="C536">
        <v>1</v>
      </c>
    </row>
    <row r="537" spans="1:3" x14ac:dyDescent="0.25">
      <c r="A537" t="s">
        <v>952</v>
      </c>
      <c r="B537" t="s">
        <v>2066</v>
      </c>
      <c r="C537">
        <v>1</v>
      </c>
    </row>
    <row r="538" spans="1:3" x14ac:dyDescent="0.25">
      <c r="A538" t="s">
        <v>960</v>
      </c>
      <c r="B538" t="s">
        <v>2066</v>
      </c>
      <c r="C538">
        <v>1</v>
      </c>
    </row>
    <row r="539" spans="1:3" x14ac:dyDescent="0.25">
      <c r="A539" t="s">
        <v>555</v>
      </c>
      <c r="B539" t="s">
        <v>2066</v>
      </c>
      <c r="C539">
        <v>1</v>
      </c>
    </row>
    <row r="540" spans="1:3" x14ac:dyDescent="0.25">
      <c r="A540" t="s">
        <v>963</v>
      </c>
      <c r="B540" t="s">
        <v>2066</v>
      </c>
      <c r="C540">
        <v>1</v>
      </c>
    </row>
    <row r="541" spans="1:3" x14ac:dyDescent="0.25">
      <c r="A541" t="s">
        <v>969</v>
      </c>
      <c r="B541" t="s">
        <v>2066</v>
      </c>
      <c r="C541">
        <v>1</v>
      </c>
    </row>
    <row r="542" spans="1:3" x14ac:dyDescent="0.25">
      <c r="A542" t="s">
        <v>975</v>
      </c>
      <c r="B542" t="s">
        <v>2066</v>
      </c>
      <c r="C542">
        <v>1</v>
      </c>
    </row>
    <row r="543" spans="1:3" x14ac:dyDescent="0.25">
      <c r="A543" t="s">
        <v>70</v>
      </c>
      <c r="B543" t="s">
        <v>2066</v>
      </c>
      <c r="C543">
        <v>1</v>
      </c>
    </row>
    <row r="544" spans="1:3" x14ac:dyDescent="0.25">
      <c r="A544" t="s">
        <v>26</v>
      </c>
      <c r="B544" t="s">
        <v>2066</v>
      </c>
      <c r="C544">
        <v>1</v>
      </c>
    </row>
    <row r="545" spans="1:3" x14ac:dyDescent="0.25">
      <c r="A545" t="s">
        <v>656</v>
      </c>
      <c r="B545" t="s">
        <v>2066</v>
      </c>
      <c r="C545">
        <v>1</v>
      </c>
    </row>
    <row r="546" spans="1:3" x14ac:dyDescent="0.25">
      <c r="A546" t="s">
        <v>653</v>
      </c>
      <c r="B546" t="s">
        <v>2066</v>
      </c>
      <c r="C546">
        <v>1</v>
      </c>
    </row>
    <row r="547" spans="1:3" x14ac:dyDescent="0.25">
      <c r="A547" t="s">
        <v>979</v>
      </c>
      <c r="B547" t="s">
        <v>2066</v>
      </c>
      <c r="C547">
        <v>1</v>
      </c>
    </row>
    <row r="548" spans="1:3" x14ac:dyDescent="0.25">
      <c r="A548" t="s">
        <v>345</v>
      </c>
      <c r="B548" t="s">
        <v>2066</v>
      </c>
      <c r="C548">
        <v>1</v>
      </c>
    </row>
    <row r="549" spans="1:3" x14ac:dyDescent="0.25">
      <c r="A549" t="s">
        <v>996</v>
      </c>
      <c r="B549" t="s">
        <v>2066</v>
      </c>
      <c r="C549">
        <v>1</v>
      </c>
    </row>
    <row r="550" spans="1:3" x14ac:dyDescent="0.25">
      <c r="A550" t="s">
        <v>989</v>
      </c>
      <c r="B550" t="s">
        <v>2066</v>
      </c>
      <c r="C550">
        <v>1</v>
      </c>
    </row>
    <row r="551" spans="1:3" x14ac:dyDescent="0.25">
      <c r="A551" t="s">
        <v>991</v>
      </c>
      <c r="B551" t="s">
        <v>2066</v>
      </c>
      <c r="C551">
        <v>1</v>
      </c>
    </row>
    <row r="552" spans="1:3" x14ac:dyDescent="0.25">
      <c r="A552" t="s">
        <v>170</v>
      </c>
      <c r="B552" t="s">
        <v>2066</v>
      </c>
      <c r="C552">
        <v>1</v>
      </c>
    </row>
    <row r="553" spans="1:3" x14ac:dyDescent="0.25">
      <c r="A553" t="s">
        <v>1006</v>
      </c>
      <c r="B553" t="s">
        <v>2066</v>
      </c>
      <c r="C553">
        <v>1</v>
      </c>
    </row>
    <row r="554" spans="1:3" x14ac:dyDescent="0.25">
      <c r="A554" t="s">
        <v>1009</v>
      </c>
      <c r="B554" t="s">
        <v>2066</v>
      </c>
      <c r="C554">
        <v>1</v>
      </c>
    </row>
    <row r="555" spans="1:3" x14ac:dyDescent="0.25">
      <c r="A555" t="s">
        <v>1011</v>
      </c>
      <c r="B555" t="s">
        <v>2066</v>
      </c>
      <c r="C555">
        <v>1</v>
      </c>
    </row>
    <row r="556" spans="1:3" x14ac:dyDescent="0.25">
      <c r="A556" t="s">
        <v>2041</v>
      </c>
      <c r="B556" t="s">
        <v>2066</v>
      </c>
      <c r="C556">
        <v>1</v>
      </c>
    </row>
    <row r="557" spans="1:3" x14ac:dyDescent="0.25">
      <c r="A557" t="s">
        <v>88</v>
      </c>
      <c r="B557" t="s">
        <v>2066</v>
      </c>
      <c r="C557">
        <v>1</v>
      </c>
    </row>
    <row r="558" spans="1:3" x14ac:dyDescent="0.25">
      <c r="A558" t="s">
        <v>115</v>
      </c>
      <c r="B558" t="s">
        <v>2066</v>
      </c>
      <c r="C558">
        <v>1</v>
      </c>
    </row>
    <row r="559" spans="1:3" x14ac:dyDescent="0.25">
      <c r="A559" t="s">
        <v>1000</v>
      </c>
      <c r="B559" t="s">
        <v>2066</v>
      </c>
      <c r="C559">
        <v>1</v>
      </c>
    </row>
    <row r="560" spans="1:3" x14ac:dyDescent="0.25">
      <c r="A560" t="s">
        <v>1027</v>
      </c>
      <c r="B560" t="s">
        <v>2066</v>
      </c>
      <c r="C560">
        <v>1</v>
      </c>
    </row>
    <row r="561" spans="1:3" x14ac:dyDescent="0.25">
      <c r="A561" t="s">
        <v>1030</v>
      </c>
      <c r="B561" t="s">
        <v>2066</v>
      </c>
      <c r="C561">
        <v>1</v>
      </c>
    </row>
    <row r="562" spans="1:3" x14ac:dyDescent="0.25">
      <c r="A562" t="s">
        <v>276</v>
      </c>
      <c r="B562" t="s">
        <v>2066</v>
      </c>
      <c r="C562">
        <v>1</v>
      </c>
    </row>
    <row r="563" spans="1:3" x14ac:dyDescent="0.25">
      <c r="A563" t="s">
        <v>1040</v>
      </c>
      <c r="B563" t="s">
        <v>2066</v>
      </c>
      <c r="C563">
        <v>1</v>
      </c>
    </row>
    <row r="564" spans="1:3" x14ac:dyDescent="0.25">
      <c r="A564" t="s">
        <v>1044</v>
      </c>
      <c r="B564" t="s">
        <v>2066</v>
      </c>
      <c r="C564">
        <v>1</v>
      </c>
    </row>
    <row r="565" spans="1:3" x14ac:dyDescent="0.25">
      <c r="A565" t="s">
        <v>531</v>
      </c>
      <c r="B565" t="s">
        <v>2066</v>
      </c>
      <c r="C565">
        <v>1</v>
      </c>
    </row>
    <row r="566" spans="1:3" x14ac:dyDescent="0.25">
      <c r="A566" t="s">
        <v>1051</v>
      </c>
      <c r="B566" t="s">
        <v>2066</v>
      </c>
      <c r="C566">
        <v>1</v>
      </c>
    </row>
    <row r="567" spans="1:3" x14ac:dyDescent="0.25">
      <c r="A567" t="s">
        <v>1057</v>
      </c>
      <c r="B567" t="s">
        <v>2066</v>
      </c>
      <c r="C567">
        <v>1</v>
      </c>
    </row>
    <row r="568" spans="1:3" x14ac:dyDescent="0.25">
      <c r="A568" t="s">
        <v>440</v>
      </c>
      <c r="B568" t="s">
        <v>2066</v>
      </c>
      <c r="C568">
        <v>1</v>
      </c>
    </row>
    <row r="569" spans="1:3" x14ac:dyDescent="0.25">
      <c r="A569" t="s">
        <v>665</v>
      </c>
      <c r="B569" t="s">
        <v>2066</v>
      </c>
      <c r="C569">
        <v>1</v>
      </c>
    </row>
    <row r="570" spans="1:3" x14ac:dyDescent="0.25">
      <c r="A570" t="s">
        <v>593</v>
      </c>
      <c r="B570" t="s">
        <v>2066</v>
      </c>
      <c r="C570">
        <v>1</v>
      </c>
    </row>
    <row r="571" spans="1:3" x14ac:dyDescent="0.25">
      <c r="A571" t="s">
        <v>648</v>
      </c>
      <c r="B571" t="s">
        <v>2066</v>
      </c>
      <c r="C571">
        <v>1</v>
      </c>
    </row>
    <row r="572" spans="1:3" x14ac:dyDescent="0.25">
      <c r="A572" t="s">
        <v>1071</v>
      </c>
      <c r="B572" t="s">
        <v>2066</v>
      </c>
      <c r="C572">
        <v>1</v>
      </c>
    </row>
    <row r="573" spans="1:3" x14ac:dyDescent="0.25">
      <c r="A573" t="s">
        <v>174</v>
      </c>
      <c r="B573" t="s">
        <v>2066</v>
      </c>
      <c r="C573">
        <v>1</v>
      </c>
    </row>
    <row r="574" spans="1:3" x14ac:dyDescent="0.25">
      <c r="A574" t="s">
        <v>37</v>
      </c>
      <c r="B574" t="s">
        <v>2066</v>
      </c>
      <c r="C574">
        <v>1</v>
      </c>
    </row>
    <row r="575" spans="1:3" x14ac:dyDescent="0.25">
      <c r="A575" t="s">
        <v>1082</v>
      </c>
      <c r="B575" t="s">
        <v>2066</v>
      </c>
      <c r="C575">
        <v>1</v>
      </c>
    </row>
    <row r="576" spans="1:3" x14ac:dyDescent="0.25">
      <c r="A576" t="s">
        <v>1087</v>
      </c>
      <c r="B576" t="s">
        <v>2066</v>
      </c>
      <c r="C576">
        <v>1</v>
      </c>
    </row>
    <row r="577" spans="1:3" x14ac:dyDescent="0.25">
      <c r="A577" t="s">
        <v>1089</v>
      </c>
      <c r="B577" t="s">
        <v>2066</v>
      </c>
      <c r="C577">
        <v>1</v>
      </c>
    </row>
    <row r="578" spans="1:3" x14ac:dyDescent="0.25">
      <c r="A578" t="s">
        <v>1090</v>
      </c>
      <c r="B578" t="s">
        <v>2066</v>
      </c>
      <c r="C578">
        <v>1</v>
      </c>
    </row>
    <row r="579" spans="1:3" x14ac:dyDescent="0.25">
      <c r="A579" t="s">
        <v>490</v>
      </c>
      <c r="B579" t="s">
        <v>2066</v>
      </c>
      <c r="C579">
        <v>1</v>
      </c>
    </row>
    <row r="580" spans="1:3" x14ac:dyDescent="0.25">
      <c r="A580" t="s">
        <v>825</v>
      </c>
      <c r="B580" t="s">
        <v>2066</v>
      </c>
      <c r="C580">
        <v>1</v>
      </c>
    </row>
    <row r="581" spans="1:3" x14ac:dyDescent="0.25">
      <c r="A581" t="s">
        <v>148</v>
      </c>
      <c r="B581" t="s">
        <v>2066</v>
      </c>
      <c r="C581">
        <v>1</v>
      </c>
    </row>
    <row r="582" spans="1:3" x14ac:dyDescent="0.25">
      <c r="A582" t="s">
        <v>465</v>
      </c>
      <c r="B582" t="s">
        <v>2066</v>
      </c>
      <c r="C582">
        <v>1</v>
      </c>
    </row>
    <row r="583" spans="1:3" x14ac:dyDescent="0.25">
      <c r="A583" t="s">
        <v>1100</v>
      </c>
      <c r="B583" t="s">
        <v>2066</v>
      </c>
      <c r="C583">
        <v>1</v>
      </c>
    </row>
    <row r="584" spans="1:3" x14ac:dyDescent="0.25">
      <c r="A584" t="s">
        <v>1101</v>
      </c>
      <c r="B584" t="s">
        <v>2066</v>
      </c>
      <c r="C584">
        <v>1</v>
      </c>
    </row>
    <row r="585" spans="1:3" x14ac:dyDescent="0.25">
      <c r="A585" t="s">
        <v>306</v>
      </c>
      <c r="B585" t="s">
        <v>2066</v>
      </c>
      <c r="C585">
        <v>1</v>
      </c>
    </row>
    <row r="586" spans="1:3" x14ac:dyDescent="0.25">
      <c r="A586" t="s">
        <v>208</v>
      </c>
      <c r="B586" t="s">
        <v>2066</v>
      </c>
      <c r="C586">
        <v>1</v>
      </c>
    </row>
    <row r="587" spans="1:3" x14ac:dyDescent="0.25">
      <c r="A587" t="s">
        <v>1109</v>
      </c>
      <c r="B587" t="s">
        <v>2066</v>
      </c>
      <c r="C587">
        <v>1</v>
      </c>
    </row>
    <row r="588" spans="1:3" x14ac:dyDescent="0.25">
      <c r="A588" t="s">
        <v>63</v>
      </c>
      <c r="B588" t="s">
        <v>2066</v>
      </c>
      <c r="C588">
        <v>1</v>
      </c>
    </row>
    <row r="589" spans="1:3" x14ac:dyDescent="0.25">
      <c r="A589" t="s">
        <v>1120</v>
      </c>
      <c r="B589" t="s">
        <v>2066</v>
      </c>
      <c r="C589">
        <v>1</v>
      </c>
    </row>
    <row r="590" spans="1:3" x14ac:dyDescent="0.25">
      <c r="A590" t="s">
        <v>90</v>
      </c>
      <c r="B590" t="s">
        <v>2066</v>
      </c>
      <c r="C590">
        <v>1</v>
      </c>
    </row>
    <row r="591" spans="1:3" x14ac:dyDescent="0.25">
      <c r="A591" t="s">
        <v>1125</v>
      </c>
      <c r="B591" t="s">
        <v>2066</v>
      </c>
      <c r="C591">
        <v>1</v>
      </c>
    </row>
    <row r="592" spans="1:3" x14ac:dyDescent="0.25">
      <c r="A592" t="s">
        <v>688</v>
      </c>
      <c r="B592" t="s">
        <v>2066</v>
      </c>
      <c r="C592">
        <v>1</v>
      </c>
    </row>
    <row r="593" spans="1:3" x14ac:dyDescent="0.25">
      <c r="A593" t="s">
        <v>1136</v>
      </c>
      <c r="B593" t="s">
        <v>2066</v>
      </c>
      <c r="C593">
        <v>1</v>
      </c>
    </row>
    <row r="594" spans="1:3" x14ac:dyDescent="0.25">
      <c r="A594" t="s">
        <v>2042</v>
      </c>
      <c r="B594" t="s">
        <v>2066</v>
      </c>
      <c r="C594">
        <v>1</v>
      </c>
    </row>
    <row r="595" spans="1:3" x14ac:dyDescent="0.25">
      <c r="A595" t="s">
        <v>190</v>
      </c>
      <c r="B595" t="s">
        <v>2066</v>
      </c>
      <c r="C595">
        <v>1</v>
      </c>
    </row>
    <row r="596" spans="1:3" x14ac:dyDescent="0.25">
      <c r="A596" t="s">
        <v>431</v>
      </c>
      <c r="B596" t="s">
        <v>2066</v>
      </c>
      <c r="C596">
        <v>1</v>
      </c>
    </row>
    <row r="597" spans="1:3" x14ac:dyDescent="0.25">
      <c r="A597" t="s">
        <v>778</v>
      </c>
      <c r="B597" t="s">
        <v>2066</v>
      </c>
      <c r="C597">
        <v>1</v>
      </c>
    </row>
    <row r="598" spans="1:3" x14ac:dyDescent="0.25">
      <c r="A598" t="s">
        <v>1143</v>
      </c>
      <c r="B598" t="s">
        <v>2066</v>
      </c>
      <c r="C598">
        <v>1</v>
      </c>
    </row>
    <row r="599" spans="1:3" x14ac:dyDescent="0.25">
      <c r="A599" t="s">
        <v>119</v>
      </c>
      <c r="B599" t="s">
        <v>2066</v>
      </c>
      <c r="C599">
        <v>1</v>
      </c>
    </row>
    <row r="600" spans="1:3" x14ac:dyDescent="0.25">
      <c r="A600" t="s">
        <v>1147</v>
      </c>
      <c r="B600" t="s">
        <v>2066</v>
      </c>
      <c r="C600">
        <v>1</v>
      </c>
    </row>
    <row r="601" spans="1:3" x14ac:dyDescent="0.25">
      <c r="A601" t="s">
        <v>1154</v>
      </c>
      <c r="B601" t="s">
        <v>2066</v>
      </c>
      <c r="C601">
        <v>1</v>
      </c>
    </row>
    <row r="602" spans="1:3" x14ac:dyDescent="0.25">
      <c r="A602" t="s">
        <v>518</v>
      </c>
      <c r="B602" t="s">
        <v>2069</v>
      </c>
      <c r="C602">
        <v>1</v>
      </c>
    </row>
    <row r="603" spans="1:3" x14ac:dyDescent="0.25">
      <c r="A603" t="s">
        <v>41</v>
      </c>
      <c r="B603" t="s">
        <v>2067</v>
      </c>
      <c r="C603">
        <v>23</v>
      </c>
    </row>
    <row r="604" spans="1:3" x14ac:dyDescent="0.25">
      <c r="A604" t="s">
        <v>68</v>
      </c>
      <c r="B604" t="s">
        <v>2067</v>
      </c>
      <c r="C604">
        <v>13</v>
      </c>
    </row>
    <row r="605" spans="1:3" x14ac:dyDescent="0.25">
      <c r="A605" t="s">
        <v>250</v>
      </c>
      <c r="B605" t="s">
        <v>2067</v>
      </c>
      <c r="C605">
        <v>13</v>
      </c>
    </row>
    <row r="606" spans="1:3" x14ac:dyDescent="0.25">
      <c r="A606" t="s">
        <v>159</v>
      </c>
      <c r="B606" t="s">
        <v>2067</v>
      </c>
      <c r="C606">
        <v>10</v>
      </c>
    </row>
    <row r="607" spans="1:3" x14ac:dyDescent="0.25">
      <c r="A607" t="s">
        <v>84</v>
      </c>
      <c r="B607" t="s">
        <v>2067</v>
      </c>
      <c r="C607">
        <v>10</v>
      </c>
    </row>
    <row r="608" spans="1:3" x14ac:dyDescent="0.25">
      <c r="A608" t="s">
        <v>425</v>
      </c>
      <c r="B608" t="s">
        <v>2067</v>
      </c>
      <c r="C608">
        <v>10</v>
      </c>
    </row>
    <row r="609" spans="1:3" x14ac:dyDescent="0.25">
      <c r="A609" t="s">
        <v>1419</v>
      </c>
      <c r="B609" t="s">
        <v>2067</v>
      </c>
      <c r="C609">
        <v>10</v>
      </c>
    </row>
    <row r="610" spans="1:3" x14ac:dyDescent="0.25">
      <c r="A610" t="s">
        <v>204</v>
      </c>
      <c r="B610" t="s">
        <v>2067</v>
      </c>
      <c r="C610">
        <v>9</v>
      </c>
    </row>
    <row r="611" spans="1:3" x14ac:dyDescent="0.25">
      <c r="A611" t="s">
        <v>16</v>
      </c>
      <c r="B611" t="s">
        <v>2067</v>
      </c>
      <c r="C611">
        <v>9</v>
      </c>
    </row>
    <row r="612" spans="1:3" x14ac:dyDescent="0.25">
      <c r="A612" t="s">
        <v>187</v>
      </c>
      <c r="B612" t="s">
        <v>2067</v>
      </c>
      <c r="C612">
        <v>8</v>
      </c>
    </row>
    <row r="613" spans="1:3" x14ac:dyDescent="0.25">
      <c r="A613" t="s">
        <v>465</v>
      </c>
      <c r="B613" t="s">
        <v>2067</v>
      </c>
      <c r="C613">
        <v>8</v>
      </c>
    </row>
    <row r="614" spans="1:3" x14ac:dyDescent="0.25">
      <c r="A614" t="s">
        <v>806</v>
      </c>
      <c r="B614" t="s">
        <v>2067</v>
      </c>
      <c r="C614">
        <v>7</v>
      </c>
    </row>
    <row r="615" spans="1:3" x14ac:dyDescent="0.25">
      <c r="A615" t="s">
        <v>113</v>
      </c>
      <c r="B615" t="s">
        <v>2067</v>
      </c>
      <c r="C615">
        <v>7</v>
      </c>
    </row>
    <row r="616" spans="1:3" x14ac:dyDescent="0.25">
      <c r="A616" t="s">
        <v>138</v>
      </c>
      <c r="B616" t="s">
        <v>2067</v>
      </c>
      <c r="C616">
        <v>7</v>
      </c>
    </row>
    <row r="617" spans="1:3" x14ac:dyDescent="0.25">
      <c r="A617" t="s">
        <v>43</v>
      </c>
      <c r="B617" t="s">
        <v>2067</v>
      </c>
      <c r="C617">
        <v>7</v>
      </c>
    </row>
    <row r="618" spans="1:3" x14ac:dyDescent="0.25">
      <c r="A618" t="s">
        <v>60</v>
      </c>
      <c r="B618" t="s">
        <v>2067</v>
      </c>
      <c r="C618">
        <v>7</v>
      </c>
    </row>
    <row r="619" spans="1:3" x14ac:dyDescent="0.25">
      <c r="A619" t="s">
        <v>58</v>
      </c>
      <c r="B619" t="s">
        <v>2067</v>
      </c>
      <c r="C619">
        <v>6</v>
      </c>
    </row>
    <row r="620" spans="1:3" x14ac:dyDescent="0.25">
      <c r="A620" t="s">
        <v>74</v>
      </c>
      <c r="B620" t="s">
        <v>2067</v>
      </c>
      <c r="C620">
        <v>6</v>
      </c>
    </row>
    <row r="621" spans="1:3" x14ac:dyDescent="0.25">
      <c r="A621" t="s">
        <v>237</v>
      </c>
      <c r="B621" t="s">
        <v>2067</v>
      </c>
      <c r="C621">
        <v>6</v>
      </c>
    </row>
    <row r="622" spans="1:3" x14ac:dyDescent="0.25">
      <c r="A622" t="s">
        <v>119</v>
      </c>
      <c r="B622" t="s">
        <v>2067</v>
      </c>
      <c r="C622">
        <v>5</v>
      </c>
    </row>
    <row r="623" spans="1:3" x14ac:dyDescent="0.25">
      <c r="A623" t="s">
        <v>0</v>
      </c>
      <c r="B623" t="s">
        <v>2067</v>
      </c>
      <c r="C623">
        <v>5</v>
      </c>
    </row>
    <row r="624" spans="1:3" x14ac:dyDescent="0.25">
      <c r="A624" t="s">
        <v>778</v>
      </c>
      <c r="B624" t="s">
        <v>2067</v>
      </c>
      <c r="C624">
        <v>5</v>
      </c>
    </row>
    <row r="625" spans="1:3" x14ac:dyDescent="0.25">
      <c r="A625" t="s">
        <v>117</v>
      </c>
      <c r="B625" t="s">
        <v>2067</v>
      </c>
      <c r="C625">
        <v>5</v>
      </c>
    </row>
    <row r="626" spans="1:3" x14ac:dyDescent="0.25">
      <c r="A626" t="s">
        <v>152</v>
      </c>
      <c r="B626" t="s">
        <v>2067</v>
      </c>
      <c r="C626">
        <v>4</v>
      </c>
    </row>
    <row r="627" spans="1:3" x14ac:dyDescent="0.25">
      <c r="A627" t="s">
        <v>480</v>
      </c>
      <c r="B627" t="s">
        <v>2067</v>
      </c>
      <c r="C627">
        <v>4</v>
      </c>
    </row>
    <row r="628" spans="1:3" x14ac:dyDescent="0.25">
      <c r="A628" t="s">
        <v>458</v>
      </c>
      <c r="B628" t="s">
        <v>2067</v>
      </c>
      <c r="C628">
        <v>4</v>
      </c>
    </row>
    <row r="629" spans="1:3" x14ac:dyDescent="0.25">
      <c r="A629" t="s">
        <v>167</v>
      </c>
      <c r="B629" t="s">
        <v>2067</v>
      </c>
      <c r="C629">
        <v>4</v>
      </c>
    </row>
    <row r="630" spans="1:3" x14ac:dyDescent="0.25">
      <c r="A630" t="s">
        <v>46</v>
      </c>
      <c r="B630" t="s">
        <v>2067</v>
      </c>
      <c r="C630">
        <v>4</v>
      </c>
    </row>
    <row r="631" spans="1:3" x14ac:dyDescent="0.25">
      <c r="A631" t="s">
        <v>614</v>
      </c>
      <c r="B631" t="s">
        <v>2067</v>
      </c>
      <c r="C631">
        <v>4</v>
      </c>
    </row>
    <row r="632" spans="1:3" x14ac:dyDescent="0.25">
      <c r="A632" t="s">
        <v>611</v>
      </c>
      <c r="B632" t="s">
        <v>2067</v>
      </c>
      <c r="C632">
        <v>4</v>
      </c>
    </row>
    <row r="633" spans="1:3" x14ac:dyDescent="0.25">
      <c r="A633" t="s">
        <v>474</v>
      </c>
      <c r="B633" t="s">
        <v>2067</v>
      </c>
      <c r="C633">
        <v>4</v>
      </c>
    </row>
    <row r="634" spans="1:3" x14ac:dyDescent="0.25">
      <c r="A634" t="s">
        <v>591</v>
      </c>
      <c r="B634" t="s">
        <v>2067</v>
      </c>
      <c r="C634">
        <v>4</v>
      </c>
    </row>
    <row r="635" spans="1:3" x14ac:dyDescent="0.25">
      <c r="A635" t="s">
        <v>637</v>
      </c>
      <c r="B635" t="s">
        <v>2067</v>
      </c>
      <c r="C635">
        <v>4</v>
      </c>
    </row>
    <row r="636" spans="1:3" x14ac:dyDescent="0.25">
      <c r="A636" t="s">
        <v>32</v>
      </c>
      <c r="B636" t="s">
        <v>2067</v>
      </c>
      <c r="C636">
        <v>4</v>
      </c>
    </row>
    <row r="637" spans="1:3" x14ac:dyDescent="0.25">
      <c r="A637" t="s">
        <v>6</v>
      </c>
      <c r="B637" t="s">
        <v>2067</v>
      </c>
      <c r="C637">
        <v>4</v>
      </c>
    </row>
    <row r="638" spans="1:3" x14ac:dyDescent="0.25">
      <c r="A638" t="s">
        <v>28</v>
      </c>
      <c r="B638" t="s">
        <v>2067</v>
      </c>
      <c r="C638">
        <v>4</v>
      </c>
    </row>
    <row r="639" spans="1:3" x14ac:dyDescent="0.25">
      <c r="A639" t="s">
        <v>218</v>
      </c>
      <c r="B639" t="s">
        <v>2067</v>
      </c>
      <c r="C639">
        <v>4</v>
      </c>
    </row>
    <row r="640" spans="1:3" x14ac:dyDescent="0.25">
      <c r="A640" t="s">
        <v>814</v>
      </c>
      <c r="B640" t="s">
        <v>2067</v>
      </c>
      <c r="C640">
        <v>4</v>
      </c>
    </row>
    <row r="641" spans="1:3" x14ac:dyDescent="0.25">
      <c r="A641" t="s">
        <v>1369</v>
      </c>
      <c r="B641" t="s">
        <v>2067</v>
      </c>
      <c r="C641">
        <v>4</v>
      </c>
    </row>
    <row r="642" spans="1:3" x14ac:dyDescent="0.25">
      <c r="A642" t="s">
        <v>1398</v>
      </c>
      <c r="B642" t="s">
        <v>2067</v>
      </c>
      <c r="C642">
        <v>4</v>
      </c>
    </row>
    <row r="643" spans="1:3" x14ac:dyDescent="0.25">
      <c r="A643" t="s">
        <v>361</v>
      </c>
      <c r="B643" t="s">
        <v>2067</v>
      </c>
      <c r="C643">
        <v>4</v>
      </c>
    </row>
    <row r="644" spans="1:3" x14ac:dyDescent="0.25">
      <c r="A644" t="s">
        <v>538</v>
      </c>
      <c r="B644" t="s">
        <v>2067</v>
      </c>
      <c r="C644">
        <v>4</v>
      </c>
    </row>
    <row r="645" spans="1:3" x14ac:dyDescent="0.25">
      <c r="A645" t="s">
        <v>798</v>
      </c>
      <c r="B645" t="s">
        <v>2067</v>
      </c>
      <c r="C645">
        <v>3</v>
      </c>
    </row>
    <row r="646" spans="1:3" x14ac:dyDescent="0.25">
      <c r="A646" t="s">
        <v>688</v>
      </c>
      <c r="B646" t="s">
        <v>2067</v>
      </c>
      <c r="C646">
        <v>3</v>
      </c>
    </row>
    <row r="647" spans="1:3" x14ac:dyDescent="0.25">
      <c r="A647" t="s">
        <v>4</v>
      </c>
      <c r="B647" t="s">
        <v>2067</v>
      </c>
      <c r="C647">
        <v>3</v>
      </c>
    </row>
    <row r="648" spans="1:3" x14ac:dyDescent="0.25">
      <c r="A648" t="s">
        <v>1168</v>
      </c>
      <c r="B648" t="s">
        <v>2067</v>
      </c>
      <c r="C648">
        <v>3</v>
      </c>
    </row>
    <row r="649" spans="1:3" x14ac:dyDescent="0.25">
      <c r="A649" t="s">
        <v>837</v>
      </c>
      <c r="B649" t="s">
        <v>2067</v>
      </c>
      <c r="C649">
        <v>3</v>
      </c>
    </row>
    <row r="650" spans="1:3" x14ac:dyDescent="0.25">
      <c r="A650" t="s">
        <v>174</v>
      </c>
      <c r="B650" t="s">
        <v>2067</v>
      </c>
      <c r="C650">
        <v>3</v>
      </c>
    </row>
    <row r="651" spans="1:3" x14ac:dyDescent="0.25">
      <c r="A651" t="s">
        <v>490</v>
      </c>
      <c r="B651" t="s">
        <v>2067</v>
      </c>
      <c r="C651">
        <v>3</v>
      </c>
    </row>
    <row r="652" spans="1:3" x14ac:dyDescent="0.25">
      <c r="A652" t="s">
        <v>115</v>
      </c>
      <c r="B652" t="s">
        <v>2067</v>
      </c>
      <c r="C652">
        <v>3</v>
      </c>
    </row>
    <row r="653" spans="1:3" x14ac:dyDescent="0.25">
      <c r="A653" t="s">
        <v>70</v>
      </c>
      <c r="B653" t="s">
        <v>2067</v>
      </c>
      <c r="C653">
        <v>3</v>
      </c>
    </row>
    <row r="654" spans="1:3" x14ac:dyDescent="0.25">
      <c r="A654" t="s">
        <v>252</v>
      </c>
      <c r="B654" t="s">
        <v>2067</v>
      </c>
      <c r="C654">
        <v>3</v>
      </c>
    </row>
    <row r="655" spans="1:3" x14ac:dyDescent="0.25">
      <c r="A655" t="s">
        <v>9</v>
      </c>
      <c r="B655" t="s">
        <v>2067</v>
      </c>
      <c r="C655">
        <v>3</v>
      </c>
    </row>
    <row r="656" spans="1:3" x14ac:dyDescent="0.25">
      <c r="A656" t="s">
        <v>30</v>
      </c>
      <c r="B656" t="s">
        <v>2067</v>
      </c>
      <c r="C656">
        <v>3</v>
      </c>
    </row>
    <row r="657" spans="1:3" x14ac:dyDescent="0.25">
      <c r="A657" t="s">
        <v>923</v>
      </c>
      <c r="B657" t="s">
        <v>2067</v>
      </c>
      <c r="C657">
        <v>3</v>
      </c>
    </row>
    <row r="658" spans="1:3" x14ac:dyDescent="0.25">
      <c r="A658" t="s">
        <v>253</v>
      </c>
      <c r="B658" t="s">
        <v>2067</v>
      </c>
      <c r="C658">
        <v>3</v>
      </c>
    </row>
    <row r="659" spans="1:3" x14ac:dyDescent="0.25">
      <c r="A659" t="s">
        <v>63</v>
      </c>
      <c r="B659" t="s">
        <v>2067</v>
      </c>
      <c r="C659">
        <v>3</v>
      </c>
    </row>
    <row r="660" spans="1:3" x14ac:dyDescent="0.25">
      <c r="A660" t="s">
        <v>206</v>
      </c>
      <c r="B660" t="s">
        <v>2067</v>
      </c>
      <c r="C660">
        <v>3</v>
      </c>
    </row>
    <row r="661" spans="1:3" x14ac:dyDescent="0.25">
      <c r="A661" t="s">
        <v>631</v>
      </c>
      <c r="B661" t="s">
        <v>2067</v>
      </c>
      <c r="C661">
        <v>3</v>
      </c>
    </row>
    <row r="662" spans="1:3" x14ac:dyDescent="0.25">
      <c r="A662" t="s">
        <v>973</v>
      </c>
      <c r="B662" t="s">
        <v>2067</v>
      </c>
      <c r="C662">
        <v>3</v>
      </c>
    </row>
    <row r="663" spans="1:3" x14ac:dyDescent="0.25">
      <c r="A663" t="s">
        <v>626</v>
      </c>
      <c r="B663" t="s">
        <v>2067</v>
      </c>
      <c r="C663">
        <v>3</v>
      </c>
    </row>
    <row r="664" spans="1:3" x14ac:dyDescent="0.25">
      <c r="A664" t="s">
        <v>1424</v>
      </c>
      <c r="B664" t="s">
        <v>2067</v>
      </c>
      <c r="C664">
        <v>3</v>
      </c>
    </row>
    <row r="665" spans="1:3" x14ac:dyDescent="0.25">
      <c r="A665" t="s">
        <v>1087</v>
      </c>
      <c r="B665" t="s">
        <v>2067</v>
      </c>
      <c r="C665">
        <v>2</v>
      </c>
    </row>
    <row r="666" spans="1:3" x14ac:dyDescent="0.25">
      <c r="A666" t="s">
        <v>1174</v>
      </c>
      <c r="B666" t="s">
        <v>2067</v>
      </c>
      <c r="C666">
        <v>2</v>
      </c>
    </row>
    <row r="667" spans="1:3" x14ac:dyDescent="0.25">
      <c r="A667" t="s">
        <v>2052</v>
      </c>
      <c r="B667" t="s">
        <v>2067</v>
      </c>
      <c r="C667">
        <v>2</v>
      </c>
    </row>
    <row r="668" spans="1:3" x14ac:dyDescent="0.25">
      <c r="A668" t="s">
        <v>161</v>
      </c>
      <c r="B668" t="s">
        <v>2067</v>
      </c>
      <c r="C668">
        <v>2</v>
      </c>
    </row>
    <row r="669" spans="1:3" x14ac:dyDescent="0.25">
      <c r="A669" t="s">
        <v>93</v>
      </c>
      <c r="B669" t="s">
        <v>2067</v>
      </c>
      <c r="C669">
        <v>2</v>
      </c>
    </row>
    <row r="670" spans="1:3" x14ac:dyDescent="0.25">
      <c r="A670" t="s">
        <v>345</v>
      </c>
      <c r="B670" t="s">
        <v>2067</v>
      </c>
      <c r="C670">
        <v>2</v>
      </c>
    </row>
    <row r="671" spans="1:3" x14ac:dyDescent="0.25">
      <c r="A671" t="s">
        <v>1209</v>
      </c>
      <c r="B671" t="s">
        <v>2067</v>
      </c>
      <c r="C671">
        <v>2</v>
      </c>
    </row>
    <row r="672" spans="1:3" x14ac:dyDescent="0.25">
      <c r="A672" t="s">
        <v>624</v>
      </c>
      <c r="B672" t="s">
        <v>2067</v>
      </c>
      <c r="C672">
        <v>2</v>
      </c>
    </row>
    <row r="673" spans="1:3" x14ac:dyDescent="0.25">
      <c r="A673" t="s">
        <v>208</v>
      </c>
      <c r="B673" t="s">
        <v>2067</v>
      </c>
      <c r="C673">
        <v>2</v>
      </c>
    </row>
    <row r="674" spans="1:3" x14ac:dyDescent="0.25">
      <c r="A674" t="s">
        <v>733</v>
      </c>
      <c r="B674" t="s">
        <v>2067</v>
      </c>
      <c r="C674">
        <v>2</v>
      </c>
    </row>
    <row r="675" spans="1:3" x14ac:dyDescent="0.25">
      <c r="A675" t="s">
        <v>1233</v>
      </c>
      <c r="B675" t="s">
        <v>2067</v>
      </c>
      <c r="C675">
        <v>2</v>
      </c>
    </row>
    <row r="676" spans="1:3" x14ac:dyDescent="0.25">
      <c r="A676" t="s">
        <v>1248</v>
      </c>
      <c r="B676" t="s">
        <v>2067</v>
      </c>
      <c r="C676">
        <v>2</v>
      </c>
    </row>
    <row r="677" spans="1:3" x14ac:dyDescent="0.25">
      <c r="A677" t="s">
        <v>274</v>
      </c>
      <c r="B677" t="s">
        <v>2067</v>
      </c>
      <c r="C677">
        <v>2</v>
      </c>
    </row>
    <row r="678" spans="1:3" x14ac:dyDescent="0.25">
      <c r="A678" t="s">
        <v>107</v>
      </c>
      <c r="B678" t="s">
        <v>2067</v>
      </c>
      <c r="C678">
        <v>2</v>
      </c>
    </row>
    <row r="679" spans="1:3" x14ac:dyDescent="0.25">
      <c r="A679" t="s">
        <v>1275</v>
      </c>
      <c r="B679" t="s">
        <v>2067</v>
      </c>
      <c r="C679">
        <v>2</v>
      </c>
    </row>
    <row r="680" spans="1:3" x14ac:dyDescent="0.25">
      <c r="A680" t="s">
        <v>72</v>
      </c>
      <c r="B680" t="s">
        <v>2067</v>
      </c>
      <c r="C680">
        <v>2</v>
      </c>
    </row>
    <row r="681" spans="1:3" x14ac:dyDescent="0.25">
      <c r="A681" t="s">
        <v>339</v>
      </c>
      <c r="B681" t="s">
        <v>2067</v>
      </c>
      <c r="C681">
        <v>2</v>
      </c>
    </row>
    <row r="682" spans="1:3" x14ac:dyDescent="0.25">
      <c r="A682" t="s">
        <v>130</v>
      </c>
      <c r="B682" t="s">
        <v>2067</v>
      </c>
      <c r="C682">
        <v>2</v>
      </c>
    </row>
    <row r="683" spans="1:3" x14ac:dyDescent="0.25">
      <c r="A683" t="s">
        <v>129</v>
      </c>
      <c r="B683" t="s">
        <v>2067</v>
      </c>
      <c r="C683">
        <v>2</v>
      </c>
    </row>
    <row r="684" spans="1:3" x14ac:dyDescent="0.25">
      <c r="A684" t="s">
        <v>103</v>
      </c>
      <c r="B684" t="s">
        <v>2067</v>
      </c>
      <c r="C684">
        <v>2</v>
      </c>
    </row>
    <row r="685" spans="1:3" x14ac:dyDescent="0.25">
      <c r="A685" t="s">
        <v>1044</v>
      </c>
      <c r="B685" t="s">
        <v>2067</v>
      </c>
      <c r="C685">
        <v>2</v>
      </c>
    </row>
    <row r="686" spans="1:3" x14ac:dyDescent="0.25">
      <c r="A686" t="s">
        <v>514</v>
      </c>
      <c r="B686" t="s">
        <v>2067</v>
      </c>
      <c r="C686">
        <v>2</v>
      </c>
    </row>
    <row r="687" spans="1:3" x14ac:dyDescent="0.25">
      <c r="A687" t="s">
        <v>336</v>
      </c>
      <c r="B687" t="s">
        <v>2067</v>
      </c>
      <c r="C687">
        <v>2</v>
      </c>
    </row>
    <row r="688" spans="1:3" x14ac:dyDescent="0.25">
      <c r="A688" t="s">
        <v>1373</v>
      </c>
      <c r="B688" t="s">
        <v>2067</v>
      </c>
      <c r="C688">
        <v>2</v>
      </c>
    </row>
    <row r="689" spans="1:3" x14ac:dyDescent="0.25">
      <c r="A689" t="s">
        <v>1374</v>
      </c>
      <c r="B689" t="s">
        <v>2067</v>
      </c>
      <c r="C689">
        <v>2</v>
      </c>
    </row>
    <row r="690" spans="1:3" x14ac:dyDescent="0.25">
      <c r="A690" t="s">
        <v>1384</v>
      </c>
      <c r="B690" t="s">
        <v>2067</v>
      </c>
      <c r="C690">
        <v>2</v>
      </c>
    </row>
    <row r="691" spans="1:3" x14ac:dyDescent="0.25">
      <c r="A691" t="s">
        <v>895</v>
      </c>
      <c r="B691" t="s">
        <v>2067</v>
      </c>
      <c r="C691">
        <v>2</v>
      </c>
    </row>
    <row r="692" spans="1:3" x14ac:dyDescent="0.25">
      <c r="A692" t="s">
        <v>105</v>
      </c>
      <c r="B692" t="s">
        <v>2067</v>
      </c>
      <c r="C692">
        <v>2</v>
      </c>
    </row>
    <row r="693" spans="1:3" x14ac:dyDescent="0.25">
      <c r="A693" t="s">
        <v>1413</v>
      </c>
      <c r="B693" t="s">
        <v>2067</v>
      </c>
      <c r="C693">
        <v>2</v>
      </c>
    </row>
    <row r="694" spans="1:3" x14ac:dyDescent="0.25">
      <c r="A694" t="s">
        <v>1411</v>
      </c>
      <c r="B694" t="s">
        <v>2067</v>
      </c>
      <c r="C694">
        <v>2</v>
      </c>
    </row>
    <row r="695" spans="1:3" x14ac:dyDescent="0.25">
      <c r="A695" t="s">
        <v>518</v>
      </c>
      <c r="B695" t="s">
        <v>2067</v>
      </c>
      <c r="C695">
        <v>2</v>
      </c>
    </row>
    <row r="696" spans="1:3" x14ac:dyDescent="0.25">
      <c r="A696" t="s">
        <v>1433</v>
      </c>
      <c r="B696" t="s">
        <v>2067</v>
      </c>
      <c r="C696">
        <v>2</v>
      </c>
    </row>
    <row r="697" spans="1:3" x14ac:dyDescent="0.25">
      <c r="A697" t="s">
        <v>1447</v>
      </c>
      <c r="B697" t="s">
        <v>2067</v>
      </c>
      <c r="C697">
        <v>2</v>
      </c>
    </row>
    <row r="698" spans="1:3" x14ac:dyDescent="0.25">
      <c r="A698" t="s">
        <v>123</v>
      </c>
      <c r="B698" t="s">
        <v>2067</v>
      </c>
      <c r="C698">
        <v>1</v>
      </c>
    </row>
    <row r="699" spans="1:3" x14ac:dyDescent="0.25">
      <c r="A699" t="s">
        <v>1164</v>
      </c>
      <c r="B699" t="s">
        <v>2067</v>
      </c>
      <c r="C699">
        <v>1</v>
      </c>
    </row>
    <row r="700" spans="1:3" x14ac:dyDescent="0.25">
      <c r="A700" t="s">
        <v>635</v>
      </c>
      <c r="B700" t="s">
        <v>2067</v>
      </c>
      <c r="C700">
        <v>1</v>
      </c>
    </row>
    <row r="701" spans="1:3" x14ac:dyDescent="0.25">
      <c r="A701" t="s">
        <v>1165</v>
      </c>
      <c r="B701" t="s">
        <v>2067</v>
      </c>
      <c r="C701">
        <v>1</v>
      </c>
    </row>
    <row r="702" spans="1:3" x14ac:dyDescent="0.25">
      <c r="A702" t="s">
        <v>1162</v>
      </c>
      <c r="B702" t="s">
        <v>2067</v>
      </c>
      <c r="C702">
        <v>1</v>
      </c>
    </row>
    <row r="703" spans="1:3" x14ac:dyDescent="0.25">
      <c r="A703" t="s">
        <v>293</v>
      </c>
      <c r="B703" t="s">
        <v>2067</v>
      </c>
      <c r="C703">
        <v>1</v>
      </c>
    </row>
    <row r="704" spans="1:3" x14ac:dyDescent="0.25">
      <c r="A704" t="s">
        <v>503</v>
      </c>
      <c r="B704" t="s">
        <v>2067</v>
      </c>
      <c r="C704">
        <v>1</v>
      </c>
    </row>
    <row r="705" spans="1:3" x14ac:dyDescent="0.25">
      <c r="A705" t="s">
        <v>661</v>
      </c>
      <c r="B705" t="s">
        <v>2067</v>
      </c>
      <c r="C705">
        <v>1</v>
      </c>
    </row>
    <row r="706" spans="1:3" x14ac:dyDescent="0.25">
      <c r="A706" t="s">
        <v>1186</v>
      </c>
      <c r="B706" t="s">
        <v>2067</v>
      </c>
      <c r="C706">
        <v>1</v>
      </c>
    </row>
    <row r="707" spans="1:3" x14ac:dyDescent="0.25">
      <c r="A707" t="s">
        <v>144</v>
      </c>
      <c r="B707" t="s">
        <v>2067</v>
      </c>
      <c r="C707">
        <v>1</v>
      </c>
    </row>
    <row r="708" spans="1:3" x14ac:dyDescent="0.25">
      <c r="A708" t="s">
        <v>531</v>
      </c>
      <c r="B708" t="s">
        <v>2067</v>
      </c>
      <c r="C708">
        <v>1</v>
      </c>
    </row>
    <row r="709" spans="1:3" x14ac:dyDescent="0.25">
      <c r="A709" t="s">
        <v>1214</v>
      </c>
      <c r="B709" t="s">
        <v>2067</v>
      </c>
      <c r="C709">
        <v>1</v>
      </c>
    </row>
    <row r="710" spans="1:3" x14ac:dyDescent="0.25">
      <c r="A710" t="s">
        <v>816</v>
      </c>
      <c r="B710" t="s">
        <v>2067</v>
      </c>
      <c r="C710">
        <v>1</v>
      </c>
    </row>
    <row r="711" spans="1:3" x14ac:dyDescent="0.25">
      <c r="A711" t="s">
        <v>965</v>
      </c>
      <c r="B711" t="s">
        <v>2067</v>
      </c>
      <c r="C711">
        <v>1</v>
      </c>
    </row>
    <row r="712" spans="1:3" x14ac:dyDescent="0.25">
      <c r="A712" t="s">
        <v>228</v>
      </c>
      <c r="B712" t="s">
        <v>2067</v>
      </c>
      <c r="C712">
        <v>1</v>
      </c>
    </row>
    <row r="713" spans="1:3" x14ac:dyDescent="0.25">
      <c r="A713" t="s">
        <v>276</v>
      </c>
      <c r="B713" t="s">
        <v>2067</v>
      </c>
      <c r="C713">
        <v>1</v>
      </c>
    </row>
    <row r="714" spans="1:3" x14ac:dyDescent="0.25">
      <c r="A714" t="s">
        <v>88</v>
      </c>
      <c r="B714" t="s">
        <v>2067</v>
      </c>
      <c r="C714">
        <v>1</v>
      </c>
    </row>
    <row r="715" spans="1:3" x14ac:dyDescent="0.25">
      <c r="A715" t="s">
        <v>354</v>
      </c>
      <c r="B715" t="s">
        <v>2067</v>
      </c>
      <c r="C715">
        <v>1</v>
      </c>
    </row>
    <row r="716" spans="1:3" x14ac:dyDescent="0.25">
      <c r="A716" t="s">
        <v>1236</v>
      </c>
      <c r="B716" t="s">
        <v>2067</v>
      </c>
      <c r="C716">
        <v>1</v>
      </c>
    </row>
    <row r="717" spans="1:3" x14ac:dyDescent="0.25">
      <c r="A717" t="s">
        <v>153</v>
      </c>
      <c r="B717" t="s">
        <v>2067</v>
      </c>
      <c r="C717">
        <v>1</v>
      </c>
    </row>
    <row r="718" spans="1:3" x14ac:dyDescent="0.25">
      <c r="A718" t="s">
        <v>952</v>
      </c>
      <c r="B718" t="s">
        <v>2067</v>
      </c>
      <c r="C718">
        <v>1</v>
      </c>
    </row>
    <row r="719" spans="1:3" x14ac:dyDescent="0.25">
      <c r="A719" t="s">
        <v>431</v>
      </c>
      <c r="B719" t="s">
        <v>2067</v>
      </c>
      <c r="C719">
        <v>1</v>
      </c>
    </row>
    <row r="720" spans="1:3" x14ac:dyDescent="0.25">
      <c r="A720" t="s">
        <v>1246</v>
      </c>
      <c r="B720" t="s">
        <v>2067</v>
      </c>
      <c r="C720">
        <v>1</v>
      </c>
    </row>
    <row r="721" spans="1:3" x14ac:dyDescent="0.25">
      <c r="A721" t="s">
        <v>390</v>
      </c>
      <c r="B721" t="s">
        <v>2067</v>
      </c>
      <c r="C721">
        <v>1</v>
      </c>
    </row>
    <row r="722" spans="1:3" x14ac:dyDescent="0.25">
      <c r="A722" t="s">
        <v>1255</v>
      </c>
      <c r="B722" t="s">
        <v>2067</v>
      </c>
      <c r="C722">
        <v>1</v>
      </c>
    </row>
    <row r="723" spans="1:3" x14ac:dyDescent="0.25">
      <c r="A723" t="s">
        <v>346</v>
      </c>
      <c r="B723" t="s">
        <v>2067</v>
      </c>
      <c r="C723">
        <v>1</v>
      </c>
    </row>
    <row r="724" spans="1:3" x14ac:dyDescent="0.25">
      <c r="A724">
        <v>6</v>
      </c>
      <c r="B724" t="s">
        <v>2067</v>
      </c>
      <c r="C724">
        <v>1</v>
      </c>
    </row>
    <row r="725" spans="1:3" x14ac:dyDescent="0.25">
      <c r="A725" t="s">
        <v>1260</v>
      </c>
      <c r="B725" t="s">
        <v>2067</v>
      </c>
      <c r="C725">
        <v>1</v>
      </c>
    </row>
    <row r="726" spans="1:3" x14ac:dyDescent="0.25">
      <c r="A726" t="s">
        <v>1262</v>
      </c>
      <c r="B726" t="s">
        <v>2067</v>
      </c>
      <c r="C726">
        <v>1</v>
      </c>
    </row>
    <row r="727" spans="1:3" x14ac:dyDescent="0.25">
      <c r="A727" t="s">
        <v>1263</v>
      </c>
      <c r="B727" t="s">
        <v>2067</v>
      </c>
      <c r="C727">
        <v>1</v>
      </c>
    </row>
    <row r="728" spans="1:3" x14ac:dyDescent="0.25">
      <c r="A728" t="s">
        <v>324</v>
      </c>
      <c r="B728" t="s">
        <v>2067</v>
      </c>
      <c r="C728">
        <v>1</v>
      </c>
    </row>
    <row r="729" spans="1:3" x14ac:dyDescent="0.25">
      <c r="A729" t="s">
        <v>1267</v>
      </c>
      <c r="B729" t="s">
        <v>2067</v>
      </c>
      <c r="C729">
        <v>1</v>
      </c>
    </row>
    <row r="730" spans="1:3" x14ac:dyDescent="0.25">
      <c r="A730" t="s">
        <v>1269</v>
      </c>
      <c r="B730" t="s">
        <v>2067</v>
      </c>
      <c r="C730">
        <v>1</v>
      </c>
    </row>
    <row r="731" spans="1:3" x14ac:dyDescent="0.25">
      <c r="A731" t="s">
        <v>1273</v>
      </c>
      <c r="B731" t="s">
        <v>2067</v>
      </c>
      <c r="C731">
        <v>1</v>
      </c>
    </row>
    <row r="732" spans="1:3" x14ac:dyDescent="0.25">
      <c r="A732" t="s">
        <v>665</v>
      </c>
      <c r="B732" t="s">
        <v>2067</v>
      </c>
      <c r="C732">
        <v>1</v>
      </c>
    </row>
    <row r="733" spans="1:3" x14ac:dyDescent="0.25">
      <c r="A733" t="s">
        <v>1074</v>
      </c>
      <c r="B733" t="s">
        <v>2067</v>
      </c>
      <c r="C733">
        <v>1</v>
      </c>
    </row>
    <row r="734" spans="1:3" x14ac:dyDescent="0.25">
      <c r="A734" t="s">
        <v>1288</v>
      </c>
      <c r="B734" t="s">
        <v>2067</v>
      </c>
      <c r="C734">
        <v>1</v>
      </c>
    </row>
    <row r="735" spans="1:3" x14ac:dyDescent="0.25">
      <c r="A735" t="s">
        <v>1286</v>
      </c>
      <c r="B735" t="s">
        <v>2067</v>
      </c>
      <c r="C735">
        <v>1</v>
      </c>
    </row>
    <row r="736" spans="1:3" x14ac:dyDescent="0.25">
      <c r="A736" t="s">
        <v>1282</v>
      </c>
      <c r="B736" t="s">
        <v>2067</v>
      </c>
      <c r="C736">
        <v>1</v>
      </c>
    </row>
    <row r="737" spans="1:3" x14ac:dyDescent="0.25">
      <c r="A737" t="s">
        <v>698</v>
      </c>
      <c r="B737" t="s">
        <v>2067</v>
      </c>
      <c r="C737">
        <v>1</v>
      </c>
    </row>
    <row r="738" spans="1:3" x14ac:dyDescent="0.25">
      <c r="A738" t="s">
        <v>1292</v>
      </c>
      <c r="B738" t="s">
        <v>2067</v>
      </c>
      <c r="C738">
        <v>1</v>
      </c>
    </row>
    <row r="739" spans="1:3" x14ac:dyDescent="0.25">
      <c r="A739" t="s">
        <v>1294</v>
      </c>
      <c r="B739" t="s">
        <v>2067</v>
      </c>
      <c r="C739">
        <v>1</v>
      </c>
    </row>
    <row r="740" spans="1:3" x14ac:dyDescent="0.25">
      <c r="A740" t="s">
        <v>356</v>
      </c>
      <c r="B740" t="s">
        <v>2067</v>
      </c>
      <c r="C740">
        <v>1</v>
      </c>
    </row>
    <row r="741" spans="1:3" x14ac:dyDescent="0.25">
      <c r="A741" t="s">
        <v>1297</v>
      </c>
      <c r="B741" t="s">
        <v>2067</v>
      </c>
      <c r="C741">
        <v>1</v>
      </c>
    </row>
    <row r="742" spans="1:3" x14ac:dyDescent="0.25">
      <c r="A742" t="s">
        <v>1304</v>
      </c>
      <c r="B742" t="s">
        <v>2067</v>
      </c>
      <c r="C742">
        <v>1</v>
      </c>
    </row>
    <row r="743" spans="1:3" x14ac:dyDescent="0.25">
      <c r="A743" t="s">
        <v>580</v>
      </c>
      <c r="B743" t="s">
        <v>2067</v>
      </c>
      <c r="C743">
        <v>1</v>
      </c>
    </row>
    <row r="744" spans="1:3" x14ac:dyDescent="0.25">
      <c r="A744" t="s">
        <v>1309</v>
      </c>
      <c r="B744" t="s">
        <v>2067</v>
      </c>
      <c r="C744">
        <v>1</v>
      </c>
    </row>
    <row r="745" spans="1:3" x14ac:dyDescent="0.25">
      <c r="A745" t="s">
        <v>902</v>
      </c>
      <c r="B745" t="s">
        <v>2067</v>
      </c>
      <c r="C745">
        <v>1</v>
      </c>
    </row>
    <row r="746" spans="1:3" x14ac:dyDescent="0.25">
      <c r="A746" t="s">
        <v>1318</v>
      </c>
      <c r="B746" t="s">
        <v>2067</v>
      </c>
      <c r="C746">
        <v>1</v>
      </c>
    </row>
    <row r="747" spans="1:3" x14ac:dyDescent="0.25">
      <c r="A747" t="s">
        <v>991</v>
      </c>
      <c r="B747" t="s">
        <v>2067</v>
      </c>
      <c r="C747">
        <v>1</v>
      </c>
    </row>
    <row r="748" spans="1:3" x14ac:dyDescent="0.25">
      <c r="A748" t="s">
        <v>1324</v>
      </c>
      <c r="B748" t="s">
        <v>2067</v>
      </c>
      <c r="C748">
        <v>1</v>
      </c>
    </row>
    <row r="749" spans="1:3" x14ac:dyDescent="0.25">
      <c r="A749" t="s">
        <v>550</v>
      </c>
      <c r="B749" t="s">
        <v>2067</v>
      </c>
      <c r="C749">
        <v>1</v>
      </c>
    </row>
    <row r="750" spans="1:3" x14ac:dyDescent="0.25">
      <c r="A750" t="s">
        <v>1327</v>
      </c>
      <c r="B750" t="s">
        <v>2067</v>
      </c>
      <c r="C750">
        <v>1</v>
      </c>
    </row>
    <row r="751" spans="1:3" x14ac:dyDescent="0.25">
      <c r="A751" t="s">
        <v>543</v>
      </c>
      <c r="B751" t="s">
        <v>2067</v>
      </c>
      <c r="C751">
        <v>1</v>
      </c>
    </row>
    <row r="752" spans="1:3" x14ac:dyDescent="0.25">
      <c r="A752" t="s">
        <v>1338</v>
      </c>
      <c r="B752" t="s">
        <v>2067</v>
      </c>
      <c r="C752">
        <v>1</v>
      </c>
    </row>
    <row r="753" spans="1:3" x14ac:dyDescent="0.25">
      <c r="A753" t="s">
        <v>712</v>
      </c>
      <c r="B753" t="s">
        <v>2067</v>
      </c>
      <c r="C753">
        <v>1</v>
      </c>
    </row>
    <row r="754" spans="1:3" x14ac:dyDescent="0.25">
      <c r="A754" t="s">
        <v>192</v>
      </c>
      <c r="B754" t="s">
        <v>2067</v>
      </c>
      <c r="C754">
        <v>1</v>
      </c>
    </row>
    <row r="755" spans="1:3" x14ac:dyDescent="0.25">
      <c r="A755" t="s">
        <v>1344</v>
      </c>
      <c r="B755" t="s">
        <v>2067</v>
      </c>
      <c r="C755">
        <v>1</v>
      </c>
    </row>
    <row r="756" spans="1:3" x14ac:dyDescent="0.25">
      <c r="A756" t="s">
        <v>747</v>
      </c>
      <c r="B756" t="s">
        <v>2067</v>
      </c>
      <c r="C756">
        <v>1</v>
      </c>
    </row>
    <row r="757" spans="1:3" x14ac:dyDescent="0.25">
      <c r="A757" t="s">
        <v>1334</v>
      </c>
      <c r="B757" t="s">
        <v>2067</v>
      </c>
      <c r="C757">
        <v>1</v>
      </c>
    </row>
    <row r="758" spans="1:3" x14ac:dyDescent="0.25">
      <c r="A758" t="s">
        <v>1336</v>
      </c>
      <c r="B758" t="s">
        <v>2067</v>
      </c>
      <c r="C758">
        <v>1</v>
      </c>
    </row>
    <row r="759" spans="1:3" x14ac:dyDescent="0.25">
      <c r="A759" t="s">
        <v>56</v>
      </c>
      <c r="B759" t="s">
        <v>2067</v>
      </c>
      <c r="C759">
        <v>1</v>
      </c>
    </row>
    <row r="760" spans="1:3" x14ac:dyDescent="0.25">
      <c r="A760" t="s">
        <v>1351</v>
      </c>
      <c r="B760" t="s">
        <v>2067</v>
      </c>
      <c r="C760">
        <v>1</v>
      </c>
    </row>
    <row r="761" spans="1:3" x14ac:dyDescent="0.25">
      <c r="A761" t="s">
        <v>1354</v>
      </c>
      <c r="B761" t="s">
        <v>2067</v>
      </c>
      <c r="C761">
        <v>1</v>
      </c>
    </row>
    <row r="762" spans="1:3" x14ac:dyDescent="0.25">
      <c r="A762" t="s">
        <v>125</v>
      </c>
      <c r="B762" t="s">
        <v>2067</v>
      </c>
      <c r="C762">
        <v>1</v>
      </c>
    </row>
    <row r="763" spans="1:3" x14ac:dyDescent="0.25">
      <c r="A763" t="s">
        <v>763</v>
      </c>
      <c r="B763" t="s">
        <v>2067</v>
      </c>
      <c r="C763">
        <v>1</v>
      </c>
    </row>
    <row r="764" spans="1:3" x14ac:dyDescent="0.25">
      <c r="A764" t="s">
        <v>82</v>
      </c>
      <c r="B764" t="s">
        <v>2067</v>
      </c>
      <c r="C764">
        <v>1</v>
      </c>
    </row>
    <row r="765" spans="1:3" x14ac:dyDescent="0.25">
      <c r="A765" t="s">
        <v>1371</v>
      </c>
      <c r="B765" t="s">
        <v>2067</v>
      </c>
      <c r="C765">
        <v>1</v>
      </c>
    </row>
    <row r="766" spans="1:3" x14ac:dyDescent="0.25">
      <c r="A766" t="s">
        <v>1379</v>
      </c>
      <c r="B766" t="s">
        <v>2067</v>
      </c>
      <c r="C766">
        <v>1</v>
      </c>
    </row>
    <row r="767" spans="1:3" x14ac:dyDescent="0.25">
      <c r="A767" t="s">
        <v>1386</v>
      </c>
      <c r="B767" t="s">
        <v>2067</v>
      </c>
      <c r="C767">
        <v>1</v>
      </c>
    </row>
    <row r="768" spans="1:3" x14ac:dyDescent="0.25">
      <c r="A768" t="s">
        <v>511</v>
      </c>
      <c r="B768" t="s">
        <v>2067</v>
      </c>
      <c r="C768">
        <v>1</v>
      </c>
    </row>
    <row r="769" spans="1:3" x14ac:dyDescent="0.25">
      <c r="A769" t="s">
        <v>1396</v>
      </c>
      <c r="B769" t="s">
        <v>2067</v>
      </c>
      <c r="C769">
        <v>1</v>
      </c>
    </row>
    <row r="770" spans="1:3" x14ac:dyDescent="0.25">
      <c r="A770" t="s">
        <v>1403</v>
      </c>
      <c r="B770" t="s">
        <v>2067</v>
      </c>
      <c r="C770">
        <v>1</v>
      </c>
    </row>
    <row r="771" spans="1:3" x14ac:dyDescent="0.25">
      <c r="A771" t="s">
        <v>383</v>
      </c>
      <c r="B771" t="s">
        <v>2067</v>
      </c>
      <c r="C771">
        <v>1</v>
      </c>
    </row>
    <row r="772" spans="1:3" x14ac:dyDescent="0.25">
      <c r="A772" t="s">
        <v>297</v>
      </c>
      <c r="B772" t="s">
        <v>2067</v>
      </c>
      <c r="C772">
        <v>1</v>
      </c>
    </row>
    <row r="773" spans="1:3" x14ac:dyDescent="0.25">
      <c r="A773" t="s">
        <v>1417</v>
      </c>
      <c r="B773" t="s">
        <v>2067</v>
      </c>
      <c r="C773">
        <v>1</v>
      </c>
    </row>
    <row r="774" spans="1:3" x14ac:dyDescent="0.25">
      <c r="A774" t="s">
        <v>163</v>
      </c>
      <c r="B774" t="s">
        <v>2067</v>
      </c>
      <c r="C774">
        <v>1</v>
      </c>
    </row>
    <row r="775" spans="1:3" x14ac:dyDescent="0.25">
      <c r="A775" t="s">
        <v>1426</v>
      </c>
      <c r="B775" t="s">
        <v>2067</v>
      </c>
      <c r="C775">
        <v>1</v>
      </c>
    </row>
    <row r="776" spans="1:3" x14ac:dyDescent="0.25">
      <c r="A776" t="s">
        <v>848</v>
      </c>
      <c r="B776" t="s">
        <v>2067</v>
      </c>
      <c r="C776">
        <v>1</v>
      </c>
    </row>
    <row r="777" spans="1:3" x14ac:dyDescent="0.25">
      <c r="A777" t="s">
        <v>1431</v>
      </c>
      <c r="B777" t="s">
        <v>2067</v>
      </c>
      <c r="C777">
        <v>1</v>
      </c>
    </row>
    <row r="778" spans="1:3" x14ac:dyDescent="0.25">
      <c r="A778" t="s">
        <v>1439</v>
      </c>
      <c r="B778" t="s">
        <v>2067</v>
      </c>
      <c r="C778">
        <v>1</v>
      </c>
    </row>
    <row r="779" spans="1:3" x14ac:dyDescent="0.25">
      <c r="A779" t="s">
        <v>1443</v>
      </c>
      <c r="B779" t="s">
        <v>2067</v>
      </c>
      <c r="C779">
        <v>1</v>
      </c>
    </row>
    <row r="780" spans="1:3" x14ac:dyDescent="0.25">
      <c r="A780" t="s">
        <v>1445</v>
      </c>
      <c r="B780" t="s">
        <v>2067</v>
      </c>
      <c r="C780">
        <v>1</v>
      </c>
    </row>
    <row r="781" spans="1:3" x14ac:dyDescent="0.25">
      <c r="A781" t="s">
        <v>795</v>
      </c>
      <c r="B781" t="s">
        <v>2067</v>
      </c>
      <c r="C781">
        <v>1</v>
      </c>
    </row>
    <row r="782" spans="1:3" x14ac:dyDescent="0.25">
      <c r="A782" t="s">
        <v>68</v>
      </c>
      <c r="B782" t="s">
        <v>2070</v>
      </c>
      <c r="C782">
        <v>12</v>
      </c>
    </row>
    <row r="783" spans="1:3" x14ac:dyDescent="0.25">
      <c r="A783" t="s">
        <v>115</v>
      </c>
      <c r="B783" t="s">
        <v>2070</v>
      </c>
      <c r="C783">
        <v>11</v>
      </c>
    </row>
    <row r="784" spans="1:3" x14ac:dyDescent="0.25">
      <c r="A784" t="s">
        <v>74</v>
      </c>
      <c r="B784" t="s">
        <v>2070</v>
      </c>
      <c r="C784">
        <v>7</v>
      </c>
    </row>
    <row r="785" spans="1:3" x14ac:dyDescent="0.25">
      <c r="A785" t="s">
        <v>144</v>
      </c>
      <c r="B785" t="s">
        <v>2070</v>
      </c>
      <c r="C785">
        <v>7</v>
      </c>
    </row>
    <row r="786" spans="1:3" x14ac:dyDescent="0.25">
      <c r="A786" t="s">
        <v>41</v>
      </c>
      <c r="B786" t="s">
        <v>2070</v>
      </c>
      <c r="C786">
        <v>6</v>
      </c>
    </row>
    <row r="787" spans="1:3" x14ac:dyDescent="0.25">
      <c r="A787" t="s">
        <v>306</v>
      </c>
      <c r="B787" t="s">
        <v>2070</v>
      </c>
      <c r="C787">
        <v>6</v>
      </c>
    </row>
    <row r="788" spans="1:3" x14ac:dyDescent="0.25">
      <c r="A788" t="s">
        <v>425</v>
      </c>
      <c r="B788" t="s">
        <v>2070</v>
      </c>
      <c r="C788">
        <v>6</v>
      </c>
    </row>
    <row r="789" spans="1:3" x14ac:dyDescent="0.25">
      <c r="A789" t="s">
        <v>458</v>
      </c>
      <c r="B789" t="s">
        <v>2070</v>
      </c>
      <c r="C789">
        <v>5</v>
      </c>
    </row>
    <row r="790" spans="1:3" x14ac:dyDescent="0.25">
      <c r="A790" t="s">
        <v>218</v>
      </c>
      <c r="B790" t="s">
        <v>2070</v>
      </c>
      <c r="C790">
        <v>5</v>
      </c>
    </row>
    <row r="791" spans="1:3" x14ac:dyDescent="0.25">
      <c r="A791" t="s">
        <v>43</v>
      </c>
      <c r="B791" t="s">
        <v>2070</v>
      </c>
      <c r="C791">
        <v>5</v>
      </c>
    </row>
    <row r="792" spans="1:3" x14ac:dyDescent="0.25">
      <c r="A792" t="s">
        <v>580</v>
      </c>
      <c r="B792" t="s">
        <v>2070</v>
      </c>
      <c r="C792">
        <v>5</v>
      </c>
    </row>
    <row r="793" spans="1:3" x14ac:dyDescent="0.25">
      <c r="A793" t="s">
        <v>187</v>
      </c>
      <c r="B793" t="s">
        <v>2070</v>
      </c>
      <c r="C793">
        <v>5</v>
      </c>
    </row>
    <row r="794" spans="1:3" x14ac:dyDescent="0.25">
      <c r="A794" t="s">
        <v>1838</v>
      </c>
      <c r="B794" t="s">
        <v>2070</v>
      </c>
      <c r="C794">
        <v>5</v>
      </c>
    </row>
    <row r="795" spans="1:3" x14ac:dyDescent="0.25">
      <c r="A795" t="s">
        <v>84</v>
      </c>
      <c r="B795" t="s">
        <v>2070</v>
      </c>
      <c r="C795">
        <v>4</v>
      </c>
    </row>
    <row r="796" spans="1:3" x14ac:dyDescent="0.25">
      <c r="A796" t="s">
        <v>204</v>
      </c>
      <c r="B796" t="s">
        <v>2070</v>
      </c>
      <c r="C796">
        <v>4</v>
      </c>
    </row>
    <row r="797" spans="1:3" x14ac:dyDescent="0.25">
      <c r="A797" t="s">
        <v>1776</v>
      </c>
      <c r="B797" t="s">
        <v>2070</v>
      </c>
      <c r="C797">
        <v>4</v>
      </c>
    </row>
    <row r="798" spans="1:3" x14ac:dyDescent="0.25">
      <c r="A798" t="s">
        <v>538</v>
      </c>
      <c r="B798" t="s">
        <v>2070</v>
      </c>
      <c r="C798">
        <v>4</v>
      </c>
    </row>
    <row r="799" spans="1:3" x14ac:dyDescent="0.25">
      <c r="A799" t="s">
        <v>806</v>
      </c>
      <c r="B799" t="s">
        <v>2070</v>
      </c>
      <c r="C799">
        <v>4</v>
      </c>
    </row>
    <row r="800" spans="1:3" x14ac:dyDescent="0.25">
      <c r="A800" t="s">
        <v>138</v>
      </c>
      <c r="B800" t="s">
        <v>2070</v>
      </c>
      <c r="C800">
        <v>4</v>
      </c>
    </row>
    <row r="801" spans="1:3" x14ac:dyDescent="0.25">
      <c r="A801" t="s">
        <v>1898</v>
      </c>
      <c r="B801" t="s">
        <v>2070</v>
      </c>
      <c r="C801">
        <v>4</v>
      </c>
    </row>
    <row r="802" spans="1:3" x14ac:dyDescent="0.25">
      <c r="A802" t="s">
        <v>1786</v>
      </c>
      <c r="B802" t="s">
        <v>2070</v>
      </c>
      <c r="C802">
        <v>3</v>
      </c>
    </row>
    <row r="803" spans="1:3" x14ac:dyDescent="0.25">
      <c r="A803" t="s">
        <v>336</v>
      </c>
      <c r="B803" t="s">
        <v>2070</v>
      </c>
      <c r="C803">
        <v>3</v>
      </c>
    </row>
    <row r="804" spans="1:3" x14ac:dyDescent="0.25">
      <c r="A804" t="s">
        <v>152</v>
      </c>
      <c r="B804" t="s">
        <v>2070</v>
      </c>
      <c r="C804">
        <v>3</v>
      </c>
    </row>
    <row r="805" spans="1:3" x14ac:dyDescent="0.25">
      <c r="A805" t="s">
        <v>1419</v>
      </c>
      <c r="B805" t="s">
        <v>2070</v>
      </c>
      <c r="C805">
        <v>3</v>
      </c>
    </row>
    <row r="806" spans="1:3" x14ac:dyDescent="0.25">
      <c r="A806" t="s">
        <v>0</v>
      </c>
      <c r="B806" t="s">
        <v>2070</v>
      </c>
      <c r="C806">
        <v>3</v>
      </c>
    </row>
    <row r="807" spans="1:3" x14ac:dyDescent="0.25">
      <c r="A807" t="s">
        <v>848</v>
      </c>
      <c r="B807" t="s">
        <v>2070</v>
      </c>
      <c r="C807">
        <v>3</v>
      </c>
    </row>
    <row r="808" spans="1:3" x14ac:dyDescent="0.25">
      <c r="A808" t="s">
        <v>212</v>
      </c>
      <c r="B808" t="s">
        <v>2070</v>
      </c>
      <c r="C808">
        <v>3</v>
      </c>
    </row>
    <row r="809" spans="1:3" x14ac:dyDescent="0.25">
      <c r="A809" t="s">
        <v>1846</v>
      </c>
      <c r="B809" t="s">
        <v>2070</v>
      </c>
      <c r="C809">
        <v>3</v>
      </c>
    </row>
    <row r="810" spans="1:3" x14ac:dyDescent="0.25">
      <c r="A810" t="s">
        <v>2044</v>
      </c>
      <c r="B810" t="s">
        <v>2070</v>
      </c>
      <c r="C810">
        <v>3</v>
      </c>
    </row>
    <row r="811" spans="1:3" x14ac:dyDescent="0.25">
      <c r="A811" t="s">
        <v>1897</v>
      </c>
      <c r="B811" t="s">
        <v>2070</v>
      </c>
      <c r="C811">
        <v>3</v>
      </c>
    </row>
    <row r="812" spans="1:3" x14ac:dyDescent="0.25">
      <c r="A812" t="s">
        <v>1927</v>
      </c>
      <c r="B812" t="s">
        <v>2070</v>
      </c>
      <c r="C812">
        <v>3</v>
      </c>
    </row>
    <row r="813" spans="1:3" x14ac:dyDescent="0.25">
      <c r="A813" t="s">
        <v>214</v>
      </c>
      <c r="B813" t="s">
        <v>2070</v>
      </c>
      <c r="C813">
        <v>3</v>
      </c>
    </row>
    <row r="814" spans="1:3" x14ac:dyDescent="0.25">
      <c r="A814" t="s">
        <v>1977</v>
      </c>
      <c r="B814" t="s">
        <v>2070</v>
      </c>
      <c r="C814">
        <v>3</v>
      </c>
    </row>
    <row r="815" spans="1:3" x14ac:dyDescent="0.25">
      <c r="A815" t="s">
        <v>416</v>
      </c>
      <c r="B815" t="s">
        <v>2070</v>
      </c>
      <c r="C815">
        <v>3</v>
      </c>
    </row>
    <row r="816" spans="1:3" x14ac:dyDescent="0.25">
      <c r="A816" t="s">
        <v>465</v>
      </c>
      <c r="B816" t="s">
        <v>2070</v>
      </c>
      <c r="C816">
        <v>2</v>
      </c>
    </row>
    <row r="817" spans="1:3" x14ac:dyDescent="0.25">
      <c r="A817" t="s">
        <v>545</v>
      </c>
      <c r="B817" t="s">
        <v>2070</v>
      </c>
      <c r="C817">
        <v>2</v>
      </c>
    </row>
    <row r="818" spans="1:3" x14ac:dyDescent="0.25">
      <c r="A818" t="s">
        <v>543</v>
      </c>
      <c r="B818" t="s">
        <v>2070</v>
      </c>
      <c r="C818">
        <v>2</v>
      </c>
    </row>
    <row r="819" spans="1:3" x14ac:dyDescent="0.25">
      <c r="A819" t="s">
        <v>1684</v>
      </c>
      <c r="B819" t="s">
        <v>2070</v>
      </c>
      <c r="C819">
        <v>2</v>
      </c>
    </row>
    <row r="820" spans="1:3" x14ac:dyDescent="0.25">
      <c r="A820" t="s">
        <v>1767</v>
      </c>
      <c r="B820" t="s">
        <v>2070</v>
      </c>
      <c r="C820">
        <v>2</v>
      </c>
    </row>
    <row r="821" spans="1:3" x14ac:dyDescent="0.25">
      <c r="A821" t="s">
        <v>1777</v>
      </c>
      <c r="B821" t="s">
        <v>2070</v>
      </c>
      <c r="C821">
        <v>2</v>
      </c>
    </row>
    <row r="822" spans="1:3" x14ac:dyDescent="0.25">
      <c r="A822" t="s">
        <v>107</v>
      </c>
      <c r="B822" t="s">
        <v>2070</v>
      </c>
      <c r="C822">
        <v>2</v>
      </c>
    </row>
    <row r="823" spans="1:3" x14ac:dyDescent="0.25">
      <c r="A823" t="s">
        <v>46</v>
      </c>
      <c r="B823" t="s">
        <v>2070</v>
      </c>
      <c r="C823">
        <v>2</v>
      </c>
    </row>
    <row r="824" spans="1:3" x14ac:dyDescent="0.25">
      <c r="A824" t="s">
        <v>1788</v>
      </c>
      <c r="B824" t="s">
        <v>2070</v>
      </c>
      <c r="C824">
        <v>2</v>
      </c>
    </row>
    <row r="825" spans="1:3" x14ac:dyDescent="0.25">
      <c r="A825" t="s">
        <v>123</v>
      </c>
      <c r="B825" t="s">
        <v>2070</v>
      </c>
      <c r="C825">
        <v>2</v>
      </c>
    </row>
    <row r="826" spans="1:3" x14ac:dyDescent="0.25">
      <c r="A826" t="s">
        <v>208</v>
      </c>
      <c r="B826" t="s">
        <v>2070</v>
      </c>
      <c r="C826">
        <v>2</v>
      </c>
    </row>
    <row r="827" spans="1:3" x14ac:dyDescent="0.25">
      <c r="A827" t="s">
        <v>65</v>
      </c>
      <c r="B827" t="s">
        <v>2070</v>
      </c>
      <c r="C827">
        <v>2</v>
      </c>
    </row>
    <row r="828" spans="1:3" x14ac:dyDescent="0.25">
      <c r="A828" t="s">
        <v>1795</v>
      </c>
      <c r="B828" t="s">
        <v>2070</v>
      </c>
      <c r="C828">
        <v>2</v>
      </c>
    </row>
    <row r="829" spans="1:3" x14ac:dyDescent="0.25">
      <c r="A829" t="s">
        <v>860</v>
      </c>
      <c r="B829" t="s">
        <v>2070</v>
      </c>
      <c r="C829">
        <v>2</v>
      </c>
    </row>
    <row r="830" spans="1:3" x14ac:dyDescent="0.25">
      <c r="A830" t="s">
        <v>1807</v>
      </c>
      <c r="B830" t="s">
        <v>2070</v>
      </c>
      <c r="C830">
        <v>2</v>
      </c>
    </row>
    <row r="831" spans="1:3" x14ac:dyDescent="0.25">
      <c r="A831" t="s">
        <v>339</v>
      </c>
      <c r="B831" t="s">
        <v>2070</v>
      </c>
      <c r="C831">
        <v>2</v>
      </c>
    </row>
    <row r="832" spans="1:3" x14ac:dyDescent="0.25">
      <c r="A832" t="s">
        <v>456</v>
      </c>
      <c r="B832" t="s">
        <v>2070</v>
      </c>
      <c r="C832">
        <v>2</v>
      </c>
    </row>
    <row r="833" spans="1:3" x14ac:dyDescent="0.25">
      <c r="A833" t="s">
        <v>37</v>
      </c>
      <c r="B833" t="s">
        <v>2070</v>
      </c>
      <c r="C833">
        <v>2</v>
      </c>
    </row>
    <row r="834" spans="1:3" x14ac:dyDescent="0.25">
      <c r="A834" t="s">
        <v>1309</v>
      </c>
      <c r="B834" t="s">
        <v>2070</v>
      </c>
      <c r="C834">
        <v>2</v>
      </c>
    </row>
    <row r="835" spans="1:3" x14ac:dyDescent="0.25">
      <c r="A835" t="s">
        <v>82</v>
      </c>
      <c r="B835" t="s">
        <v>2070</v>
      </c>
      <c r="C835">
        <v>2</v>
      </c>
    </row>
    <row r="836" spans="1:3" x14ac:dyDescent="0.25">
      <c r="A836" t="s">
        <v>1855</v>
      </c>
      <c r="B836" t="s">
        <v>2070</v>
      </c>
      <c r="C836">
        <v>2</v>
      </c>
    </row>
    <row r="837" spans="1:3" x14ac:dyDescent="0.25">
      <c r="A837" t="s">
        <v>117</v>
      </c>
      <c r="B837" t="s">
        <v>2070</v>
      </c>
      <c r="C837">
        <v>2</v>
      </c>
    </row>
    <row r="838" spans="1:3" x14ac:dyDescent="0.25">
      <c r="A838" t="s">
        <v>1882</v>
      </c>
      <c r="B838" t="s">
        <v>2070</v>
      </c>
      <c r="C838">
        <v>2</v>
      </c>
    </row>
    <row r="839" spans="1:3" x14ac:dyDescent="0.25">
      <c r="A839" t="s">
        <v>1885</v>
      </c>
      <c r="B839" t="s">
        <v>2070</v>
      </c>
      <c r="C839">
        <v>2</v>
      </c>
    </row>
    <row r="840" spans="1:3" x14ac:dyDescent="0.25">
      <c r="A840" t="s">
        <v>2054</v>
      </c>
      <c r="B840" t="s">
        <v>2070</v>
      </c>
      <c r="C840">
        <v>2</v>
      </c>
    </row>
    <row r="841" spans="1:3" x14ac:dyDescent="0.25">
      <c r="A841" t="s">
        <v>814</v>
      </c>
      <c r="B841" t="s">
        <v>2070</v>
      </c>
      <c r="C841">
        <v>2</v>
      </c>
    </row>
    <row r="842" spans="1:3" x14ac:dyDescent="0.25">
      <c r="A842" t="s">
        <v>480</v>
      </c>
      <c r="B842" t="s">
        <v>2070</v>
      </c>
      <c r="C842">
        <v>2</v>
      </c>
    </row>
    <row r="843" spans="1:3" x14ac:dyDescent="0.25">
      <c r="A843" t="s">
        <v>14</v>
      </c>
      <c r="B843" t="s">
        <v>2070</v>
      </c>
      <c r="C843">
        <v>2</v>
      </c>
    </row>
    <row r="844" spans="1:3" x14ac:dyDescent="0.25">
      <c r="A844" t="s">
        <v>1620</v>
      </c>
      <c r="B844" t="s">
        <v>2070</v>
      </c>
      <c r="C844">
        <v>2</v>
      </c>
    </row>
    <row r="845" spans="1:3" x14ac:dyDescent="0.25">
      <c r="A845" t="s">
        <v>1970</v>
      </c>
      <c r="B845" t="s">
        <v>2070</v>
      </c>
      <c r="C845">
        <v>2</v>
      </c>
    </row>
    <row r="846" spans="1:3" x14ac:dyDescent="0.25">
      <c r="A846" t="s">
        <v>2061</v>
      </c>
      <c r="B846" t="s">
        <v>2070</v>
      </c>
      <c r="C846">
        <v>2</v>
      </c>
    </row>
    <row r="847" spans="1:3" x14ac:dyDescent="0.25">
      <c r="A847" t="s">
        <v>1727</v>
      </c>
      <c r="B847" t="s">
        <v>2070</v>
      </c>
      <c r="C847">
        <v>2</v>
      </c>
    </row>
    <row r="848" spans="1:3" x14ac:dyDescent="0.25">
      <c r="A848" t="s">
        <v>225</v>
      </c>
      <c r="B848" t="s">
        <v>2070</v>
      </c>
      <c r="C848">
        <v>1</v>
      </c>
    </row>
    <row r="849" spans="1:3" x14ac:dyDescent="0.25">
      <c r="A849" t="s">
        <v>1762</v>
      </c>
      <c r="B849" t="s">
        <v>2070</v>
      </c>
      <c r="C849">
        <v>1</v>
      </c>
    </row>
    <row r="850" spans="1:3" x14ac:dyDescent="0.25">
      <c r="A850" t="s">
        <v>1479</v>
      </c>
      <c r="B850" t="s">
        <v>2070</v>
      </c>
      <c r="C850">
        <v>1</v>
      </c>
    </row>
    <row r="851" spans="1:3" x14ac:dyDescent="0.25">
      <c r="A851" t="s">
        <v>252</v>
      </c>
      <c r="B851" t="s">
        <v>2070</v>
      </c>
      <c r="C851">
        <v>1</v>
      </c>
    </row>
    <row r="852" spans="1:3" x14ac:dyDescent="0.25">
      <c r="A852" t="s">
        <v>293</v>
      </c>
      <c r="B852" t="s">
        <v>2070</v>
      </c>
      <c r="C852">
        <v>1</v>
      </c>
    </row>
    <row r="853" spans="1:3" x14ac:dyDescent="0.25">
      <c r="A853" t="s">
        <v>1379</v>
      </c>
      <c r="B853" t="s">
        <v>2070</v>
      </c>
      <c r="C853">
        <v>1</v>
      </c>
    </row>
    <row r="854" spans="1:3" x14ac:dyDescent="0.25">
      <c r="A854" t="s">
        <v>652</v>
      </c>
      <c r="B854" t="s">
        <v>2070</v>
      </c>
      <c r="C854">
        <v>1</v>
      </c>
    </row>
    <row r="855" spans="1:3" x14ac:dyDescent="0.25">
      <c r="A855" t="s">
        <v>1771</v>
      </c>
      <c r="B855" t="s">
        <v>2070</v>
      </c>
      <c r="C855">
        <v>1</v>
      </c>
    </row>
    <row r="856" spans="1:3" x14ac:dyDescent="0.25">
      <c r="A856" t="s">
        <v>125</v>
      </c>
      <c r="B856" t="s">
        <v>2070</v>
      </c>
      <c r="C856">
        <v>1</v>
      </c>
    </row>
    <row r="857" spans="1:3" x14ac:dyDescent="0.25">
      <c r="A857" t="s">
        <v>183</v>
      </c>
      <c r="B857" t="s">
        <v>2070</v>
      </c>
      <c r="C857">
        <v>1</v>
      </c>
    </row>
    <row r="858" spans="1:3" x14ac:dyDescent="0.25">
      <c r="A858" t="s">
        <v>820</v>
      </c>
      <c r="B858" t="s">
        <v>2070</v>
      </c>
      <c r="C858">
        <v>1</v>
      </c>
    </row>
    <row r="859" spans="1:3" x14ac:dyDescent="0.25">
      <c r="A859" t="s">
        <v>1784</v>
      </c>
      <c r="B859" t="s">
        <v>2070</v>
      </c>
      <c r="C859">
        <v>1</v>
      </c>
    </row>
    <row r="860" spans="1:3" x14ac:dyDescent="0.25">
      <c r="A860" t="s">
        <v>1789</v>
      </c>
      <c r="B860" t="s">
        <v>2070</v>
      </c>
      <c r="C860">
        <v>1</v>
      </c>
    </row>
    <row r="861" spans="1:3" x14ac:dyDescent="0.25">
      <c r="A861" t="s">
        <v>54</v>
      </c>
      <c r="B861" t="s">
        <v>2070</v>
      </c>
      <c r="C861">
        <v>1</v>
      </c>
    </row>
    <row r="862" spans="1:3" x14ac:dyDescent="0.25">
      <c r="A862" t="s">
        <v>973</v>
      </c>
      <c r="B862" t="s">
        <v>2070</v>
      </c>
      <c r="C862">
        <v>1</v>
      </c>
    </row>
    <row r="863" spans="1:3" x14ac:dyDescent="0.25">
      <c r="A863" t="s">
        <v>1804</v>
      </c>
      <c r="B863" t="s">
        <v>2070</v>
      </c>
      <c r="C863">
        <v>1</v>
      </c>
    </row>
    <row r="864" spans="1:3" x14ac:dyDescent="0.25">
      <c r="A864" t="s">
        <v>1592</v>
      </c>
      <c r="B864" t="s">
        <v>2070</v>
      </c>
      <c r="C864">
        <v>1</v>
      </c>
    </row>
    <row r="865" spans="1:3" x14ac:dyDescent="0.25">
      <c r="A865" t="s">
        <v>626</v>
      </c>
      <c r="B865" t="s">
        <v>2070</v>
      </c>
      <c r="C865">
        <v>1</v>
      </c>
    </row>
    <row r="866" spans="1:3" x14ac:dyDescent="0.25">
      <c r="A866" t="s">
        <v>895</v>
      </c>
      <c r="B866" t="s">
        <v>2070</v>
      </c>
      <c r="C866">
        <v>1</v>
      </c>
    </row>
    <row r="867" spans="1:3" x14ac:dyDescent="0.25">
      <c r="A867" t="s">
        <v>354</v>
      </c>
      <c r="B867" t="s">
        <v>2070</v>
      </c>
      <c r="C867">
        <v>1</v>
      </c>
    </row>
    <row r="868" spans="1:3" x14ac:dyDescent="0.25">
      <c r="A868" t="s">
        <v>631</v>
      </c>
      <c r="B868" t="s">
        <v>2070</v>
      </c>
      <c r="C868">
        <v>1</v>
      </c>
    </row>
    <row r="869" spans="1:3" x14ac:dyDescent="0.25">
      <c r="A869" t="s">
        <v>698</v>
      </c>
      <c r="B869" t="s">
        <v>2070</v>
      </c>
      <c r="C869">
        <v>1</v>
      </c>
    </row>
    <row r="870" spans="1:3" x14ac:dyDescent="0.25">
      <c r="A870" t="s">
        <v>1020</v>
      </c>
      <c r="B870" t="s">
        <v>2070</v>
      </c>
      <c r="C870">
        <v>1</v>
      </c>
    </row>
    <row r="871" spans="1:3" x14ac:dyDescent="0.25">
      <c r="A871" t="s">
        <v>111</v>
      </c>
      <c r="B871" t="s">
        <v>2070</v>
      </c>
      <c r="C871">
        <v>1</v>
      </c>
    </row>
    <row r="872" spans="1:3" x14ac:dyDescent="0.25">
      <c r="A872" t="s">
        <v>1830</v>
      </c>
      <c r="B872" t="s">
        <v>2070</v>
      </c>
      <c r="C872">
        <v>1</v>
      </c>
    </row>
    <row r="873" spans="1:3" x14ac:dyDescent="0.25">
      <c r="A873" t="s">
        <v>2057</v>
      </c>
      <c r="B873" t="s">
        <v>2070</v>
      </c>
      <c r="C873">
        <v>1</v>
      </c>
    </row>
    <row r="874" spans="1:3" x14ac:dyDescent="0.25">
      <c r="A874" t="s">
        <v>1836</v>
      </c>
      <c r="B874" t="s">
        <v>2070</v>
      </c>
      <c r="C874">
        <v>1</v>
      </c>
    </row>
    <row r="875" spans="1:3" x14ac:dyDescent="0.25">
      <c r="A875" t="s">
        <v>48</v>
      </c>
      <c r="B875" t="s">
        <v>2070</v>
      </c>
      <c r="C875">
        <v>1</v>
      </c>
    </row>
    <row r="876" spans="1:3" x14ac:dyDescent="0.25">
      <c r="A876" t="s">
        <v>1218</v>
      </c>
      <c r="B876" t="s">
        <v>2070</v>
      </c>
      <c r="C876">
        <v>1</v>
      </c>
    </row>
    <row r="877" spans="1:3" x14ac:dyDescent="0.25">
      <c r="A877" t="s">
        <v>1840</v>
      </c>
      <c r="B877" t="s">
        <v>2070</v>
      </c>
      <c r="C877">
        <v>1</v>
      </c>
    </row>
    <row r="878" spans="1:3" x14ac:dyDescent="0.25">
      <c r="A878" t="s">
        <v>1844</v>
      </c>
      <c r="B878" t="s">
        <v>2070</v>
      </c>
      <c r="C878">
        <v>1</v>
      </c>
    </row>
    <row r="879" spans="1:3" x14ac:dyDescent="0.25">
      <c r="A879" t="s">
        <v>816</v>
      </c>
      <c r="B879" t="s">
        <v>2070</v>
      </c>
      <c r="C879">
        <v>1</v>
      </c>
    </row>
    <row r="880" spans="1:3" x14ac:dyDescent="0.25">
      <c r="A880" t="s">
        <v>1630</v>
      </c>
      <c r="B880" t="s">
        <v>2070</v>
      </c>
      <c r="C880">
        <v>1</v>
      </c>
    </row>
    <row r="881" spans="1:3" x14ac:dyDescent="0.25">
      <c r="A881" t="s">
        <v>119</v>
      </c>
      <c r="B881" t="s">
        <v>2070</v>
      </c>
      <c r="C881">
        <v>1</v>
      </c>
    </row>
    <row r="882" spans="1:3" x14ac:dyDescent="0.25">
      <c r="A882" t="s">
        <v>1856</v>
      </c>
      <c r="B882" t="s">
        <v>2070</v>
      </c>
      <c r="C882">
        <v>1</v>
      </c>
    </row>
    <row r="883" spans="1:3" x14ac:dyDescent="0.25">
      <c r="A883" t="s">
        <v>1815</v>
      </c>
      <c r="B883" t="s">
        <v>2070</v>
      </c>
      <c r="C883">
        <v>1</v>
      </c>
    </row>
    <row r="884" spans="1:3" x14ac:dyDescent="0.25">
      <c r="A884" t="s">
        <v>1853</v>
      </c>
      <c r="B884" t="s">
        <v>2070</v>
      </c>
      <c r="C884">
        <v>1</v>
      </c>
    </row>
    <row r="885" spans="1:3" x14ac:dyDescent="0.25">
      <c r="A885" t="s">
        <v>2055</v>
      </c>
      <c r="B885" t="s">
        <v>2070</v>
      </c>
      <c r="C885">
        <v>1</v>
      </c>
    </row>
    <row r="886" spans="1:3" x14ac:dyDescent="0.25">
      <c r="A886" t="s">
        <v>88</v>
      </c>
      <c r="B886" t="s">
        <v>2070</v>
      </c>
      <c r="C886">
        <v>1</v>
      </c>
    </row>
    <row r="887" spans="1:3" x14ac:dyDescent="0.25">
      <c r="A887" t="s">
        <v>56</v>
      </c>
      <c r="B887" t="s">
        <v>2070</v>
      </c>
      <c r="C887">
        <v>1</v>
      </c>
    </row>
    <row r="888" spans="1:3" x14ac:dyDescent="0.25">
      <c r="A888" t="s">
        <v>174</v>
      </c>
      <c r="B888" t="s">
        <v>2070</v>
      </c>
      <c r="C888">
        <v>1</v>
      </c>
    </row>
    <row r="889" spans="1:3" x14ac:dyDescent="0.25">
      <c r="A889" t="s">
        <v>70</v>
      </c>
      <c r="B889" t="s">
        <v>2070</v>
      </c>
      <c r="C889">
        <v>1</v>
      </c>
    </row>
    <row r="890" spans="1:3" x14ac:dyDescent="0.25">
      <c r="A890" t="s">
        <v>733</v>
      </c>
      <c r="B890" t="s">
        <v>2070</v>
      </c>
      <c r="C890">
        <v>1</v>
      </c>
    </row>
    <row r="891" spans="1:3" x14ac:dyDescent="0.25">
      <c r="A891" t="s">
        <v>1880</v>
      </c>
      <c r="B891" t="s">
        <v>2070</v>
      </c>
      <c r="C891">
        <v>1</v>
      </c>
    </row>
    <row r="892" spans="1:3" x14ac:dyDescent="0.25">
      <c r="A892" t="s">
        <v>32</v>
      </c>
      <c r="B892" t="s">
        <v>2070</v>
      </c>
      <c r="C892">
        <v>1</v>
      </c>
    </row>
    <row r="893" spans="1:3" x14ac:dyDescent="0.25">
      <c r="A893" t="s">
        <v>2059</v>
      </c>
      <c r="B893" t="s">
        <v>2070</v>
      </c>
      <c r="C893">
        <v>1</v>
      </c>
    </row>
    <row r="894" spans="1:3" x14ac:dyDescent="0.25">
      <c r="A894" t="s">
        <v>837</v>
      </c>
      <c r="B894" t="s">
        <v>2070</v>
      </c>
      <c r="C894">
        <v>1</v>
      </c>
    </row>
    <row r="895" spans="1:3" x14ac:dyDescent="0.25">
      <c r="A895" t="s">
        <v>2060</v>
      </c>
      <c r="B895" t="s">
        <v>2070</v>
      </c>
      <c r="C895">
        <v>1</v>
      </c>
    </row>
    <row r="896" spans="1:3" x14ac:dyDescent="0.25">
      <c r="A896" t="s">
        <v>1905</v>
      </c>
      <c r="B896" t="s">
        <v>2070</v>
      </c>
      <c r="C896">
        <v>1</v>
      </c>
    </row>
    <row r="897" spans="1:3" x14ac:dyDescent="0.25">
      <c r="A897" t="s">
        <v>979</v>
      </c>
      <c r="B897" t="s">
        <v>2070</v>
      </c>
      <c r="C897">
        <v>1</v>
      </c>
    </row>
    <row r="898" spans="1:3" x14ac:dyDescent="0.25">
      <c r="A898" t="s">
        <v>2049</v>
      </c>
      <c r="B898" t="s">
        <v>2070</v>
      </c>
      <c r="C898">
        <v>1</v>
      </c>
    </row>
    <row r="899" spans="1:3" x14ac:dyDescent="0.25">
      <c r="A899" t="s">
        <v>1334</v>
      </c>
      <c r="B899" t="s">
        <v>2070</v>
      </c>
      <c r="C899">
        <v>1</v>
      </c>
    </row>
    <row r="900" spans="1:3" x14ac:dyDescent="0.25">
      <c r="A900" t="s">
        <v>113</v>
      </c>
      <c r="B900" t="s">
        <v>2070</v>
      </c>
      <c r="C900">
        <v>1</v>
      </c>
    </row>
    <row r="901" spans="1:3" x14ac:dyDescent="0.25">
      <c r="A901" t="s">
        <v>575</v>
      </c>
      <c r="B901" t="s">
        <v>2070</v>
      </c>
      <c r="C901">
        <v>1</v>
      </c>
    </row>
    <row r="902" spans="1:3" x14ac:dyDescent="0.25">
      <c r="A902" t="s">
        <v>511</v>
      </c>
      <c r="B902" t="s">
        <v>2070</v>
      </c>
      <c r="C902">
        <v>1</v>
      </c>
    </row>
    <row r="903" spans="1:3" x14ac:dyDescent="0.25">
      <c r="A903" t="s">
        <v>2048</v>
      </c>
      <c r="B903" t="s">
        <v>2070</v>
      </c>
      <c r="C903">
        <v>1</v>
      </c>
    </row>
    <row r="904" spans="1:3" x14ac:dyDescent="0.25">
      <c r="A904" t="s">
        <v>1074</v>
      </c>
      <c r="B904" t="s">
        <v>2070</v>
      </c>
      <c r="C904">
        <v>1</v>
      </c>
    </row>
    <row r="905" spans="1:3" x14ac:dyDescent="0.25">
      <c r="A905" t="s">
        <v>1933</v>
      </c>
      <c r="B905" t="s">
        <v>2070</v>
      </c>
      <c r="C905">
        <v>1</v>
      </c>
    </row>
    <row r="906" spans="1:3" x14ac:dyDescent="0.25">
      <c r="A906" t="s">
        <v>712</v>
      </c>
      <c r="B906" t="s">
        <v>2070</v>
      </c>
      <c r="C906">
        <v>1</v>
      </c>
    </row>
    <row r="907" spans="1:3" x14ac:dyDescent="0.25">
      <c r="A907" t="s">
        <v>390</v>
      </c>
      <c r="B907" t="s">
        <v>2070</v>
      </c>
      <c r="C907">
        <v>1</v>
      </c>
    </row>
    <row r="908" spans="1:3" x14ac:dyDescent="0.25">
      <c r="A908" t="s">
        <v>2050</v>
      </c>
      <c r="B908" t="s">
        <v>2070</v>
      </c>
      <c r="C908">
        <v>1</v>
      </c>
    </row>
    <row r="909" spans="1:3" x14ac:dyDescent="0.25">
      <c r="A909" t="s">
        <v>2056</v>
      </c>
      <c r="B909" t="s">
        <v>2070</v>
      </c>
      <c r="C909">
        <v>1</v>
      </c>
    </row>
    <row r="910" spans="1:3" x14ac:dyDescent="0.25">
      <c r="A910" t="s">
        <v>2058</v>
      </c>
      <c r="B910" t="s">
        <v>2070</v>
      </c>
      <c r="C910">
        <v>1</v>
      </c>
    </row>
    <row r="911" spans="1:3" x14ac:dyDescent="0.25">
      <c r="A911" t="s">
        <v>611</v>
      </c>
      <c r="B911" t="s">
        <v>2070</v>
      </c>
      <c r="C911">
        <v>1</v>
      </c>
    </row>
    <row r="912" spans="1:3" x14ac:dyDescent="0.25">
      <c r="A912" t="s">
        <v>2045</v>
      </c>
      <c r="B912" t="s">
        <v>2070</v>
      </c>
      <c r="C912">
        <v>1</v>
      </c>
    </row>
    <row r="913" spans="1:3" x14ac:dyDescent="0.25">
      <c r="A913" t="s">
        <v>2047</v>
      </c>
      <c r="B913" t="s">
        <v>2070</v>
      </c>
      <c r="C913">
        <v>1</v>
      </c>
    </row>
    <row r="914" spans="1:3" x14ac:dyDescent="0.25">
      <c r="A914" t="s">
        <v>1961</v>
      </c>
      <c r="B914" t="s">
        <v>2070</v>
      </c>
      <c r="C914">
        <v>1</v>
      </c>
    </row>
    <row r="915" spans="1:3" x14ac:dyDescent="0.25">
      <c r="A915" t="s">
        <v>795</v>
      </c>
      <c r="B915" t="s">
        <v>2070</v>
      </c>
      <c r="C915">
        <v>1</v>
      </c>
    </row>
    <row r="916" spans="1:3" x14ac:dyDescent="0.25">
      <c r="A916" t="s">
        <v>2064</v>
      </c>
      <c r="B916" t="s">
        <v>2070</v>
      </c>
      <c r="C916">
        <v>1</v>
      </c>
    </row>
    <row r="917" spans="1:3" x14ac:dyDescent="0.25">
      <c r="A917" t="s">
        <v>2063</v>
      </c>
      <c r="B917" t="s">
        <v>2070</v>
      </c>
      <c r="C917">
        <v>1</v>
      </c>
    </row>
    <row r="918" spans="1:3" x14ac:dyDescent="0.25">
      <c r="A918" t="s">
        <v>161</v>
      </c>
      <c r="B918" t="s">
        <v>2070</v>
      </c>
      <c r="C918">
        <v>1</v>
      </c>
    </row>
    <row r="919" spans="1:3" x14ac:dyDescent="0.25">
      <c r="A919" t="s">
        <v>1979</v>
      </c>
      <c r="B919" t="s">
        <v>2070</v>
      </c>
      <c r="C919">
        <v>1</v>
      </c>
    </row>
    <row r="920" spans="1:3" x14ac:dyDescent="0.25">
      <c r="A920" t="s">
        <v>1981</v>
      </c>
      <c r="B920" t="s">
        <v>2070</v>
      </c>
      <c r="C920">
        <v>1</v>
      </c>
    </row>
    <row r="921" spans="1:3" x14ac:dyDescent="0.25">
      <c r="A921" t="s">
        <v>2046</v>
      </c>
      <c r="B921" t="s">
        <v>2070</v>
      </c>
      <c r="C921">
        <v>1</v>
      </c>
    </row>
    <row r="922" spans="1:3" x14ac:dyDescent="0.25">
      <c r="A922" t="s">
        <v>383</v>
      </c>
      <c r="B922" t="s">
        <v>2070</v>
      </c>
      <c r="C922">
        <v>1</v>
      </c>
    </row>
    <row r="923" spans="1:3" x14ac:dyDescent="0.25">
      <c r="A923" t="s">
        <v>1989</v>
      </c>
      <c r="B923" t="s">
        <v>2070</v>
      </c>
      <c r="C923">
        <v>1</v>
      </c>
    </row>
    <row r="924" spans="1:3" x14ac:dyDescent="0.25">
      <c r="A924" t="s">
        <v>555</v>
      </c>
      <c r="B924" t="s">
        <v>2070</v>
      </c>
      <c r="C924">
        <v>1</v>
      </c>
    </row>
    <row r="925" spans="1:3" x14ac:dyDescent="0.25">
      <c r="A925" t="s">
        <v>1991</v>
      </c>
      <c r="B925" t="s">
        <v>2070</v>
      </c>
      <c r="C925">
        <v>1</v>
      </c>
    </row>
    <row r="926" spans="1:3" x14ac:dyDescent="0.25">
      <c r="A926" t="s">
        <v>279</v>
      </c>
      <c r="B926" t="s">
        <v>2070</v>
      </c>
      <c r="C926">
        <v>1</v>
      </c>
    </row>
    <row r="927" spans="1:3" x14ac:dyDescent="0.25">
      <c r="A927" t="s">
        <v>1996</v>
      </c>
      <c r="B927" t="s">
        <v>2070</v>
      </c>
      <c r="C927">
        <v>1</v>
      </c>
    </row>
    <row r="928" spans="1:3" x14ac:dyDescent="0.25">
      <c r="A928" t="s">
        <v>4</v>
      </c>
      <c r="B928" t="s">
        <v>2070</v>
      </c>
      <c r="C928">
        <v>1</v>
      </c>
    </row>
    <row r="929" spans="1:3" x14ac:dyDescent="0.25">
      <c r="A929" t="s">
        <v>153</v>
      </c>
      <c r="B929" t="s">
        <v>2070</v>
      </c>
      <c r="C929">
        <v>1</v>
      </c>
    </row>
    <row r="930" spans="1:3" x14ac:dyDescent="0.25">
      <c r="A930" t="s">
        <v>855</v>
      </c>
      <c r="B930" t="s">
        <v>2070</v>
      </c>
      <c r="C930">
        <v>1</v>
      </c>
    </row>
    <row r="931" spans="1:3" x14ac:dyDescent="0.25">
      <c r="A931" t="s">
        <v>1369</v>
      </c>
      <c r="B931" t="s">
        <v>2070</v>
      </c>
      <c r="C931">
        <v>1</v>
      </c>
    </row>
    <row r="932" spans="1:3" x14ac:dyDescent="0.25">
      <c r="A932" t="s">
        <v>614</v>
      </c>
      <c r="B932" t="s">
        <v>2070</v>
      </c>
      <c r="C932">
        <v>1</v>
      </c>
    </row>
    <row r="933" spans="1:3" x14ac:dyDescent="0.25">
      <c r="A933" t="s">
        <v>2071</v>
      </c>
      <c r="B933" t="s">
        <v>2070</v>
      </c>
      <c r="C933">
        <v>1</v>
      </c>
    </row>
    <row r="934" spans="1:3" x14ac:dyDescent="0.25">
      <c r="A934" t="s">
        <v>2072</v>
      </c>
      <c r="B934" t="s">
        <v>2070</v>
      </c>
      <c r="C934">
        <v>1</v>
      </c>
    </row>
  </sheetData>
  <autoFilter ref="A49:C49" xr:uid="{0AFD4552-23C5-484C-A17D-6313AFF1E232}"/>
  <mergeCells count="3">
    <mergeCell ref="A1:D1"/>
    <mergeCell ref="A9:D9"/>
    <mergeCell ref="A19:D19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6EF4-93B0-42E8-9CC1-5F436A763335}">
  <dimension ref="A1:H899"/>
  <sheetViews>
    <sheetView topLeftCell="A4" workbookViewId="0">
      <selection activeCell="A4" sqref="A4"/>
    </sheetView>
  </sheetViews>
  <sheetFormatPr baseColWidth="10" defaultRowHeight="15" x14ac:dyDescent="0.25"/>
  <cols>
    <col min="1" max="1" width="14.140625" bestFit="1" customWidth="1"/>
    <col min="2" max="2" width="12.140625" bestFit="1" customWidth="1"/>
    <col min="3" max="3" width="14.7109375" bestFit="1" customWidth="1"/>
    <col min="4" max="4" width="15" style="128" bestFit="1" customWidth="1"/>
    <col min="6" max="6" width="37.140625" bestFit="1" customWidth="1"/>
    <col min="7" max="7" width="12.140625" bestFit="1" customWidth="1"/>
    <col min="8" max="8" width="14.140625" bestFit="1" customWidth="1"/>
  </cols>
  <sheetData>
    <row r="1" spans="1:8" x14ac:dyDescent="0.25">
      <c r="A1" s="126" t="s">
        <v>595</v>
      </c>
      <c r="B1" s="126" t="s">
        <v>2009</v>
      </c>
      <c r="C1" s="126" t="s">
        <v>2035</v>
      </c>
      <c r="D1" s="127" t="s">
        <v>2034</v>
      </c>
      <c r="F1" s="126" t="s">
        <v>597</v>
      </c>
      <c r="G1" s="126" t="s">
        <v>2009</v>
      </c>
      <c r="H1" s="126" t="s">
        <v>2036</v>
      </c>
    </row>
    <row r="2" spans="1:8" x14ac:dyDescent="0.25">
      <c r="A2" t="s">
        <v>47</v>
      </c>
      <c r="B2" t="s">
        <v>2065</v>
      </c>
      <c r="C2">
        <v>71</v>
      </c>
      <c r="D2" s="128">
        <v>377225.54</v>
      </c>
      <c r="F2" t="s">
        <v>324</v>
      </c>
      <c r="G2" t="s">
        <v>2065</v>
      </c>
      <c r="H2">
        <v>2</v>
      </c>
    </row>
    <row r="3" spans="1:8" x14ac:dyDescent="0.25">
      <c r="A3" t="s">
        <v>10</v>
      </c>
      <c r="B3" t="s">
        <v>2065</v>
      </c>
      <c r="C3">
        <v>135</v>
      </c>
      <c r="D3" s="128">
        <v>688148.3899999999</v>
      </c>
      <c r="F3" t="s">
        <v>68</v>
      </c>
      <c r="G3" t="s">
        <v>2065</v>
      </c>
      <c r="H3">
        <v>8</v>
      </c>
    </row>
    <row r="4" spans="1:8" x14ac:dyDescent="0.25">
      <c r="A4" t="s">
        <v>17</v>
      </c>
      <c r="B4" t="s">
        <v>2065</v>
      </c>
      <c r="C4">
        <v>150</v>
      </c>
      <c r="D4" s="128">
        <v>787853.30999999982</v>
      </c>
      <c r="F4" t="s">
        <v>159</v>
      </c>
      <c r="G4" t="s">
        <v>2065</v>
      </c>
      <c r="H4">
        <v>6</v>
      </c>
    </row>
    <row r="5" spans="1:8" x14ac:dyDescent="0.25">
      <c r="A5" t="s">
        <v>11</v>
      </c>
      <c r="B5" t="s">
        <v>2065</v>
      </c>
      <c r="C5">
        <v>106</v>
      </c>
      <c r="D5" s="128">
        <v>1216228.7000000002</v>
      </c>
      <c r="F5" t="s">
        <v>201</v>
      </c>
      <c r="G5" t="s">
        <v>2065</v>
      </c>
      <c r="H5">
        <v>3</v>
      </c>
    </row>
    <row r="6" spans="1:8" x14ac:dyDescent="0.25">
      <c r="A6" t="s">
        <v>755</v>
      </c>
      <c r="B6" t="s">
        <v>2065</v>
      </c>
      <c r="C6">
        <v>2</v>
      </c>
      <c r="D6" s="128">
        <v>82521.56</v>
      </c>
      <c r="F6" t="s">
        <v>9</v>
      </c>
      <c r="G6" t="s">
        <v>2065</v>
      </c>
      <c r="H6">
        <v>3</v>
      </c>
    </row>
    <row r="7" spans="1:8" x14ac:dyDescent="0.25">
      <c r="A7" t="s">
        <v>10</v>
      </c>
      <c r="B7" t="s">
        <v>2066</v>
      </c>
      <c r="C7">
        <v>130</v>
      </c>
      <c r="D7" s="128">
        <v>708143.82000000007</v>
      </c>
      <c r="F7" t="s">
        <v>591</v>
      </c>
      <c r="G7" t="s">
        <v>2065</v>
      </c>
      <c r="H7">
        <v>6</v>
      </c>
    </row>
    <row r="8" spans="1:8" x14ac:dyDescent="0.25">
      <c r="A8" t="s">
        <v>17</v>
      </c>
      <c r="B8" t="s">
        <v>2066</v>
      </c>
      <c r="C8">
        <v>132</v>
      </c>
      <c r="D8" s="128">
        <v>717771.96000000008</v>
      </c>
      <c r="F8" t="s">
        <v>63</v>
      </c>
      <c r="G8" t="s">
        <v>2065</v>
      </c>
      <c r="H8">
        <v>4</v>
      </c>
    </row>
    <row r="9" spans="1:8" x14ac:dyDescent="0.25">
      <c r="A9" t="s">
        <v>11</v>
      </c>
      <c r="B9" t="s">
        <v>2066</v>
      </c>
      <c r="C9">
        <v>93</v>
      </c>
      <c r="D9" s="128">
        <v>1437395.1129999997</v>
      </c>
      <c r="F9" t="s">
        <v>425</v>
      </c>
      <c r="G9" t="s">
        <v>2065</v>
      </c>
      <c r="H9">
        <v>10</v>
      </c>
    </row>
    <row r="10" spans="1:8" x14ac:dyDescent="0.25">
      <c r="A10" t="s">
        <v>47</v>
      </c>
      <c r="B10" t="s">
        <v>2066</v>
      </c>
      <c r="C10">
        <v>72</v>
      </c>
      <c r="D10" s="128">
        <v>486128.93000000017</v>
      </c>
      <c r="F10" t="s">
        <v>138</v>
      </c>
      <c r="G10" t="s">
        <v>2065</v>
      </c>
      <c r="H10">
        <v>11</v>
      </c>
    </row>
    <row r="11" spans="1:8" x14ac:dyDescent="0.25">
      <c r="A11" t="s">
        <v>942</v>
      </c>
      <c r="B11" t="s">
        <v>2066</v>
      </c>
      <c r="C11">
        <v>1</v>
      </c>
      <c r="D11" s="128">
        <v>95140</v>
      </c>
      <c r="F11" t="s">
        <v>431</v>
      </c>
      <c r="G11" t="s">
        <v>2065</v>
      </c>
      <c r="H11">
        <v>2</v>
      </c>
    </row>
    <row r="12" spans="1:8" x14ac:dyDescent="0.25">
      <c r="A12" t="s">
        <v>983</v>
      </c>
      <c r="B12" t="s">
        <v>2066</v>
      </c>
      <c r="C12">
        <v>6</v>
      </c>
      <c r="D12" s="128">
        <v>91938.059999999983</v>
      </c>
      <c r="F12" t="s">
        <v>429</v>
      </c>
      <c r="G12" t="s">
        <v>2065</v>
      </c>
      <c r="H12">
        <v>2</v>
      </c>
    </row>
    <row r="13" spans="1:8" x14ac:dyDescent="0.25">
      <c r="A13" t="s">
        <v>1001</v>
      </c>
      <c r="B13" t="s">
        <v>2066</v>
      </c>
      <c r="C13">
        <v>4</v>
      </c>
      <c r="D13" s="128">
        <v>11227.3</v>
      </c>
      <c r="F13" t="s">
        <v>433</v>
      </c>
      <c r="G13" t="s">
        <v>2065</v>
      </c>
      <c r="H13">
        <v>1</v>
      </c>
    </row>
    <row r="14" spans="1:8" x14ac:dyDescent="0.25">
      <c r="A14" t="s">
        <v>1077</v>
      </c>
      <c r="B14" t="s">
        <v>2066</v>
      </c>
      <c r="C14">
        <v>4</v>
      </c>
      <c r="D14" s="128">
        <v>382711.36</v>
      </c>
      <c r="F14" t="s">
        <v>74</v>
      </c>
      <c r="G14" t="s">
        <v>2065</v>
      </c>
      <c r="H14">
        <v>5</v>
      </c>
    </row>
    <row r="15" spans="1:8" x14ac:dyDescent="0.25">
      <c r="A15" t="s">
        <v>47</v>
      </c>
      <c r="B15" t="s">
        <v>2067</v>
      </c>
      <c r="C15">
        <v>91</v>
      </c>
      <c r="D15" s="128">
        <v>492479.1399999999</v>
      </c>
      <c r="F15" t="s">
        <v>440</v>
      </c>
      <c r="G15" t="s">
        <v>2065</v>
      </c>
      <c r="H15">
        <v>1</v>
      </c>
    </row>
    <row r="16" spans="1:8" x14ac:dyDescent="0.25">
      <c r="A16" t="s">
        <v>10</v>
      </c>
      <c r="B16" t="s">
        <v>2067</v>
      </c>
      <c r="C16">
        <v>141</v>
      </c>
      <c r="D16" s="128">
        <v>803515.42999999993</v>
      </c>
      <c r="F16" t="s">
        <v>208</v>
      </c>
      <c r="G16" t="s">
        <v>2065</v>
      </c>
      <c r="H16">
        <v>5</v>
      </c>
    </row>
    <row r="17" spans="1:8" x14ac:dyDescent="0.25">
      <c r="A17" t="s">
        <v>11</v>
      </c>
      <c r="B17" t="s">
        <v>2067</v>
      </c>
      <c r="C17">
        <v>101</v>
      </c>
      <c r="D17" s="128">
        <v>854357.97000000009</v>
      </c>
      <c r="F17" t="s">
        <v>626</v>
      </c>
      <c r="G17" t="s">
        <v>2065</v>
      </c>
      <c r="H17">
        <v>3</v>
      </c>
    </row>
    <row r="18" spans="1:8" x14ac:dyDescent="0.25">
      <c r="A18" t="s">
        <v>17</v>
      </c>
      <c r="B18" t="s">
        <v>2067</v>
      </c>
      <c r="C18">
        <v>144</v>
      </c>
      <c r="D18" s="128">
        <v>725831.08999999985</v>
      </c>
      <c r="F18" t="s">
        <v>26</v>
      </c>
      <c r="G18" t="s">
        <v>2065</v>
      </c>
      <c r="H18">
        <v>2</v>
      </c>
    </row>
    <row r="19" spans="1:8" x14ac:dyDescent="0.25">
      <c r="A19" t="s">
        <v>10</v>
      </c>
      <c r="B19" t="s">
        <v>2068</v>
      </c>
      <c r="C19">
        <v>158</v>
      </c>
      <c r="D19" s="128">
        <v>641144.29999999993</v>
      </c>
      <c r="F19" t="s">
        <v>456</v>
      </c>
      <c r="G19" t="s">
        <v>2065</v>
      </c>
      <c r="H19">
        <v>5</v>
      </c>
    </row>
    <row r="20" spans="1:8" x14ac:dyDescent="0.25">
      <c r="A20" t="s">
        <v>17</v>
      </c>
      <c r="B20" t="s">
        <v>2068</v>
      </c>
      <c r="C20">
        <v>151</v>
      </c>
      <c r="D20" s="128">
        <v>825787.37999999966</v>
      </c>
      <c r="F20" t="s">
        <v>48</v>
      </c>
      <c r="G20" t="s">
        <v>2065</v>
      </c>
      <c r="H20">
        <v>1</v>
      </c>
    </row>
    <row r="21" spans="1:8" x14ac:dyDescent="0.25">
      <c r="A21" t="s">
        <v>942</v>
      </c>
      <c r="B21" t="s">
        <v>2068</v>
      </c>
      <c r="C21">
        <v>4</v>
      </c>
      <c r="D21" s="128">
        <v>273508.58999999997</v>
      </c>
      <c r="F21" t="s">
        <v>450</v>
      </c>
      <c r="G21" t="s">
        <v>2065</v>
      </c>
      <c r="H21">
        <v>1</v>
      </c>
    </row>
    <row r="22" spans="1:8" x14ac:dyDescent="0.25">
      <c r="A22" t="s">
        <v>47</v>
      </c>
      <c r="B22" t="s">
        <v>2068</v>
      </c>
      <c r="C22">
        <v>61</v>
      </c>
      <c r="D22" s="128">
        <v>290151.56</v>
      </c>
      <c r="F22" t="s">
        <v>2039</v>
      </c>
      <c r="G22" t="s">
        <v>2065</v>
      </c>
      <c r="H22">
        <v>3</v>
      </c>
    </row>
    <row r="23" spans="1:8" x14ac:dyDescent="0.25">
      <c r="A23" t="s">
        <v>11</v>
      </c>
      <c r="B23" t="s">
        <v>2068</v>
      </c>
      <c r="C23">
        <v>148</v>
      </c>
      <c r="D23" s="128">
        <v>759575.21999999986</v>
      </c>
      <c r="F23" t="s">
        <v>274</v>
      </c>
      <c r="G23" t="s">
        <v>2065</v>
      </c>
      <c r="H23">
        <v>4</v>
      </c>
    </row>
    <row r="24" spans="1:8" x14ac:dyDescent="0.25">
      <c r="A24" t="s">
        <v>1322</v>
      </c>
      <c r="B24" t="s">
        <v>2068</v>
      </c>
      <c r="C24">
        <v>3</v>
      </c>
      <c r="D24" s="128">
        <v>103600.01000000001</v>
      </c>
      <c r="F24" t="s">
        <v>30</v>
      </c>
      <c r="G24" t="s">
        <v>2065</v>
      </c>
      <c r="H24">
        <v>2</v>
      </c>
    </row>
    <row r="25" spans="1:8" x14ac:dyDescent="0.25">
      <c r="A25" t="s">
        <v>47</v>
      </c>
      <c r="B25" t="s">
        <v>2070</v>
      </c>
      <c r="C25">
        <v>80</v>
      </c>
      <c r="D25" s="128">
        <v>751909.61</v>
      </c>
      <c r="F25" t="s">
        <v>119</v>
      </c>
      <c r="G25" t="s">
        <v>2065</v>
      </c>
      <c r="H25">
        <v>3</v>
      </c>
    </row>
    <row r="26" spans="1:8" x14ac:dyDescent="0.25">
      <c r="A26" t="s">
        <v>10</v>
      </c>
      <c r="B26" t="s">
        <v>2070</v>
      </c>
      <c r="C26">
        <v>96</v>
      </c>
      <c r="D26" s="128">
        <v>549604.66999999993</v>
      </c>
      <c r="F26" t="s">
        <v>28</v>
      </c>
      <c r="G26" t="s">
        <v>2065</v>
      </c>
      <c r="H26">
        <v>4</v>
      </c>
    </row>
    <row r="27" spans="1:8" x14ac:dyDescent="0.25">
      <c r="A27" t="s">
        <v>17</v>
      </c>
      <c r="B27" t="s">
        <v>2070</v>
      </c>
      <c r="C27">
        <v>109</v>
      </c>
      <c r="D27" s="128">
        <v>446352.18999999994</v>
      </c>
      <c r="F27" t="s">
        <v>458</v>
      </c>
      <c r="G27" t="s">
        <v>2065</v>
      </c>
      <c r="H27">
        <v>4</v>
      </c>
    </row>
    <row r="28" spans="1:8" x14ac:dyDescent="0.25">
      <c r="A28" t="s">
        <v>11</v>
      </c>
      <c r="B28" t="s">
        <v>2070</v>
      </c>
      <c r="C28">
        <v>68</v>
      </c>
      <c r="D28" s="128">
        <v>1176540.1099999999</v>
      </c>
      <c r="F28" t="s">
        <v>444</v>
      </c>
      <c r="G28" t="s">
        <v>2065</v>
      </c>
      <c r="H28">
        <v>1</v>
      </c>
    </row>
    <row r="29" spans="1:8" x14ac:dyDescent="0.25">
      <c r="F29" t="s">
        <v>187</v>
      </c>
      <c r="G29" t="s">
        <v>2065</v>
      </c>
      <c r="H29">
        <v>3</v>
      </c>
    </row>
    <row r="30" spans="1:8" x14ac:dyDescent="0.25">
      <c r="F30" t="s">
        <v>218</v>
      </c>
      <c r="G30" t="s">
        <v>2065</v>
      </c>
      <c r="H30">
        <v>6</v>
      </c>
    </row>
    <row r="31" spans="1:8" x14ac:dyDescent="0.25">
      <c r="F31" t="s">
        <v>4</v>
      </c>
      <c r="G31" t="s">
        <v>2065</v>
      </c>
      <c r="H31">
        <v>5</v>
      </c>
    </row>
    <row r="32" spans="1:8" x14ac:dyDescent="0.25">
      <c r="F32" t="s">
        <v>113</v>
      </c>
      <c r="G32" t="s">
        <v>2065</v>
      </c>
      <c r="H32">
        <v>2</v>
      </c>
    </row>
    <row r="33" spans="6:8" x14ac:dyDescent="0.25">
      <c r="F33" t="s">
        <v>446</v>
      </c>
      <c r="G33" t="s">
        <v>2065</v>
      </c>
      <c r="H33">
        <v>1</v>
      </c>
    </row>
    <row r="34" spans="6:8" x14ac:dyDescent="0.25">
      <c r="F34" t="s">
        <v>484</v>
      </c>
      <c r="G34" t="s">
        <v>2065</v>
      </c>
      <c r="H34">
        <v>2</v>
      </c>
    </row>
    <row r="35" spans="6:8" x14ac:dyDescent="0.25">
      <c r="F35" t="s">
        <v>480</v>
      </c>
      <c r="G35" t="s">
        <v>2065</v>
      </c>
      <c r="H35">
        <v>10</v>
      </c>
    </row>
    <row r="36" spans="6:8" x14ac:dyDescent="0.25">
      <c r="F36" t="s">
        <v>144</v>
      </c>
      <c r="G36" t="s">
        <v>2065</v>
      </c>
      <c r="H36">
        <v>2</v>
      </c>
    </row>
    <row r="37" spans="6:8" x14ac:dyDescent="0.25">
      <c r="F37" t="s">
        <v>237</v>
      </c>
      <c r="G37" t="s">
        <v>2065</v>
      </c>
      <c r="H37">
        <v>2</v>
      </c>
    </row>
    <row r="38" spans="6:8" x14ac:dyDescent="0.25">
      <c r="F38" t="s">
        <v>41</v>
      </c>
      <c r="G38" t="s">
        <v>2065</v>
      </c>
      <c r="H38">
        <v>20</v>
      </c>
    </row>
    <row r="39" spans="6:8" x14ac:dyDescent="0.25">
      <c r="F39" t="s">
        <v>482</v>
      </c>
      <c r="G39" t="s">
        <v>2065</v>
      </c>
      <c r="H39">
        <v>1</v>
      </c>
    </row>
    <row r="40" spans="6:8" x14ac:dyDescent="0.25">
      <c r="F40" t="s">
        <v>6</v>
      </c>
      <c r="G40" t="s">
        <v>2065</v>
      </c>
      <c r="H40">
        <v>5</v>
      </c>
    </row>
    <row r="41" spans="6:8" x14ac:dyDescent="0.25">
      <c r="F41" t="s">
        <v>103</v>
      </c>
      <c r="G41" t="s">
        <v>2065</v>
      </c>
      <c r="H41">
        <v>2</v>
      </c>
    </row>
    <row r="42" spans="6:8" x14ac:dyDescent="0.25">
      <c r="F42" t="s">
        <v>479</v>
      </c>
      <c r="G42" t="s">
        <v>2065</v>
      </c>
      <c r="H42">
        <v>1</v>
      </c>
    </row>
    <row r="43" spans="6:8" x14ac:dyDescent="0.25">
      <c r="F43" t="s">
        <v>32</v>
      </c>
      <c r="G43" t="s">
        <v>2065</v>
      </c>
      <c r="H43">
        <v>6</v>
      </c>
    </row>
    <row r="44" spans="6:8" x14ac:dyDescent="0.25">
      <c r="F44" t="s">
        <v>469</v>
      </c>
      <c r="G44" t="s">
        <v>2065</v>
      </c>
      <c r="H44">
        <v>1</v>
      </c>
    </row>
    <row r="45" spans="6:8" x14ac:dyDescent="0.25">
      <c r="F45" t="s">
        <v>465</v>
      </c>
      <c r="G45" t="s">
        <v>2065</v>
      </c>
      <c r="H45">
        <v>5</v>
      </c>
    </row>
    <row r="46" spans="6:8" x14ac:dyDescent="0.25">
      <c r="F46" t="s">
        <v>339</v>
      </c>
      <c r="G46" t="s">
        <v>2065</v>
      </c>
      <c r="H46">
        <v>3</v>
      </c>
    </row>
    <row r="47" spans="6:8" x14ac:dyDescent="0.25">
      <c r="F47" t="s">
        <v>2038</v>
      </c>
      <c r="G47" t="s">
        <v>2065</v>
      </c>
      <c r="H47">
        <v>1</v>
      </c>
    </row>
    <row r="48" spans="6:8" x14ac:dyDescent="0.25">
      <c r="F48" t="s">
        <v>65</v>
      </c>
      <c r="G48" t="s">
        <v>2065</v>
      </c>
      <c r="H48">
        <v>2</v>
      </c>
    </row>
    <row r="49" spans="6:8" x14ac:dyDescent="0.25">
      <c r="F49" t="s">
        <v>467</v>
      </c>
      <c r="G49" t="s">
        <v>2065</v>
      </c>
      <c r="H49">
        <v>1</v>
      </c>
    </row>
    <row r="50" spans="6:8" x14ac:dyDescent="0.25">
      <c r="F50" t="s">
        <v>0</v>
      </c>
      <c r="G50" t="s">
        <v>2065</v>
      </c>
      <c r="H50">
        <v>9</v>
      </c>
    </row>
    <row r="51" spans="6:8" x14ac:dyDescent="0.25">
      <c r="F51" t="s">
        <v>474</v>
      </c>
      <c r="G51" t="s">
        <v>2065</v>
      </c>
      <c r="H51">
        <v>3</v>
      </c>
    </row>
    <row r="52" spans="6:8" x14ac:dyDescent="0.25">
      <c r="F52" t="s">
        <v>115</v>
      </c>
      <c r="G52" t="s">
        <v>2065</v>
      </c>
      <c r="H52">
        <v>3</v>
      </c>
    </row>
    <row r="53" spans="6:8" x14ac:dyDescent="0.25">
      <c r="F53" t="s">
        <v>107</v>
      </c>
      <c r="G53" t="s">
        <v>2065</v>
      </c>
      <c r="H53">
        <v>3</v>
      </c>
    </row>
    <row r="54" spans="6:8" x14ac:dyDescent="0.25">
      <c r="F54" t="s">
        <v>503</v>
      </c>
      <c r="G54" t="s">
        <v>2065</v>
      </c>
      <c r="H54">
        <v>2</v>
      </c>
    </row>
    <row r="55" spans="6:8" x14ac:dyDescent="0.25">
      <c r="F55" t="s">
        <v>46</v>
      </c>
      <c r="G55" t="s">
        <v>2065</v>
      </c>
      <c r="H55">
        <v>4</v>
      </c>
    </row>
    <row r="56" spans="6:8" x14ac:dyDescent="0.25">
      <c r="F56" t="s">
        <v>490</v>
      </c>
      <c r="G56" t="s">
        <v>2065</v>
      </c>
      <c r="H56">
        <v>2</v>
      </c>
    </row>
    <row r="57" spans="6:8" x14ac:dyDescent="0.25">
      <c r="F57" t="s">
        <v>493</v>
      </c>
      <c r="G57" t="s">
        <v>2065</v>
      </c>
      <c r="H57">
        <v>1</v>
      </c>
    </row>
    <row r="58" spans="6:8" x14ac:dyDescent="0.25">
      <c r="F58" t="s">
        <v>495</v>
      </c>
      <c r="G58" t="s">
        <v>2065</v>
      </c>
      <c r="H58">
        <v>1</v>
      </c>
    </row>
    <row r="59" spans="6:8" x14ac:dyDescent="0.25">
      <c r="F59" t="s">
        <v>500</v>
      </c>
      <c r="G59" t="s">
        <v>2065</v>
      </c>
      <c r="H59">
        <v>2</v>
      </c>
    </row>
    <row r="60" spans="6:8" x14ac:dyDescent="0.25">
      <c r="F60" t="s">
        <v>511</v>
      </c>
      <c r="G60" t="s">
        <v>2065</v>
      </c>
      <c r="H60">
        <v>3</v>
      </c>
    </row>
    <row r="61" spans="6:8" x14ac:dyDescent="0.25">
      <c r="F61" t="s">
        <v>153</v>
      </c>
      <c r="G61" t="s">
        <v>2065</v>
      </c>
      <c r="H61">
        <v>2</v>
      </c>
    </row>
    <row r="62" spans="6:8" x14ac:dyDescent="0.25">
      <c r="F62" t="s">
        <v>16</v>
      </c>
      <c r="G62" t="s">
        <v>2065</v>
      </c>
      <c r="H62">
        <v>6</v>
      </c>
    </row>
    <row r="63" spans="6:8" x14ac:dyDescent="0.25">
      <c r="F63" t="s">
        <v>514</v>
      </c>
      <c r="G63" t="s">
        <v>2065</v>
      </c>
      <c r="H63">
        <v>5</v>
      </c>
    </row>
    <row r="64" spans="6:8" x14ac:dyDescent="0.25">
      <c r="F64" t="s">
        <v>518</v>
      </c>
      <c r="G64" t="s">
        <v>2065</v>
      </c>
      <c r="H64">
        <v>1</v>
      </c>
    </row>
    <row r="65" spans="6:8" x14ac:dyDescent="0.25">
      <c r="F65" t="s">
        <v>161</v>
      </c>
      <c r="G65" t="s">
        <v>2065</v>
      </c>
      <c r="H65">
        <v>5</v>
      </c>
    </row>
    <row r="66" spans="6:8" x14ac:dyDescent="0.25">
      <c r="F66" t="s">
        <v>520</v>
      </c>
      <c r="G66" t="s">
        <v>2065</v>
      </c>
      <c r="H66">
        <v>1</v>
      </c>
    </row>
    <row r="67" spans="6:8" x14ac:dyDescent="0.25">
      <c r="F67" t="s">
        <v>506</v>
      </c>
      <c r="G67" t="s">
        <v>2065</v>
      </c>
      <c r="H67">
        <v>1</v>
      </c>
    </row>
    <row r="68" spans="6:8" x14ac:dyDescent="0.25">
      <c r="F68" t="s">
        <v>379</v>
      </c>
      <c r="G68" t="s">
        <v>2065</v>
      </c>
      <c r="H68">
        <v>1</v>
      </c>
    </row>
    <row r="69" spans="6:8" x14ac:dyDescent="0.25">
      <c r="F69" t="s">
        <v>14</v>
      </c>
      <c r="G69" t="s">
        <v>2065</v>
      </c>
      <c r="H69">
        <v>1</v>
      </c>
    </row>
    <row r="70" spans="6:8" x14ac:dyDescent="0.25">
      <c r="F70" t="s">
        <v>252</v>
      </c>
      <c r="G70" t="s">
        <v>2065</v>
      </c>
      <c r="H70">
        <v>4</v>
      </c>
    </row>
    <row r="71" spans="6:8" x14ac:dyDescent="0.25">
      <c r="F71" t="s">
        <v>90</v>
      </c>
      <c r="G71" t="s">
        <v>2065</v>
      </c>
      <c r="H71">
        <v>1</v>
      </c>
    </row>
    <row r="72" spans="6:8" x14ac:dyDescent="0.25">
      <c r="F72" t="s">
        <v>538</v>
      </c>
      <c r="G72" t="s">
        <v>2065</v>
      </c>
      <c r="H72">
        <v>1</v>
      </c>
    </row>
    <row r="73" spans="6:8" x14ac:dyDescent="0.25">
      <c r="F73" t="s">
        <v>991</v>
      </c>
      <c r="G73" t="s">
        <v>2065</v>
      </c>
      <c r="H73">
        <v>1</v>
      </c>
    </row>
    <row r="74" spans="6:8" x14ac:dyDescent="0.25">
      <c r="F74" t="s">
        <v>541</v>
      </c>
      <c r="G74" t="s">
        <v>2065</v>
      </c>
      <c r="H74">
        <v>1</v>
      </c>
    </row>
    <row r="75" spans="6:8" x14ac:dyDescent="0.25">
      <c r="F75" t="s">
        <v>531</v>
      </c>
      <c r="G75" t="s">
        <v>2065</v>
      </c>
      <c r="H75">
        <v>1</v>
      </c>
    </row>
    <row r="76" spans="6:8" x14ac:dyDescent="0.25">
      <c r="F76" t="s">
        <v>336</v>
      </c>
      <c r="G76" t="s">
        <v>2065</v>
      </c>
      <c r="H76">
        <v>4</v>
      </c>
    </row>
    <row r="77" spans="6:8" x14ac:dyDescent="0.25">
      <c r="F77" t="s">
        <v>548</v>
      </c>
      <c r="G77" t="s">
        <v>2065</v>
      </c>
      <c r="H77">
        <v>2</v>
      </c>
    </row>
    <row r="78" spans="6:8" x14ac:dyDescent="0.25">
      <c r="F78" t="s">
        <v>543</v>
      </c>
      <c r="G78" t="s">
        <v>2065</v>
      </c>
      <c r="H78">
        <v>1</v>
      </c>
    </row>
    <row r="79" spans="6:8" x14ac:dyDescent="0.25">
      <c r="F79" t="s">
        <v>550</v>
      </c>
      <c r="G79" t="s">
        <v>2065</v>
      </c>
      <c r="H79">
        <v>2</v>
      </c>
    </row>
    <row r="80" spans="6:8" x14ac:dyDescent="0.25">
      <c r="F80" t="s">
        <v>545</v>
      </c>
      <c r="G80" t="s">
        <v>2065</v>
      </c>
      <c r="H80">
        <v>1</v>
      </c>
    </row>
    <row r="81" spans="6:8" x14ac:dyDescent="0.25">
      <c r="F81" t="s">
        <v>536</v>
      </c>
      <c r="G81" t="s">
        <v>2065</v>
      </c>
      <c r="H81">
        <v>1</v>
      </c>
    </row>
    <row r="82" spans="6:8" x14ac:dyDescent="0.25">
      <c r="F82" t="s">
        <v>147</v>
      </c>
      <c r="G82" t="s">
        <v>2065</v>
      </c>
      <c r="H82">
        <v>1</v>
      </c>
    </row>
    <row r="83" spans="6:8" x14ac:dyDescent="0.25">
      <c r="F83" t="s">
        <v>345</v>
      </c>
      <c r="G83" t="s">
        <v>2065</v>
      </c>
      <c r="H83">
        <v>4</v>
      </c>
    </row>
    <row r="84" spans="6:8" x14ac:dyDescent="0.25">
      <c r="F84" t="s">
        <v>163</v>
      </c>
      <c r="G84" t="s">
        <v>2065</v>
      </c>
      <c r="H84">
        <v>1</v>
      </c>
    </row>
    <row r="85" spans="6:8" x14ac:dyDescent="0.25">
      <c r="F85" t="s">
        <v>276</v>
      </c>
      <c r="G85" t="s">
        <v>2065</v>
      </c>
      <c r="H85">
        <v>2</v>
      </c>
    </row>
    <row r="86" spans="6:8" x14ac:dyDescent="0.25">
      <c r="F86" t="s">
        <v>558</v>
      </c>
      <c r="G86" t="s">
        <v>2065</v>
      </c>
      <c r="H86">
        <v>1</v>
      </c>
    </row>
    <row r="87" spans="6:8" x14ac:dyDescent="0.25">
      <c r="F87" t="s">
        <v>555</v>
      </c>
      <c r="G87" t="s">
        <v>2065</v>
      </c>
      <c r="H87">
        <v>2</v>
      </c>
    </row>
    <row r="88" spans="6:8" x14ac:dyDescent="0.25">
      <c r="F88" t="s">
        <v>561</v>
      </c>
      <c r="G88" t="s">
        <v>2065</v>
      </c>
      <c r="H88">
        <v>1</v>
      </c>
    </row>
    <row r="89" spans="6:8" x14ac:dyDescent="0.25">
      <c r="F89" t="s">
        <v>560</v>
      </c>
      <c r="G89" t="s">
        <v>2065</v>
      </c>
      <c r="H89">
        <v>6</v>
      </c>
    </row>
    <row r="90" spans="6:8" x14ac:dyDescent="0.25">
      <c r="F90" t="s">
        <v>306</v>
      </c>
      <c r="G90" t="s">
        <v>2065</v>
      </c>
      <c r="H90">
        <v>1</v>
      </c>
    </row>
    <row r="91" spans="6:8" x14ac:dyDescent="0.25">
      <c r="F91" t="s">
        <v>123</v>
      </c>
      <c r="G91" t="s">
        <v>2065</v>
      </c>
      <c r="H91">
        <v>4</v>
      </c>
    </row>
    <row r="92" spans="6:8" x14ac:dyDescent="0.25">
      <c r="F92" t="s">
        <v>575</v>
      </c>
      <c r="G92" t="s">
        <v>2065</v>
      </c>
      <c r="H92">
        <v>1</v>
      </c>
    </row>
    <row r="93" spans="6:8" x14ac:dyDescent="0.25">
      <c r="F93" t="s">
        <v>572</v>
      </c>
      <c r="G93" t="s">
        <v>2065</v>
      </c>
      <c r="H93">
        <v>1</v>
      </c>
    </row>
    <row r="94" spans="6:8" x14ac:dyDescent="0.25">
      <c r="F94" t="s">
        <v>576</v>
      </c>
      <c r="G94" t="s">
        <v>2065</v>
      </c>
      <c r="H94">
        <v>1</v>
      </c>
    </row>
    <row r="95" spans="6:8" x14ac:dyDescent="0.25">
      <c r="F95" t="s">
        <v>564</v>
      </c>
      <c r="G95" t="s">
        <v>2065</v>
      </c>
      <c r="H95">
        <v>1</v>
      </c>
    </row>
    <row r="96" spans="6:8" x14ac:dyDescent="0.25">
      <c r="F96" t="s">
        <v>54</v>
      </c>
      <c r="G96" t="s">
        <v>2065</v>
      </c>
      <c r="H96">
        <v>2</v>
      </c>
    </row>
    <row r="97" spans="6:8" x14ac:dyDescent="0.25">
      <c r="F97" t="s">
        <v>297</v>
      </c>
      <c r="G97" t="s">
        <v>2065</v>
      </c>
      <c r="H97">
        <v>3</v>
      </c>
    </row>
    <row r="98" spans="6:8" x14ac:dyDescent="0.25">
      <c r="F98" t="s">
        <v>580</v>
      </c>
      <c r="G98" t="s">
        <v>2065</v>
      </c>
      <c r="H98">
        <v>3</v>
      </c>
    </row>
    <row r="99" spans="6:8" x14ac:dyDescent="0.25">
      <c r="F99" t="s">
        <v>578</v>
      </c>
      <c r="G99" t="s">
        <v>2065</v>
      </c>
      <c r="H99">
        <v>1</v>
      </c>
    </row>
    <row r="100" spans="6:8" x14ac:dyDescent="0.25">
      <c r="F100" t="s">
        <v>593</v>
      </c>
      <c r="G100" t="s">
        <v>2065</v>
      </c>
      <c r="H100">
        <v>3</v>
      </c>
    </row>
    <row r="101" spans="6:8" x14ac:dyDescent="0.25">
      <c r="F101" t="s">
        <v>56</v>
      </c>
      <c r="G101" t="s">
        <v>2065</v>
      </c>
      <c r="H101">
        <v>7</v>
      </c>
    </row>
    <row r="102" spans="6:8" x14ac:dyDescent="0.25">
      <c r="F102" t="s">
        <v>60</v>
      </c>
      <c r="G102" t="s">
        <v>2065</v>
      </c>
      <c r="H102">
        <v>4</v>
      </c>
    </row>
    <row r="103" spans="6:8" x14ac:dyDescent="0.25">
      <c r="F103" t="s">
        <v>43</v>
      </c>
      <c r="G103" t="s">
        <v>2065</v>
      </c>
      <c r="H103">
        <v>3</v>
      </c>
    </row>
    <row r="104" spans="6:8" x14ac:dyDescent="0.25">
      <c r="F104" t="s">
        <v>586</v>
      </c>
      <c r="G104" t="s">
        <v>2065</v>
      </c>
      <c r="H104">
        <v>1</v>
      </c>
    </row>
    <row r="105" spans="6:8" x14ac:dyDescent="0.25">
      <c r="F105" t="s">
        <v>582</v>
      </c>
      <c r="G105" t="s">
        <v>2065</v>
      </c>
      <c r="H105">
        <v>3</v>
      </c>
    </row>
    <row r="106" spans="6:8" x14ac:dyDescent="0.25">
      <c r="F106" t="s">
        <v>592</v>
      </c>
      <c r="G106" t="s">
        <v>2065</v>
      </c>
      <c r="H106">
        <v>1</v>
      </c>
    </row>
    <row r="107" spans="6:8" x14ac:dyDescent="0.25">
      <c r="F107" t="s">
        <v>152</v>
      </c>
      <c r="G107" t="s">
        <v>2065</v>
      </c>
      <c r="H107">
        <v>2</v>
      </c>
    </row>
    <row r="108" spans="6:8" x14ac:dyDescent="0.25">
      <c r="F108" t="s">
        <v>204</v>
      </c>
      <c r="G108" t="s">
        <v>2065</v>
      </c>
      <c r="H108">
        <v>1</v>
      </c>
    </row>
    <row r="109" spans="6:8" x14ac:dyDescent="0.25">
      <c r="F109" t="s">
        <v>616</v>
      </c>
      <c r="G109" t="s">
        <v>2065</v>
      </c>
      <c r="H109">
        <v>1</v>
      </c>
    </row>
    <row r="110" spans="6:8" x14ac:dyDescent="0.25">
      <c r="F110" t="s">
        <v>58</v>
      </c>
      <c r="G110" t="s">
        <v>2065</v>
      </c>
      <c r="H110">
        <v>2</v>
      </c>
    </row>
    <row r="111" spans="6:8" x14ac:dyDescent="0.25">
      <c r="F111" t="s">
        <v>611</v>
      </c>
      <c r="G111" t="s">
        <v>2065</v>
      </c>
      <c r="H111">
        <v>4</v>
      </c>
    </row>
    <row r="112" spans="6:8" x14ac:dyDescent="0.25">
      <c r="F112" t="s">
        <v>624</v>
      </c>
      <c r="G112" t="s">
        <v>2065</v>
      </c>
      <c r="H112">
        <v>1</v>
      </c>
    </row>
    <row r="113" spans="6:8" x14ac:dyDescent="0.25">
      <c r="F113" t="s">
        <v>2051</v>
      </c>
      <c r="G113" t="s">
        <v>2065</v>
      </c>
      <c r="H113">
        <v>5</v>
      </c>
    </row>
    <row r="114" spans="6:8" x14ac:dyDescent="0.25">
      <c r="F114" t="s">
        <v>622</v>
      </c>
      <c r="G114" t="s">
        <v>2065</v>
      </c>
      <c r="H114">
        <v>1</v>
      </c>
    </row>
    <row r="115" spans="6:8" x14ac:dyDescent="0.25">
      <c r="F115" t="s">
        <v>373</v>
      </c>
      <c r="G115" t="s">
        <v>2065</v>
      </c>
      <c r="H115">
        <v>1</v>
      </c>
    </row>
    <row r="116" spans="6:8" x14ac:dyDescent="0.25">
      <c r="F116" t="s">
        <v>629</v>
      </c>
      <c r="G116" t="s">
        <v>2065</v>
      </c>
      <c r="H116">
        <v>1</v>
      </c>
    </row>
    <row r="117" spans="6:8" x14ac:dyDescent="0.25">
      <c r="F117" t="s">
        <v>631</v>
      </c>
      <c r="G117" t="s">
        <v>2065</v>
      </c>
      <c r="H117">
        <v>1</v>
      </c>
    </row>
    <row r="118" spans="6:8" x14ac:dyDescent="0.25">
      <c r="F118" t="s">
        <v>293</v>
      </c>
      <c r="G118" t="s">
        <v>2065</v>
      </c>
      <c r="H118">
        <v>1</v>
      </c>
    </row>
    <row r="119" spans="6:8" x14ac:dyDescent="0.25">
      <c r="F119" t="s">
        <v>635</v>
      </c>
      <c r="G119" t="s">
        <v>2065</v>
      </c>
      <c r="H119">
        <v>1</v>
      </c>
    </row>
    <row r="120" spans="6:8" x14ac:dyDescent="0.25">
      <c r="F120" t="s">
        <v>143</v>
      </c>
      <c r="G120" t="s">
        <v>2065</v>
      </c>
      <c r="H120">
        <v>1</v>
      </c>
    </row>
    <row r="121" spans="6:8" x14ac:dyDescent="0.25">
      <c r="F121" t="s">
        <v>253</v>
      </c>
      <c r="G121" t="s">
        <v>2065</v>
      </c>
      <c r="H121">
        <v>1</v>
      </c>
    </row>
    <row r="122" spans="6:8" x14ac:dyDescent="0.25">
      <c r="F122" t="s">
        <v>250</v>
      </c>
      <c r="G122" t="s">
        <v>2065</v>
      </c>
      <c r="H122">
        <v>5</v>
      </c>
    </row>
    <row r="123" spans="6:8" x14ac:dyDescent="0.25">
      <c r="F123" t="s">
        <v>637</v>
      </c>
      <c r="G123" t="s">
        <v>2065</v>
      </c>
      <c r="H123">
        <v>2</v>
      </c>
    </row>
    <row r="124" spans="6:8" x14ac:dyDescent="0.25">
      <c r="F124" t="s">
        <v>640</v>
      </c>
      <c r="G124" t="s">
        <v>2065</v>
      </c>
      <c r="H124">
        <v>1</v>
      </c>
    </row>
    <row r="125" spans="6:8" x14ac:dyDescent="0.25">
      <c r="F125" t="s">
        <v>654</v>
      </c>
      <c r="G125" t="s">
        <v>2065</v>
      </c>
      <c r="H125">
        <v>1</v>
      </c>
    </row>
    <row r="126" spans="6:8" x14ac:dyDescent="0.25">
      <c r="F126" t="s">
        <v>658</v>
      </c>
      <c r="G126" t="s">
        <v>2065</v>
      </c>
      <c r="H126">
        <v>1</v>
      </c>
    </row>
    <row r="127" spans="6:8" x14ac:dyDescent="0.25">
      <c r="F127" t="s">
        <v>661</v>
      </c>
      <c r="G127" t="s">
        <v>2065</v>
      </c>
      <c r="H127">
        <v>1</v>
      </c>
    </row>
    <row r="128" spans="6:8" x14ac:dyDescent="0.25">
      <c r="F128" t="s">
        <v>663</v>
      </c>
      <c r="G128" t="s">
        <v>2065</v>
      </c>
      <c r="H128">
        <v>1</v>
      </c>
    </row>
    <row r="129" spans="6:8" x14ac:dyDescent="0.25">
      <c r="F129" t="s">
        <v>656</v>
      </c>
      <c r="G129" t="s">
        <v>2065</v>
      </c>
      <c r="H129">
        <v>1</v>
      </c>
    </row>
    <row r="130" spans="6:8" x14ac:dyDescent="0.25">
      <c r="F130" t="s">
        <v>665</v>
      </c>
      <c r="G130" t="s">
        <v>2065</v>
      </c>
      <c r="H130">
        <v>1</v>
      </c>
    </row>
    <row r="131" spans="6:8" x14ac:dyDescent="0.25">
      <c r="F131" t="s">
        <v>649</v>
      </c>
      <c r="G131" t="s">
        <v>2065</v>
      </c>
      <c r="H131">
        <v>2</v>
      </c>
    </row>
    <row r="132" spans="6:8" x14ac:dyDescent="0.25">
      <c r="F132" t="s">
        <v>653</v>
      </c>
      <c r="G132" t="s">
        <v>2065</v>
      </c>
      <c r="H132">
        <v>1</v>
      </c>
    </row>
    <row r="133" spans="6:8" x14ac:dyDescent="0.25">
      <c r="F133" t="s">
        <v>648</v>
      </c>
      <c r="G133" t="s">
        <v>2065</v>
      </c>
      <c r="H133">
        <v>1</v>
      </c>
    </row>
    <row r="134" spans="6:8" x14ac:dyDescent="0.25">
      <c r="F134" t="s">
        <v>652</v>
      </c>
      <c r="G134" t="s">
        <v>2065</v>
      </c>
      <c r="H134">
        <v>1</v>
      </c>
    </row>
    <row r="135" spans="6:8" x14ac:dyDescent="0.25">
      <c r="F135" t="s">
        <v>679</v>
      </c>
      <c r="G135" t="s">
        <v>2065</v>
      </c>
      <c r="H135">
        <v>1</v>
      </c>
    </row>
    <row r="136" spans="6:8" x14ac:dyDescent="0.25">
      <c r="F136" t="s">
        <v>167</v>
      </c>
      <c r="G136" t="s">
        <v>2065</v>
      </c>
      <c r="H136">
        <v>1</v>
      </c>
    </row>
    <row r="137" spans="6:8" x14ac:dyDescent="0.25">
      <c r="F137" t="s">
        <v>670</v>
      </c>
      <c r="G137" t="s">
        <v>2065</v>
      </c>
      <c r="H137">
        <v>1</v>
      </c>
    </row>
    <row r="138" spans="6:8" x14ac:dyDescent="0.25">
      <c r="F138" t="s">
        <v>1218</v>
      </c>
      <c r="G138" t="s">
        <v>2065</v>
      </c>
      <c r="H138">
        <v>1</v>
      </c>
    </row>
    <row r="139" spans="6:8" x14ac:dyDescent="0.25">
      <c r="F139" t="s">
        <v>674</v>
      </c>
      <c r="G139" t="s">
        <v>2065</v>
      </c>
      <c r="H139">
        <v>2</v>
      </c>
    </row>
    <row r="140" spans="6:8" x14ac:dyDescent="0.25">
      <c r="F140" t="s">
        <v>214</v>
      </c>
      <c r="G140" t="s">
        <v>2065</v>
      </c>
      <c r="H140">
        <v>1</v>
      </c>
    </row>
    <row r="141" spans="6:8" x14ac:dyDescent="0.25">
      <c r="F141" t="s">
        <v>292</v>
      </c>
      <c r="G141" t="s">
        <v>2065</v>
      </c>
      <c r="H141">
        <v>1</v>
      </c>
    </row>
    <row r="142" spans="6:8" x14ac:dyDescent="0.25">
      <c r="F142" t="s">
        <v>702</v>
      </c>
      <c r="G142" t="s">
        <v>2065</v>
      </c>
      <c r="H142">
        <v>2</v>
      </c>
    </row>
    <row r="143" spans="6:8" x14ac:dyDescent="0.25">
      <c r="F143" t="s">
        <v>699</v>
      </c>
      <c r="G143" t="s">
        <v>2065</v>
      </c>
      <c r="H143">
        <v>1</v>
      </c>
    </row>
    <row r="144" spans="6:8" x14ac:dyDescent="0.25">
      <c r="F144" t="s">
        <v>88</v>
      </c>
      <c r="G144" t="s">
        <v>2065</v>
      </c>
      <c r="H144">
        <v>5</v>
      </c>
    </row>
    <row r="145" spans="6:8" x14ac:dyDescent="0.25">
      <c r="F145" t="s">
        <v>695</v>
      </c>
      <c r="G145" t="s">
        <v>2065</v>
      </c>
      <c r="H145">
        <v>1</v>
      </c>
    </row>
    <row r="146" spans="6:8" x14ac:dyDescent="0.25">
      <c r="F146" t="s">
        <v>698</v>
      </c>
      <c r="G146" t="s">
        <v>2065</v>
      </c>
      <c r="H146">
        <v>4</v>
      </c>
    </row>
    <row r="147" spans="6:8" x14ac:dyDescent="0.25">
      <c r="F147" t="s">
        <v>129</v>
      </c>
      <c r="G147" t="s">
        <v>2065</v>
      </c>
      <c r="H147">
        <v>3</v>
      </c>
    </row>
    <row r="148" spans="6:8" x14ac:dyDescent="0.25">
      <c r="F148" t="s">
        <v>687</v>
      </c>
      <c r="G148" t="s">
        <v>2065</v>
      </c>
      <c r="H148">
        <v>1</v>
      </c>
    </row>
    <row r="149" spans="6:8" x14ac:dyDescent="0.25">
      <c r="F149" t="s">
        <v>72</v>
      </c>
      <c r="G149" t="s">
        <v>2065</v>
      </c>
      <c r="H149">
        <v>1</v>
      </c>
    </row>
    <row r="150" spans="6:8" x14ac:dyDescent="0.25">
      <c r="F150" t="s">
        <v>694</v>
      </c>
      <c r="G150" t="s">
        <v>2065</v>
      </c>
      <c r="H150">
        <v>1</v>
      </c>
    </row>
    <row r="151" spans="6:8" x14ac:dyDescent="0.25">
      <c r="F151" t="s">
        <v>688</v>
      </c>
      <c r="G151" t="s">
        <v>2065</v>
      </c>
      <c r="H151">
        <v>2</v>
      </c>
    </row>
    <row r="152" spans="6:8" x14ac:dyDescent="0.25">
      <c r="F152" t="s">
        <v>70</v>
      </c>
      <c r="G152" t="s">
        <v>2065</v>
      </c>
      <c r="H152">
        <v>1</v>
      </c>
    </row>
    <row r="153" spans="6:8" x14ac:dyDescent="0.25">
      <c r="F153" t="s">
        <v>206</v>
      </c>
      <c r="G153" t="s">
        <v>2065</v>
      </c>
      <c r="H153">
        <v>1</v>
      </c>
    </row>
    <row r="154" spans="6:8" x14ac:dyDescent="0.25">
      <c r="F154" t="s">
        <v>712</v>
      </c>
      <c r="G154" t="s">
        <v>2065</v>
      </c>
      <c r="H154">
        <v>3</v>
      </c>
    </row>
    <row r="155" spans="6:8" x14ac:dyDescent="0.25">
      <c r="F155" t="s">
        <v>714</v>
      </c>
      <c r="G155" t="s">
        <v>2065</v>
      </c>
      <c r="H155">
        <v>1</v>
      </c>
    </row>
    <row r="156" spans="6:8" x14ac:dyDescent="0.25">
      <c r="F156" t="s">
        <v>84</v>
      </c>
      <c r="G156" t="s">
        <v>2065</v>
      </c>
      <c r="H156">
        <v>2</v>
      </c>
    </row>
    <row r="157" spans="6:8" x14ac:dyDescent="0.25">
      <c r="F157" t="s">
        <v>356</v>
      </c>
      <c r="G157" t="s">
        <v>2065</v>
      </c>
      <c r="H157">
        <v>1</v>
      </c>
    </row>
    <row r="158" spans="6:8" x14ac:dyDescent="0.25">
      <c r="F158" t="s">
        <v>707</v>
      </c>
      <c r="G158" t="s">
        <v>2065</v>
      </c>
      <c r="H158">
        <v>1</v>
      </c>
    </row>
    <row r="159" spans="6:8" x14ac:dyDescent="0.25">
      <c r="F159" t="s">
        <v>717</v>
      </c>
      <c r="G159" t="s">
        <v>2065</v>
      </c>
      <c r="H159">
        <v>4</v>
      </c>
    </row>
    <row r="160" spans="6:8" x14ac:dyDescent="0.25">
      <c r="F160" t="s">
        <v>165</v>
      </c>
      <c r="G160" t="s">
        <v>2065</v>
      </c>
      <c r="H160">
        <v>1</v>
      </c>
    </row>
    <row r="161" spans="6:8" x14ac:dyDescent="0.25">
      <c r="F161" t="s">
        <v>724</v>
      </c>
      <c r="G161" t="s">
        <v>2065</v>
      </c>
      <c r="H161">
        <v>1</v>
      </c>
    </row>
    <row r="162" spans="6:8" x14ac:dyDescent="0.25">
      <c r="F162" t="s">
        <v>729</v>
      </c>
      <c r="G162" t="s">
        <v>2065</v>
      </c>
      <c r="H162">
        <v>3</v>
      </c>
    </row>
    <row r="163" spans="6:8" x14ac:dyDescent="0.25">
      <c r="F163" t="s">
        <v>731</v>
      </c>
      <c r="G163" t="s">
        <v>2065</v>
      </c>
      <c r="H163">
        <v>1</v>
      </c>
    </row>
    <row r="164" spans="6:8" x14ac:dyDescent="0.25">
      <c r="F164" t="s">
        <v>733</v>
      </c>
      <c r="G164" t="s">
        <v>2065</v>
      </c>
      <c r="H164">
        <v>1</v>
      </c>
    </row>
    <row r="165" spans="6:8" x14ac:dyDescent="0.25">
      <c r="F165" t="s">
        <v>721</v>
      </c>
      <c r="G165" t="s">
        <v>2065</v>
      </c>
      <c r="H165">
        <v>2</v>
      </c>
    </row>
    <row r="166" spans="6:8" x14ac:dyDescent="0.25">
      <c r="F166" t="s">
        <v>750</v>
      </c>
      <c r="G166" t="s">
        <v>2065</v>
      </c>
      <c r="H166">
        <v>1</v>
      </c>
    </row>
    <row r="167" spans="6:8" x14ac:dyDescent="0.25">
      <c r="F167" t="s">
        <v>743</v>
      </c>
      <c r="G167" t="s">
        <v>2065</v>
      </c>
      <c r="H167">
        <v>1</v>
      </c>
    </row>
    <row r="168" spans="6:8" x14ac:dyDescent="0.25">
      <c r="F168" t="s">
        <v>745</v>
      </c>
      <c r="G168" t="s">
        <v>2065</v>
      </c>
      <c r="H168">
        <v>1</v>
      </c>
    </row>
    <row r="169" spans="6:8" x14ac:dyDescent="0.25">
      <c r="F169" t="s">
        <v>739</v>
      </c>
      <c r="G169" t="s">
        <v>2065</v>
      </c>
      <c r="H169">
        <v>4</v>
      </c>
    </row>
    <row r="170" spans="6:8" x14ac:dyDescent="0.25">
      <c r="F170" t="s">
        <v>737</v>
      </c>
      <c r="G170" t="s">
        <v>2065</v>
      </c>
      <c r="H170">
        <v>1</v>
      </c>
    </row>
    <row r="171" spans="6:8" x14ac:dyDescent="0.25">
      <c r="F171" t="s">
        <v>735</v>
      </c>
      <c r="G171" t="s">
        <v>2065</v>
      </c>
      <c r="H171">
        <v>1</v>
      </c>
    </row>
    <row r="172" spans="6:8" x14ac:dyDescent="0.25">
      <c r="F172" t="s">
        <v>747</v>
      </c>
      <c r="G172" t="s">
        <v>2065</v>
      </c>
      <c r="H172">
        <v>1</v>
      </c>
    </row>
    <row r="173" spans="6:8" x14ac:dyDescent="0.25">
      <c r="F173" t="s">
        <v>756</v>
      </c>
      <c r="G173" t="s">
        <v>2065</v>
      </c>
      <c r="H173">
        <v>1</v>
      </c>
    </row>
    <row r="174" spans="6:8" x14ac:dyDescent="0.25">
      <c r="F174" t="s">
        <v>753</v>
      </c>
      <c r="G174" t="s">
        <v>2065</v>
      </c>
      <c r="H174">
        <v>1</v>
      </c>
    </row>
    <row r="175" spans="6:8" x14ac:dyDescent="0.25">
      <c r="F175" t="s">
        <v>117</v>
      </c>
      <c r="G175" t="s">
        <v>2065</v>
      </c>
      <c r="H175">
        <v>7</v>
      </c>
    </row>
    <row r="176" spans="6:8" x14ac:dyDescent="0.25">
      <c r="F176" t="s">
        <v>771</v>
      </c>
      <c r="G176" t="s">
        <v>2065</v>
      </c>
      <c r="H176">
        <v>1</v>
      </c>
    </row>
    <row r="177" spans="6:8" x14ac:dyDescent="0.25">
      <c r="F177" t="s">
        <v>2037</v>
      </c>
      <c r="G177" t="s">
        <v>2065</v>
      </c>
      <c r="H177">
        <v>1</v>
      </c>
    </row>
    <row r="178" spans="6:8" x14ac:dyDescent="0.25">
      <c r="F178" t="s">
        <v>763</v>
      </c>
      <c r="G178" t="s">
        <v>2065</v>
      </c>
      <c r="H178">
        <v>1</v>
      </c>
    </row>
    <row r="179" spans="6:8" x14ac:dyDescent="0.25">
      <c r="F179" t="s">
        <v>782</v>
      </c>
      <c r="G179" t="s">
        <v>2065</v>
      </c>
      <c r="H179">
        <v>2</v>
      </c>
    </row>
    <row r="180" spans="6:8" x14ac:dyDescent="0.25">
      <c r="F180" t="s">
        <v>783</v>
      </c>
      <c r="G180" t="s">
        <v>2065</v>
      </c>
      <c r="H180">
        <v>1</v>
      </c>
    </row>
    <row r="181" spans="6:8" x14ac:dyDescent="0.25">
      <c r="F181" t="s">
        <v>786</v>
      </c>
      <c r="G181" t="s">
        <v>2065</v>
      </c>
      <c r="H181">
        <v>1</v>
      </c>
    </row>
    <row r="182" spans="6:8" x14ac:dyDescent="0.25">
      <c r="F182" t="s">
        <v>778</v>
      </c>
      <c r="G182" t="s">
        <v>2065</v>
      </c>
      <c r="H182">
        <v>1</v>
      </c>
    </row>
    <row r="183" spans="6:8" x14ac:dyDescent="0.25">
      <c r="F183" t="s">
        <v>80</v>
      </c>
      <c r="G183" t="s">
        <v>2065</v>
      </c>
      <c r="H183">
        <v>2</v>
      </c>
    </row>
    <row r="184" spans="6:8" x14ac:dyDescent="0.25">
      <c r="F184" t="s">
        <v>806</v>
      </c>
      <c r="G184" t="s">
        <v>2065</v>
      </c>
      <c r="H184">
        <v>1</v>
      </c>
    </row>
    <row r="185" spans="6:8" x14ac:dyDescent="0.25">
      <c r="F185" t="s">
        <v>802</v>
      </c>
      <c r="G185" t="s">
        <v>2065</v>
      </c>
      <c r="H185">
        <v>1</v>
      </c>
    </row>
    <row r="186" spans="6:8" x14ac:dyDescent="0.25">
      <c r="F186" t="s">
        <v>787</v>
      </c>
      <c r="G186" t="s">
        <v>2065</v>
      </c>
      <c r="H186">
        <v>1</v>
      </c>
    </row>
    <row r="187" spans="6:8" x14ac:dyDescent="0.25">
      <c r="F187" t="s">
        <v>808</v>
      </c>
      <c r="G187" t="s">
        <v>2065</v>
      </c>
      <c r="H187">
        <v>1</v>
      </c>
    </row>
    <row r="188" spans="6:8" x14ac:dyDescent="0.25">
      <c r="F188" t="s">
        <v>798</v>
      </c>
      <c r="G188" t="s">
        <v>2065</v>
      </c>
      <c r="H188">
        <v>1</v>
      </c>
    </row>
    <row r="189" spans="6:8" x14ac:dyDescent="0.25">
      <c r="F189" t="s">
        <v>810</v>
      </c>
      <c r="G189" t="s">
        <v>2065</v>
      </c>
      <c r="H189">
        <v>1</v>
      </c>
    </row>
    <row r="190" spans="6:8" x14ac:dyDescent="0.25">
      <c r="F190" t="s">
        <v>795</v>
      </c>
      <c r="G190" t="s">
        <v>2065</v>
      </c>
      <c r="H190">
        <v>1</v>
      </c>
    </row>
    <row r="191" spans="6:8" x14ac:dyDescent="0.25">
      <c r="F191" t="s">
        <v>791</v>
      </c>
      <c r="G191" t="s">
        <v>2065</v>
      </c>
      <c r="H191">
        <v>1</v>
      </c>
    </row>
    <row r="192" spans="6:8" x14ac:dyDescent="0.25">
      <c r="F192" t="s">
        <v>827</v>
      </c>
      <c r="G192" t="s">
        <v>2065</v>
      </c>
      <c r="H192">
        <v>1</v>
      </c>
    </row>
    <row r="193" spans="6:8" x14ac:dyDescent="0.25">
      <c r="F193" t="s">
        <v>829</v>
      </c>
      <c r="G193" t="s">
        <v>2065</v>
      </c>
      <c r="H193">
        <v>1</v>
      </c>
    </row>
    <row r="194" spans="6:8" x14ac:dyDescent="0.25">
      <c r="F194" t="s">
        <v>832</v>
      </c>
      <c r="G194" t="s">
        <v>2065</v>
      </c>
      <c r="H194">
        <v>1</v>
      </c>
    </row>
    <row r="195" spans="6:8" x14ac:dyDescent="0.25">
      <c r="F195" t="s">
        <v>814</v>
      </c>
      <c r="G195" t="s">
        <v>2065</v>
      </c>
      <c r="H195">
        <v>1</v>
      </c>
    </row>
    <row r="196" spans="6:8" x14ac:dyDescent="0.25">
      <c r="F196" t="s">
        <v>816</v>
      </c>
      <c r="G196" t="s">
        <v>2065</v>
      </c>
      <c r="H196">
        <v>1</v>
      </c>
    </row>
    <row r="197" spans="6:8" x14ac:dyDescent="0.25">
      <c r="F197" t="s">
        <v>818</v>
      </c>
      <c r="G197" t="s">
        <v>2065</v>
      </c>
      <c r="H197">
        <v>1</v>
      </c>
    </row>
    <row r="198" spans="6:8" x14ac:dyDescent="0.25">
      <c r="F198" t="s">
        <v>820</v>
      </c>
      <c r="G198" t="s">
        <v>2065</v>
      </c>
      <c r="H198">
        <v>1</v>
      </c>
    </row>
    <row r="199" spans="6:8" x14ac:dyDescent="0.25">
      <c r="F199" t="s">
        <v>822</v>
      </c>
      <c r="G199" t="s">
        <v>2065</v>
      </c>
      <c r="H199">
        <v>1</v>
      </c>
    </row>
    <row r="200" spans="6:8" x14ac:dyDescent="0.25">
      <c r="F200" t="s">
        <v>78</v>
      </c>
      <c r="G200" t="s">
        <v>2065</v>
      </c>
      <c r="H200">
        <v>1</v>
      </c>
    </row>
    <row r="201" spans="6:8" x14ac:dyDescent="0.25">
      <c r="F201" t="s">
        <v>825</v>
      </c>
      <c r="G201" t="s">
        <v>2065</v>
      </c>
      <c r="H201">
        <v>1</v>
      </c>
    </row>
    <row r="202" spans="6:8" x14ac:dyDescent="0.25">
      <c r="F202" t="s">
        <v>844</v>
      </c>
      <c r="G202" t="s">
        <v>2065</v>
      </c>
      <c r="H202">
        <v>2</v>
      </c>
    </row>
    <row r="203" spans="6:8" x14ac:dyDescent="0.25">
      <c r="F203" t="s">
        <v>244</v>
      </c>
      <c r="G203" t="s">
        <v>2065</v>
      </c>
      <c r="H203">
        <v>1</v>
      </c>
    </row>
    <row r="204" spans="6:8" x14ac:dyDescent="0.25">
      <c r="F204" t="s">
        <v>833</v>
      </c>
      <c r="G204" t="s">
        <v>2065</v>
      </c>
      <c r="H204">
        <v>1</v>
      </c>
    </row>
    <row r="205" spans="6:8" x14ac:dyDescent="0.25">
      <c r="F205" t="s">
        <v>839</v>
      </c>
      <c r="G205" t="s">
        <v>2065</v>
      </c>
      <c r="H205">
        <v>1</v>
      </c>
    </row>
    <row r="206" spans="6:8" x14ac:dyDescent="0.25">
      <c r="F206" t="s">
        <v>56</v>
      </c>
      <c r="G206" t="s">
        <v>2066</v>
      </c>
      <c r="H206">
        <v>5</v>
      </c>
    </row>
    <row r="207" spans="6:8" x14ac:dyDescent="0.25">
      <c r="F207" t="s">
        <v>855</v>
      </c>
      <c r="G207" t="s">
        <v>2066</v>
      </c>
      <c r="H207">
        <v>2</v>
      </c>
    </row>
    <row r="208" spans="6:8" x14ac:dyDescent="0.25">
      <c r="F208" t="s">
        <v>30</v>
      </c>
      <c r="G208" t="s">
        <v>2066</v>
      </c>
      <c r="H208">
        <v>7</v>
      </c>
    </row>
    <row r="209" spans="6:8" x14ac:dyDescent="0.25">
      <c r="F209" t="s">
        <v>159</v>
      </c>
      <c r="G209" t="s">
        <v>2066</v>
      </c>
      <c r="H209">
        <v>8</v>
      </c>
    </row>
    <row r="210" spans="6:8" x14ac:dyDescent="0.25">
      <c r="F210" t="s">
        <v>204</v>
      </c>
      <c r="G210" t="s">
        <v>2066</v>
      </c>
      <c r="H210">
        <v>3</v>
      </c>
    </row>
    <row r="211" spans="6:8" x14ac:dyDescent="0.25">
      <c r="F211" t="s">
        <v>206</v>
      </c>
      <c r="G211" t="s">
        <v>2066</v>
      </c>
      <c r="H211">
        <v>1</v>
      </c>
    </row>
    <row r="212" spans="6:8" x14ac:dyDescent="0.25">
      <c r="F212" t="s">
        <v>854</v>
      </c>
      <c r="G212" t="s">
        <v>2066</v>
      </c>
      <c r="H212">
        <v>1</v>
      </c>
    </row>
    <row r="213" spans="6:8" x14ac:dyDescent="0.25">
      <c r="F213" t="s">
        <v>837</v>
      </c>
      <c r="G213" t="s">
        <v>2066</v>
      </c>
      <c r="H213">
        <v>1</v>
      </c>
    </row>
    <row r="214" spans="6:8" x14ac:dyDescent="0.25">
      <c r="F214" t="s">
        <v>187</v>
      </c>
      <c r="G214" t="s">
        <v>2066</v>
      </c>
      <c r="H214">
        <v>7</v>
      </c>
    </row>
    <row r="215" spans="6:8" x14ac:dyDescent="0.25">
      <c r="F215" t="s">
        <v>848</v>
      </c>
      <c r="G215" t="s">
        <v>2066</v>
      </c>
      <c r="H215">
        <v>4</v>
      </c>
    </row>
    <row r="216" spans="6:8" x14ac:dyDescent="0.25">
      <c r="F216" t="s">
        <v>32</v>
      </c>
      <c r="G216" t="s">
        <v>2066</v>
      </c>
      <c r="H216">
        <v>5</v>
      </c>
    </row>
    <row r="217" spans="6:8" x14ac:dyDescent="0.25">
      <c r="F217" t="s">
        <v>858</v>
      </c>
      <c r="G217" t="s">
        <v>2066</v>
      </c>
      <c r="H217">
        <v>1</v>
      </c>
    </row>
    <row r="218" spans="6:8" x14ac:dyDescent="0.25">
      <c r="F218" t="s">
        <v>253</v>
      </c>
      <c r="G218" t="s">
        <v>2066</v>
      </c>
      <c r="H218">
        <v>3</v>
      </c>
    </row>
    <row r="219" spans="6:8" x14ac:dyDescent="0.25">
      <c r="F219" t="s">
        <v>860</v>
      </c>
      <c r="G219" t="s">
        <v>2066</v>
      </c>
      <c r="H219">
        <v>1</v>
      </c>
    </row>
    <row r="220" spans="6:8" x14ac:dyDescent="0.25">
      <c r="F220" t="s">
        <v>425</v>
      </c>
      <c r="G220" t="s">
        <v>2066</v>
      </c>
      <c r="H220">
        <v>14</v>
      </c>
    </row>
    <row r="221" spans="6:8" x14ac:dyDescent="0.25">
      <c r="F221" t="s">
        <v>878</v>
      </c>
      <c r="G221" t="s">
        <v>2066</v>
      </c>
      <c r="H221">
        <v>2</v>
      </c>
    </row>
    <row r="222" spans="6:8" x14ac:dyDescent="0.25">
      <c r="F222" t="s">
        <v>877</v>
      </c>
      <c r="G222" t="s">
        <v>2066</v>
      </c>
      <c r="H222">
        <v>4</v>
      </c>
    </row>
    <row r="223" spans="6:8" x14ac:dyDescent="0.25">
      <c r="F223" t="s">
        <v>871</v>
      </c>
      <c r="G223" t="s">
        <v>2066</v>
      </c>
      <c r="H223">
        <v>4</v>
      </c>
    </row>
    <row r="224" spans="6:8" x14ac:dyDescent="0.25">
      <c r="F224" t="s">
        <v>74</v>
      </c>
      <c r="G224" t="s">
        <v>2066</v>
      </c>
      <c r="H224">
        <v>4</v>
      </c>
    </row>
    <row r="225" spans="6:8" x14ac:dyDescent="0.25">
      <c r="F225" t="s">
        <v>2040</v>
      </c>
      <c r="G225" t="s">
        <v>2066</v>
      </c>
      <c r="H225">
        <v>1</v>
      </c>
    </row>
    <row r="226" spans="6:8" x14ac:dyDescent="0.25">
      <c r="F226" t="s">
        <v>68</v>
      </c>
      <c r="G226" t="s">
        <v>2066</v>
      </c>
      <c r="H226">
        <v>5</v>
      </c>
    </row>
    <row r="227" spans="6:8" x14ac:dyDescent="0.25">
      <c r="F227" t="s">
        <v>822</v>
      </c>
      <c r="G227" t="s">
        <v>2066</v>
      </c>
      <c r="H227">
        <v>1</v>
      </c>
    </row>
    <row r="228" spans="6:8" x14ac:dyDescent="0.25">
      <c r="F228" t="s">
        <v>798</v>
      </c>
      <c r="G228" t="s">
        <v>2066</v>
      </c>
      <c r="H228">
        <v>3</v>
      </c>
    </row>
    <row r="229" spans="6:8" x14ac:dyDescent="0.25">
      <c r="F229" t="s">
        <v>161</v>
      </c>
      <c r="G229" t="s">
        <v>2066</v>
      </c>
      <c r="H229">
        <v>3</v>
      </c>
    </row>
    <row r="230" spans="6:8" x14ac:dyDescent="0.25">
      <c r="F230" t="s">
        <v>237</v>
      </c>
      <c r="G230" t="s">
        <v>2066</v>
      </c>
      <c r="H230">
        <v>5</v>
      </c>
    </row>
    <row r="231" spans="6:8" x14ac:dyDescent="0.25">
      <c r="F231" t="s">
        <v>591</v>
      </c>
      <c r="G231" t="s">
        <v>2066</v>
      </c>
      <c r="H231">
        <v>1</v>
      </c>
    </row>
    <row r="232" spans="6:8" x14ac:dyDescent="0.25">
      <c r="F232" t="s">
        <v>2062</v>
      </c>
      <c r="G232" t="s">
        <v>2066</v>
      </c>
      <c r="H232">
        <v>3</v>
      </c>
    </row>
    <row r="233" spans="6:8" x14ac:dyDescent="0.25">
      <c r="F233" t="s">
        <v>43</v>
      </c>
      <c r="G233" t="s">
        <v>2066</v>
      </c>
      <c r="H233">
        <v>6</v>
      </c>
    </row>
    <row r="234" spans="6:8" x14ac:dyDescent="0.25">
      <c r="F234" t="s">
        <v>46</v>
      </c>
      <c r="G234" t="s">
        <v>2066</v>
      </c>
      <c r="H234">
        <v>13</v>
      </c>
    </row>
    <row r="235" spans="6:8" x14ac:dyDescent="0.25">
      <c r="F235" t="s">
        <v>864</v>
      </c>
      <c r="G235" t="s">
        <v>2066</v>
      </c>
      <c r="H235">
        <v>1</v>
      </c>
    </row>
    <row r="236" spans="6:8" x14ac:dyDescent="0.25">
      <c r="F236" t="s">
        <v>16</v>
      </c>
      <c r="G236" t="s">
        <v>2066</v>
      </c>
      <c r="H236">
        <v>1</v>
      </c>
    </row>
    <row r="237" spans="6:8" x14ac:dyDescent="0.25">
      <c r="F237" t="s">
        <v>903</v>
      </c>
      <c r="G237" t="s">
        <v>2066</v>
      </c>
      <c r="H237">
        <v>1</v>
      </c>
    </row>
    <row r="238" spans="6:8" x14ac:dyDescent="0.25">
      <c r="F238" t="s">
        <v>906</v>
      </c>
      <c r="G238" t="s">
        <v>2066</v>
      </c>
      <c r="H238">
        <v>9</v>
      </c>
    </row>
    <row r="239" spans="6:8" x14ac:dyDescent="0.25">
      <c r="F239" t="s">
        <v>897</v>
      </c>
      <c r="G239" t="s">
        <v>2066</v>
      </c>
      <c r="H239">
        <v>2</v>
      </c>
    </row>
    <row r="240" spans="6:8" x14ac:dyDescent="0.25">
      <c r="F240" t="s">
        <v>895</v>
      </c>
      <c r="G240" t="s">
        <v>2066</v>
      </c>
      <c r="H240">
        <v>2</v>
      </c>
    </row>
    <row r="241" spans="6:8" x14ac:dyDescent="0.25">
      <c r="F241" t="s">
        <v>733</v>
      </c>
      <c r="G241" t="s">
        <v>2066</v>
      </c>
      <c r="H241">
        <v>1</v>
      </c>
    </row>
    <row r="242" spans="6:8" x14ac:dyDescent="0.25">
      <c r="F242" t="s">
        <v>661</v>
      </c>
      <c r="G242" t="s">
        <v>2066</v>
      </c>
      <c r="H242">
        <v>2</v>
      </c>
    </row>
    <row r="243" spans="6:8" x14ac:dyDescent="0.25">
      <c r="F243" t="s">
        <v>41</v>
      </c>
      <c r="G243" t="s">
        <v>2066</v>
      </c>
      <c r="H243">
        <v>20</v>
      </c>
    </row>
    <row r="244" spans="6:8" x14ac:dyDescent="0.25">
      <c r="F244" t="s">
        <v>806</v>
      </c>
      <c r="G244" t="s">
        <v>2066</v>
      </c>
      <c r="H244">
        <v>7</v>
      </c>
    </row>
    <row r="245" spans="6:8" x14ac:dyDescent="0.25">
      <c r="F245" t="s">
        <v>144</v>
      </c>
      <c r="G245" t="s">
        <v>2066</v>
      </c>
      <c r="H245">
        <v>5</v>
      </c>
    </row>
    <row r="246" spans="6:8" x14ac:dyDescent="0.25">
      <c r="F246" t="s">
        <v>889</v>
      </c>
      <c r="G246" t="s">
        <v>2066</v>
      </c>
      <c r="H246">
        <v>1</v>
      </c>
    </row>
    <row r="247" spans="6:8" x14ac:dyDescent="0.25">
      <c r="F247" t="s">
        <v>60</v>
      </c>
      <c r="G247" t="s">
        <v>2066</v>
      </c>
      <c r="H247">
        <v>1</v>
      </c>
    </row>
    <row r="248" spans="6:8" x14ac:dyDescent="0.25">
      <c r="F248" t="s">
        <v>287</v>
      </c>
      <c r="G248" t="s">
        <v>2066</v>
      </c>
      <c r="H248">
        <v>1</v>
      </c>
    </row>
    <row r="249" spans="6:8" x14ac:dyDescent="0.25">
      <c r="F249" t="s">
        <v>429</v>
      </c>
      <c r="G249" t="s">
        <v>2066</v>
      </c>
      <c r="H249">
        <v>5</v>
      </c>
    </row>
    <row r="250" spans="6:8" x14ac:dyDescent="0.25">
      <c r="F250" t="s">
        <v>902</v>
      </c>
      <c r="G250" t="s">
        <v>2066</v>
      </c>
      <c r="H250">
        <v>1</v>
      </c>
    </row>
    <row r="251" spans="6:8" x14ac:dyDescent="0.25">
      <c r="F251" t="s">
        <v>514</v>
      </c>
      <c r="G251" t="s">
        <v>2066</v>
      </c>
      <c r="H251">
        <v>2</v>
      </c>
    </row>
    <row r="252" spans="6:8" x14ac:dyDescent="0.25">
      <c r="F252" t="s">
        <v>58</v>
      </c>
      <c r="G252" t="s">
        <v>2066</v>
      </c>
      <c r="H252">
        <v>3</v>
      </c>
    </row>
    <row r="253" spans="6:8" x14ac:dyDescent="0.25">
      <c r="F253" t="s">
        <v>84</v>
      </c>
      <c r="G253" t="s">
        <v>2066</v>
      </c>
      <c r="H253">
        <v>9</v>
      </c>
    </row>
    <row r="254" spans="6:8" x14ac:dyDescent="0.25">
      <c r="F254" t="s">
        <v>922</v>
      </c>
      <c r="G254" t="s">
        <v>2066</v>
      </c>
      <c r="H254">
        <v>1</v>
      </c>
    </row>
    <row r="255" spans="6:8" x14ac:dyDescent="0.25">
      <c r="F255" t="s">
        <v>167</v>
      </c>
      <c r="G255" t="s">
        <v>2066</v>
      </c>
      <c r="H255">
        <v>4</v>
      </c>
    </row>
    <row r="256" spans="6:8" x14ac:dyDescent="0.25">
      <c r="F256" t="s">
        <v>228</v>
      </c>
      <c r="G256" t="s">
        <v>2066</v>
      </c>
      <c r="H256">
        <v>2</v>
      </c>
    </row>
    <row r="257" spans="6:8" x14ac:dyDescent="0.25">
      <c r="F257" t="s">
        <v>336</v>
      </c>
      <c r="G257" t="s">
        <v>2066</v>
      </c>
      <c r="H257">
        <v>2</v>
      </c>
    </row>
    <row r="258" spans="6:8" x14ac:dyDescent="0.25">
      <c r="F258" t="s">
        <v>225</v>
      </c>
      <c r="G258" t="s">
        <v>2066</v>
      </c>
      <c r="H258">
        <v>1</v>
      </c>
    </row>
    <row r="259" spans="6:8" x14ac:dyDescent="0.25">
      <c r="F259" t="s">
        <v>915</v>
      </c>
      <c r="G259" t="s">
        <v>2066</v>
      </c>
      <c r="H259">
        <v>1</v>
      </c>
    </row>
    <row r="260" spans="6:8" x14ac:dyDescent="0.25">
      <c r="F260" t="s">
        <v>548</v>
      </c>
      <c r="G260" t="s">
        <v>2066</v>
      </c>
      <c r="H260">
        <v>1</v>
      </c>
    </row>
    <row r="261" spans="6:8" x14ac:dyDescent="0.25">
      <c r="F261" t="s">
        <v>339</v>
      </c>
      <c r="G261" t="s">
        <v>2066</v>
      </c>
      <c r="H261">
        <v>3</v>
      </c>
    </row>
    <row r="262" spans="6:8" x14ac:dyDescent="0.25">
      <c r="F262" t="s">
        <v>28</v>
      </c>
      <c r="G262" t="s">
        <v>2066</v>
      </c>
      <c r="H262">
        <v>2</v>
      </c>
    </row>
    <row r="263" spans="6:8" x14ac:dyDescent="0.25">
      <c r="F263" t="s">
        <v>123</v>
      </c>
      <c r="G263" t="s">
        <v>2066</v>
      </c>
      <c r="H263">
        <v>7</v>
      </c>
    </row>
    <row r="264" spans="6:8" x14ac:dyDescent="0.25">
      <c r="F264" t="s">
        <v>923</v>
      </c>
      <c r="G264" t="s">
        <v>2066</v>
      </c>
      <c r="H264">
        <v>13</v>
      </c>
    </row>
    <row r="265" spans="6:8" x14ac:dyDescent="0.25">
      <c r="F265" t="s">
        <v>640</v>
      </c>
      <c r="G265" t="s">
        <v>2066</v>
      </c>
      <c r="H265">
        <v>1</v>
      </c>
    </row>
    <row r="266" spans="6:8" x14ac:dyDescent="0.25">
      <c r="F266" t="s">
        <v>941</v>
      </c>
      <c r="G266" t="s">
        <v>2066</v>
      </c>
      <c r="H266">
        <v>1</v>
      </c>
    </row>
    <row r="267" spans="6:8" x14ac:dyDescent="0.25">
      <c r="F267" t="s">
        <v>937</v>
      </c>
      <c r="G267" t="s">
        <v>2066</v>
      </c>
      <c r="H267">
        <v>1</v>
      </c>
    </row>
    <row r="268" spans="6:8" x14ac:dyDescent="0.25">
      <c r="F268" t="s">
        <v>480</v>
      </c>
      <c r="G268" t="s">
        <v>2066</v>
      </c>
      <c r="H268">
        <v>3</v>
      </c>
    </row>
    <row r="269" spans="6:8" x14ac:dyDescent="0.25">
      <c r="F269" t="s">
        <v>934</v>
      </c>
      <c r="G269" t="s">
        <v>2066</v>
      </c>
      <c r="H269">
        <v>1</v>
      </c>
    </row>
    <row r="270" spans="6:8" x14ac:dyDescent="0.25">
      <c r="F270" t="s">
        <v>739</v>
      </c>
      <c r="G270" t="s">
        <v>2066</v>
      </c>
      <c r="H270">
        <v>2</v>
      </c>
    </row>
    <row r="271" spans="6:8" x14ac:dyDescent="0.25">
      <c r="F271" t="s">
        <v>611</v>
      </c>
      <c r="G271" t="s">
        <v>2066</v>
      </c>
      <c r="H271">
        <v>3</v>
      </c>
    </row>
    <row r="272" spans="6:8" x14ac:dyDescent="0.25">
      <c r="F272" t="s">
        <v>0</v>
      </c>
      <c r="G272" t="s">
        <v>2066</v>
      </c>
      <c r="H272">
        <v>4</v>
      </c>
    </row>
    <row r="273" spans="6:8" x14ac:dyDescent="0.25">
      <c r="F273" t="s">
        <v>938</v>
      </c>
      <c r="G273" t="s">
        <v>2066</v>
      </c>
      <c r="H273">
        <v>1</v>
      </c>
    </row>
    <row r="274" spans="6:8" x14ac:dyDescent="0.25">
      <c r="F274" t="s">
        <v>960</v>
      </c>
      <c r="G274" t="s">
        <v>2066</v>
      </c>
      <c r="H274">
        <v>1</v>
      </c>
    </row>
    <row r="275" spans="6:8" x14ac:dyDescent="0.25">
      <c r="F275" t="s">
        <v>555</v>
      </c>
      <c r="G275" t="s">
        <v>2066</v>
      </c>
      <c r="H275">
        <v>1</v>
      </c>
    </row>
    <row r="276" spans="6:8" x14ac:dyDescent="0.25">
      <c r="F276" t="s">
        <v>103</v>
      </c>
      <c r="G276" t="s">
        <v>2066</v>
      </c>
      <c r="H276">
        <v>1</v>
      </c>
    </row>
    <row r="277" spans="6:8" x14ac:dyDescent="0.25">
      <c r="F277" t="s">
        <v>698</v>
      </c>
      <c r="G277" t="s">
        <v>2066</v>
      </c>
      <c r="H277">
        <v>2</v>
      </c>
    </row>
    <row r="278" spans="6:8" x14ac:dyDescent="0.25">
      <c r="F278" t="s">
        <v>153</v>
      </c>
      <c r="G278" t="s">
        <v>2066</v>
      </c>
      <c r="H278">
        <v>2</v>
      </c>
    </row>
    <row r="279" spans="6:8" x14ac:dyDescent="0.25">
      <c r="F279" t="s">
        <v>9</v>
      </c>
      <c r="G279" t="s">
        <v>2066</v>
      </c>
      <c r="H279">
        <v>2</v>
      </c>
    </row>
    <row r="280" spans="6:8" x14ac:dyDescent="0.25">
      <c r="F280" t="s">
        <v>580</v>
      </c>
      <c r="G280" t="s">
        <v>2066</v>
      </c>
      <c r="H280">
        <v>3</v>
      </c>
    </row>
    <row r="281" spans="6:8" x14ac:dyDescent="0.25">
      <c r="F281" t="s">
        <v>635</v>
      </c>
      <c r="G281" t="s">
        <v>2066</v>
      </c>
      <c r="H281">
        <v>3</v>
      </c>
    </row>
    <row r="282" spans="6:8" x14ac:dyDescent="0.25">
      <c r="F282" t="s">
        <v>319</v>
      </c>
      <c r="G282" t="s">
        <v>2066</v>
      </c>
      <c r="H282">
        <v>1</v>
      </c>
    </row>
    <row r="283" spans="6:8" x14ac:dyDescent="0.25">
      <c r="F283" t="s">
        <v>952</v>
      </c>
      <c r="G283" t="s">
        <v>2066</v>
      </c>
      <c r="H283">
        <v>1</v>
      </c>
    </row>
    <row r="284" spans="6:8" x14ac:dyDescent="0.25">
      <c r="F284" t="s">
        <v>957</v>
      </c>
      <c r="G284" t="s">
        <v>2066</v>
      </c>
      <c r="H284">
        <v>2</v>
      </c>
    </row>
    <row r="285" spans="6:8" x14ac:dyDescent="0.25">
      <c r="F285" t="s">
        <v>163</v>
      </c>
      <c r="G285" t="s">
        <v>2066</v>
      </c>
      <c r="H285">
        <v>2</v>
      </c>
    </row>
    <row r="286" spans="6:8" x14ac:dyDescent="0.25">
      <c r="F286" t="s">
        <v>70</v>
      </c>
      <c r="G286" t="s">
        <v>2066</v>
      </c>
      <c r="H286">
        <v>1</v>
      </c>
    </row>
    <row r="287" spans="6:8" x14ac:dyDescent="0.25">
      <c r="F287" t="s">
        <v>301</v>
      </c>
      <c r="G287" t="s">
        <v>2066</v>
      </c>
      <c r="H287">
        <v>3</v>
      </c>
    </row>
    <row r="288" spans="6:8" x14ac:dyDescent="0.25">
      <c r="F288" t="s">
        <v>965</v>
      </c>
      <c r="G288" t="s">
        <v>2066</v>
      </c>
      <c r="H288">
        <v>2</v>
      </c>
    </row>
    <row r="289" spans="6:8" x14ac:dyDescent="0.25">
      <c r="F289" t="s">
        <v>969</v>
      </c>
      <c r="G289" t="s">
        <v>2066</v>
      </c>
      <c r="H289">
        <v>1</v>
      </c>
    </row>
    <row r="290" spans="6:8" x14ac:dyDescent="0.25">
      <c r="F290" t="s">
        <v>963</v>
      </c>
      <c r="G290" t="s">
        <v>2066</v>
      </c>
      <c r="H290">
        <v>1</v>
      </c>
    </row>
    <row r="291" spans="6:8" x14ac:dyDescent="0.25">
      <c r="F291" t="s">
        <v>973</v>
      </c>
      <c r="G291" t="s">
        <v>2066</v>
      </c>
      <c r="H291">
        <v>2</v>
      </c>
    </row>
    <row r="292" spans="6:8" x14ac:dyDescent="0.25">
      <c r="F292" t="s">
        <v>656</v>
      </c>
      <c r="G292" t="s">
        <v>2066</v>
      </c>
      <c r="H292">
        <v>1</v>
      </c>
    </row>
    <row r="293" spans="6:8" x14ac:dyDescent="0.25">
      <c r="F293" t="s">
        <v>572</v>
      </c>
      <c r="G293" t="s">
        <v>2066</v>
      </c>
      <c r="H293">
        <v>2</v>
      </c>
    </row>
    <row r="294" spans="6:8" x14ac:dyDescent="0.25">
      <c r="F294" t="s">
        <v>356</v>
      </c>
      <c r="G294" t="s">
        <v>2066</v>
      </c>
      <c r="H294">
        <v>3</v>
      </c>
    </row>
    <row r="295" spans="6:8" x14ac:dyDescent="0.25">
      <c r="F295" t="s">
        <v>26</v>
      </c>
      <c r="G295" t="s">
        <v>2066</v>
      </c>
      <c r="H295">
        <v>1</v>
      </c>
    </row>
    <row r="296" spans="6:8" x14ac:dyDescent="0.25">
      <c r="F296" t="s">
        <v>653</v>
      </c>
      <c r="G296" t="s">
        <v>2066</v>
      </c>
      <c r="H296">
        <v>1</v>
      </c>
    </row>
    <row r="297" spans="6:8" x14ac:dyDescent="0.25">
      <c r="F297" t="s">
        <v>975</v>
      </c>
      <c r="G297" t="s">
        <v>2066</v>
      </c>
      <c r="H297">
        <v>1</v>
      </c>
    </row>
    <row r="298" spans="6:8" x14ac:dyDescent="0.25">
      <c r="F298" t="s">
        <v>130</v>
      </c>
      <c r="G298" t="s">
        <v>2066</v>
      </c>
      <c r="H298">
        <v>3</v>
      </c>
    </row>
    <row r="299" spans="6:8" x14ac:dyDescent="0.25">
      <c r="F299" t="s">
        <v>782</v>
      </c>
      <c r="G299" t="s">
        <v>2066</v>
      </c>
      <c r="H299">
        <v>2</v>
      </c>
    </row>
    <row r="300" spans="6:8" x14ac:dyDescent="0.25">
      <c r="F300" t="s">
        <v>989</v>
      </c>
      <c r="G300" t="s">
        <v>2066</v>
      </c>
      <c r="H300">
        <v>1</v>
      </c>
    </row>
    <row r="301" spans="6:8" x14ac:dyDescent="0.25">
      <c r="F301" t="s">
        <v>991</v>
      </c>
      <c r="G301" t="s">
        <v>2066</v>
      </c>
      <c r="H301">
        <v>1</v>
      </c>
    </row>
    <row r="302" spans="6:8" x14ac:dyDescent="0.25">
      <c r="F302" t="s">
        <v>345</v>
      </c>
      <c r="G302" t="s">
        <v>2066</v>
      </c>
      <c r="H302">
        <v>1</v>
      </c>
    </row>
    <row r="303" spans="6:8" x14ac:dyDescent="0.25">
      <c r="F303" t="s">
        <v>996</v>
      </c>
      <c r="G303" t="s">
        <v>2066</v>
      </c>
      <c r="H303">
        <v>1</v>
      </c>
    </row>
    <row r="304" spans="6:8" x14ac:dyDescent="0.25">
      <c r="F304" t="s">
        <v>218</v>
      </c>
      <c r="G304" t="s">
        <v>2066</v>
      </c>
      <c r="H304">
        <v>2</v>
      </c>
    </row>
    <row r="305" spans="6:8" x14ac:dyDescent="0.25">
      <c r="F305" t="s">
        <v>979</v>
      </c>
      <c r="G305" t="s">
        <v>2066</v>
      </c>
      <c r="H305">
        <v>1</v>
      </c>
    </row>
    <row r="306" spans="6:8" x14ac:dyDescent="0.25">
      <c r="F306" t="s">
        <v>72</v>
      </c>
      <c r="G306" t="s">
        <v>2066</v>
      </c>
      <c r="H306">
        <v>2</v>
      </c>
    </row>
    <row r="307" spans="6:8" x14ac:dyDescent="0.25">
      <c r="F307" t="s">
        <v>2041</v>
      </c>
      <c r="G307" t="s">
        <v>2066</v>
      </c>
      <c r="H307">
        <v>1</v>
      </c>
    </row>
    <row r="308" spans="6:8" x14ac:dyDescent="0.25">
      <c r="F308" t="s">
        <v>1011</v>
      </c>
      <c r="G308" t="s">
        <v>2066</v>
      </c>
      <c r="H308">
        <v>1</v>
      </c>
    </row>
    <row r="309" spans="6:8" x14ac:dyDescent="0.25">
      <c r="F309" t="s">
        <v>1009</v>
      </c>
      <c r="G309" t="s">
        <v>2066</v>
      </c>
      <c r="H309">
        <v>1</v>
      </c>
    </row>
    <row r="310" spans="6:8" x14ac:dyDescent="0.25">
      <c r="F310" t="s">
        <v>458</v>
      </c>
      <c r="G310" t="s">
        <v>2066</v>
      </c>
      <c r="H310">
        <v>5</v>
      </c>
    </row>
    <row r="311" spans="6:8" x14ac:dyDescent="0.25">
      <c r="F311" t="s">
        <v>1007</v>
      </c>
      <c r="G311" t="s">
        <v>2066</v>
      </c>
      <c r="H311">
        <v>2</v>
      </c>
    </row>
    <row r="312" spans="6:8" x14ac:dyDescent="0.25">
      <c r="F312" t="s">
        <v>1006</v>
      </c>
      <c r="G312" t="s">
        <v>2066</v>
      </c>
      <c r="H312">
        <v>1</v>
      </c>
    </row>
    <row r="313" spans="6:8" x14ac:dyDescent="0.25">
      <c r="F313" t="s">
        <v>170</v>
      </c>
      <c r="G313" t="s">
        <v>2066</v>
      </c>
      <c r="H313">
        <v>1</v>
      </c>
    </row>
    <row r="314" spans="6:8" x14ac:dyDescent="0.25">
      <c r="F314" t="s">
        <v>712</v>
      </c>
      <c r="G314" t="s">
        <v>2066</v>
      </c>
      <c r="H314">
        <v>3</v>
      </c>
    </row>
    <row r="315" spans="6:8" x14ac:dyDescent="0.25">
      <c r="F315" t="s">
        <v>674</v>
      </c>
      <c r="G315" t="s">
        <v>2066</v>
      </c>
      <c r="H315">
        <v>2</v>
      </c>
    </row>
    <row r="316" spans="6:8" x14ac:dyDescent="0.25">
      <c r="F316" t="s">
        <v>280</v>
      </c>
      <c r="G316" t="s">
        <v>2066</v>
      </c>
      <c r="H316">
        <v>2</v>
      </c>
    </row>
    <row r="317" spans="6:8" x14ac:dyDescent="0.25">
      <c r="F317" t="s">
        <v>1017</v>
      </c>
      <c r="G317" t="s">
        <v>2066</v>
      </c>
      <c r="H317">
        <v>2</v>
      </c>
    </row>
    <row r="318" spans="6:8" x14ac:dyDescent="0.25">
      <c r="F318" t="s">
        <v>88</v>
      </c>
      <c r="G318" t="s">
        <v>2066</v>
      </c>
      <c r="H318">
        <v>1</v>
      </c>
    </row>
    <row r="319" spans="6:8" x14ac:dyDescent="0.25">
      <c r="F319" t="s">
        <v>1020</v>
      </c>
      <c r="G319" t="s">
        <v>2066</v>
      </c>
      <c r="H319">
        <v>3</v>
      </c>
    </row>
    <row r="320" spans="6:8" x14ac:dyDescent="0.25">
      <c r="F320" t="s">
        <v>4</v>
      </c>
      <c r="G320" t="s">
        <v>2066</v>
      </c>
      <c r="H320">
        <v>3</v>
      </c>
    </row>
    <row r="321" spans="6:8" x14ac:dyDescent="0.25">
      <c r="F321" t="s">
        <v>503</v>
      </c>
      <c r="G321" t="s">
        <v>2066</v>
      </c>
      <c r="H321">
        <v>2</v>
      </c>
    </row>
    <row r="322" spans="6:8" x14ac:dyDescent="0.25">
      <c r="F322" t="s">
        <v>1000</v>
      </c>
      <c r="G322" t="s">
        <v>2066</v>
      </c>
      <c r="H322">
        <v>1</v>
      </c>
    </row>
    <row r="323" spans="6:8" x14ac:dyDescent="0.25">
      <c r="F323" t="s">
        <v>115</v>
      </c>
      <c r="G323" t="s">
        <v>2066</v>
      </c>
      <c r="H323">
        <v>1</v>
      </c>
    </row>
    <row r="324" spans="6:8" x14ac:dyDescent="0.25">
      <c r="F324" t="s">
        <v>1027</v>
      </c>
      <c r="G324" t="s">
        <v>2066</v>
      </c>
      <c r="H324">
        <v>1</v>
      </c>
    </row>
    <row r="325" spans="6:8" x14ac:dyDescent="0.25">
      <c r="F325" t="s">
        <v>1030</v>
      </c>
      <c r="G325" t="s">
        <v>2066</v>
      </c>
      <c r="H325">
        <v>1</v>
      </c>
    </row>
    <row r="326" spans="6:8" x14ac:dyDescent="0.25">
      <c r="F326" t="s">
        <v>560</v>
      </c>
      <c r="G326" t="s">
        <v>2066</v>
      </c>
      <c r="H326">
        <v>4</v>
      </c>
    </row>
    <row r="327" spans="6:8" x14ac:dyDescent="0.25">
      <c r="F327" t="s">
        <v>276</v>
      </c>
      <c r="G327" t="s">
        <v>2066</v>
      </c>
      <c r="H327">
        <v>1</v>
      </c>
    </row>
    <row r="328" spans="6:8" x14ac:dyDescent="0.25">
      <c r="F328" t="s">
        <v>65</v>
      </c>
      <c r="G328" t="s">
        <v>2066</v>
      </c>
      <c r="H328">
        <v>3</v>
      </c>
    </row>
    <row r="329" spans="6:8" x14ac:dyDescent="0.25">
      <c r="F329" t="s">
        <v>550</v>
      </c>
      <c r="G329" t="s">
        <v>2066</v>
      </c>
      <c r="H329">
        <v>2</v>
      </c>
    </row>
    <row r="330" spans="6:8" x14ac:dyDescent="0.25">
      <c r="F330" t="s">
        <v>1040</v>
      </c>
      <c r="G330" t="s">
        <v>2066</v>
      </c>
      <c r="H330">
        <v>1</v>
      </c>
    </row>
    <row r="331" spans="6:8" x14ac:dyDescent="0.25">
      <c r="F331" t="s">
        <v>354</v>
      </c>
      <c r="G331" t="s">
        <v>2066</v>
      </c>
      <c r="H331">
        <v>2</v>
      </c>
    </row>
    <row r="332" spans="6:8" x14ac:dyDescent="0.25">
      <c r="F332" t="s">
        <v>113</v>
      </c>
      <c r="G332" t="s">
        <v>2066</v>
      </c>
      <c r="H332">
        <v>4</v>
      </c>
    </row>
    <row r="333" spans="6:8" x14ac:dyDescent="0.25">
      <c r="F333" t="s">
        <v>456</v>
      </c>
      <c r="G333" t="s">
        <v>2066</v>
      </c>
      <c r="H333">
        <v>2</v>
      </c>
    </row>
    <row r="334" spans="6:8" x14ac:dyDescent="0.25">
      <c r="F334" t="s">
        <v>152</v>
      </c>
      <c r="G334" t="s">
        <v>2066</v>
      </c>
      <c r="H334">
        <v>2</v>
      </c>
    </row>
    <row r="335" spans="6:8" x14ac:dyDescent="0.25">
      <c r="F335" t="s">
        <v>1051</v>
      </c>
      <c r="G335" t="s">
        <v>2066</v>
      </c>
      <c r="H335">
        <v>1</v>
      </c>
    </row>
    <row r="336" spans="6:8" x14ac:dyDescent="0.25">
      <c r="F336" t="s">
        <v>297</v>
      </c>
      <c r="G336" t="s">
        <v>2066</v>
      </c>
      <c r="H336">
        <v>7</v>
      </c>
    </row>
    <row r="337" spans="6:8" x14ac:dyDescent="0.25">
      <c r="F337" t="s">
        <v>248</v>
      </c>
      <c r="G337" t="s">
        <v>2066</v>
      </c>
      <c r="H337">
        <v>2</v>
      </c>
    </row>
    <row r="338" spans="6:8" x14ac:dyDescent="0.25">
      <c r="F338" t="s">
        <v>138</v>
      </c>
      <c r="G338" t="s">
        <v>2066</v>
      </c>
      <c r="H338">
        <v>5</v>
      </c>
    </row>
    <row r="339" spans="6:8" x14ac:dyDescent="0.25">
      <c r="F339" t="s">
        <v>1044</v>
      </c>
      <c r="G339" t="s">
        <v>2066</v>
      </c>
      <c r="H339">
        <v>1</v>
      </c>
    </row>
    <row r="340" spans="6:8" x14ac:dyDescent="0.25">
      <c r="F340" t="s">
        <v>531</v>
      </c>
      <c r="G340" t="s">
        <v>2066</v>
      </c>
      <c r="H340">
        <v>1</v>
      </c>
    </row>
    <row r="341" spans="6:8" x14ac:dyDescent="0.25">
      <c r="F341" t="s">
        <v>117</v>
      </c>
      <c r="G341" t="s">
        <v>2066</v>
      </c>
      <c r="H341">
        <v>2</v>
      </c>
    </row>
    <row r="342" spans="6:8" x14ac:dyDescent="0.25">
      <c r="F342" t="s">
        <v>665</v>
      </c>
      <c r="G342" t="s">
        <v>2066</v>
      </c>
      <c r="H342">
        <v>1</v>
      </c>
    </row>
    <row r="343" spans="6:8" x14ac:dyDescent="0.25">
      <c r="F343" t="s">
        <v>440</v>
      </c>
      <c r="G343" t="s">
        <v>2066</v>
      </c>
      <c r="H343">
        <v>1</v>
      </c>
    </row>
    <row r="344" spans="6:8" x14ac:dyDescent="0.25">
      <c r="F344" t="s">
        <v>1057</v>
      </c>
      <c r="G344" t="s">
        <v>2066</v>
      </c>
      <c r="H344">
        <v>1</v>
      </c>
    </row>
    <row r="345" spans="6:8" x14ac:dyDescent="0.25">
      <c r="F345" t="s">
        <v>593</v>
      </c>
      <c r="G345" t="s">
        <v>2066</v>
      </c>
      <c r="H345">
        <v>1</v>
      </c>
    </row>
    <row r="346" spans="6:8" x14ac:dyDescent="0.25">
      <c r="F346" t="s">
        <v>648</v>
      </c>
      <c r="G346" t="s">
        <v>2066</v>
      </c>
      <c r="H346">
        <v>1</v>
      </c>
    </row>
    <row r="347" spans="6:8" x14ac:dyDescent="0.25">
      <c r="F347" t="s">
        <v>1071</v>
      </c>
      <c r="G347" t="s">
        <v>2066</v>
      </c>
      <c r="H347">
        <v>1</v>
      </c>
    </row>
    <row r="348" spans="6:8" x14ac:dyDescent="0.25">
      <c r="F348" t="s">
        <v>6</v>
      </c>
      <c r="G348" t="s">
        <v>2066</v>
      </c>
      <c r="H348">
        <v>2</v>
      </c>
    </row>
    <row r="349" spans="6:8" x14ac:dyDescent="0.25">
      <c r="F349" t="s">
        <v>2039</v>
      </c>
      <c r="G349" t="s">
        <v>2066</v>
      </c>
      <c r="H349">
        <v>4</v>
      </c>
    </row>
    <row r="350" spans="6:8" x14ac:dyDescent="0.25">
      <c r="F350" t="s">
        <v>1074</v>
      </c>
      <c r="G350" t="s">
        <v>2066</v>
      </c>
      <c r="H350">
        <v>3</v>
      </c>
    </row>
    <row r="351" spans="6:8" x14ac:dyDescent="0.25">
      <c r="F351" t="s">
        <v>37</v>
      </c>
      <c r="G351" t="s">
        <v>2066</v>
      </c>
      <c r="H351">
        <v>1</v>
      </c>
    </row>
    <row r="352" spans="6:8" x14ac:dyDescent="0.25">
      <c r="F352" t="s">
        <v>174</v>
      </c>
      <c r="G352" t="s">
        <v>2066</v>
      </c>
      <c r="H352">
        <v>1</v>
      </c>
    </row>
    <row r="353" spans="6:8" x14ac:dyDescent="0.25">
      <c r="F353" t="s">
        <v>1082</v>
      </c>
      <c r="G353" t="s">
        <v>2066</v>
      </c>
      <c r="H353">
        <v>1</v>
      </c>
    </row>
    <row r="354" spans="6:8" x14ac:dyDescent="0.25">
      <c r="F354" t="s">
        <v>1087</v>
      </c>
      <c r="G354" t="s">
        <v>2066</v>
      </c>
      <c r="H354">
        <v>1</v>
      </c>
    </row>
    <row r="355" spans="6:8" x14ac:dyDescent="0.25">
      <c r="F355" t="s">
        <v>1089</v>
      </c>
      <c r="G355" t="s">
        <v>2066</v>
      </c>
      <c r="H355">
        <v>1</v>
      </c>
    </row>
    <row r="356" spans="6:8" x14ac:dyDescent="0.25">
      <c r="F356" t="s">
        <v>107</v>
      </c>
      <c r="G356" t="s">
        <v>2066</v>
      </c>
      <c r="H356">
        <v>3</v>
      </c>
    </row>
    <row r="357" spans="6:8" x14ac:dyDescent="0.25">
      <c r="F357" t="s">
        <v>825</v>
      </c>
      <c r="G357" t="s">
        <v>2066</v>
      </c>
      <c r="H357">
        <v>1</v>
      </c>
    </row>
    <row r="358" spans="6:8" x14ac:dyDescent="0.25">
      <c r="F358" t="s">
        <v>490</v>
      </c>
      <c r="G358" t="s">
        <v>2066</v>
      </c>
      <c r="H358">
        <v>1</v>
      </c>
    </row>
    <row r="359" spans="6:8" x14ac:dyDescent="0.25">
      <c r="F359" t="s">
        <v>148</v>
      </c>
      <c r="G359" t="s">
        <v>2066</v>
      </c>
      <c r="H359">
        <v>1</v>
      </c>
    </row>
    <row r="360" spans="6:8" x14ac:dyDescent="0.25">
      <c r="F360" t="s">
        <v>2051</v>
      </c>
      <c r="G360" t="s">
        <v>2066</v>
      </c>
      <c r="H360">
        <v>2</v>
      </c>
    </row>
    <row r="361" spans="6:8" x14ac:dyDescent="0.25">
      <c r="F361" t="s">
        <v>1090</v>
      </c>
      <c r="G361" t="s">
        <v>2066</v>
      </c>
      <c r="H361">
        <v>1</v>
      </c>
    </row>
    <row r="362" spans="6:8" x14ac:dyDescent="0.25">
      <c r="F362" t="s">
        <v>1100</v>
      </c>
      <c r="G362" t="s">
        <v>2066</v>
      </c>
      <c r="H362">
        <v>1</v>
      </c>
    </row>
    <row r="363" spans="6:8" x14ac:dyDescent="0.25">
      <c r="F363" t="s">
        <v>465</v>
      </c>
      <c r="G363" t="s">
        <v>2066</v>
      </c>
      <c r="H363">
        <v>1</v>
      </c>
    </row>
    <row r="364" spans="6:8" x14ac:dyDescent="0.25">
      <c r="F364" t="s">
        <v>1101</v>
      </c>
      <c r="G364" t="s">
        <v>2066</v>
      </c>
      <c r="H364">
        <v>1</v>
      </c>
    </row>
    <row r="365" spans="6:8" x14ac:dyDescent="0.25">
      <c r="F365" t="s">
        <v>543</v>
      </c>
      <c r="G365" t="s">
        <v>2066</v>
      </c>
      <c r="H365">
        <v>2</v>
      </c>
    </row>
    <row r="366" spans="6:8" x14ac:dyDescent="0.25">
      <c r="F366" t="s">
        <v>1102</v>
      </c>
      <c r="G366" t="s">
        <v>2066</v>
      </c>
      <c r="H366">
        <v>2</v>
      </c>
    </row>
    <row r="367" spans="6:8" x14ac:dyDescent="0.25">
      <c r="F367" t="s">
        <v>63</v>
      </c>
      <c r="G367" t="s">
        <v>2066</v>
      </c>
      <c r="H367">
        <v>1</v>
      </c>
    </row>
    <row r="368" spans="6:8" x14ac:dyDescent="0.25">
      <c r="F368" t="s">
        <v>306</v>
      </c>
      <c r="G368" t="s">
        <v>2066</v>
      </c>
      <c r="H368">
        <v>1</v>
      </c>
    </row>
    <row r="369" spans="6:8" x14ac:dyDescent="0.25">
      <c r="F369" t="s">
        <v>208</v>
      </c>
      <c r="G369" t="s">
        <v>2066</v>
      </c>
      <c r="H369">
        <v>1</v>
      </c>
    </row>
    <row r="370" spans="6:8" x14ac:dyDescent="0.25">
      <c r="F370" t="s">
        <v>1107</v>
      </c>
      <c r="G370" t="s">
        <v>2066</v>
      </c>
      <c r="H370">
        <v>5</v>
      </c>
    </row>
    <row r="371" spans="6:8" x14ac:dyDescent="0.25">
      <c r="F371" t="s">
        <v>1109</v>
      </c>
      <c r="G371" t="s">
        <v>2066</v>
      </c>
      <c r="H371">
        <v>1</v>
      </c>
    </row>
    <row r="372" spans="6:8" x14ac:dyDescent="0.25">
      <c r="F372" t="s">
        <v>1104</v>
      </c>
      <c r="G372" t="s">
        <v>2066</v>
      </c>
      <c r="H372">
        <v>2</v>
      </c>
    </row>
    <row r="373" spans="6:8" x14ac:dyDescent="0.25">
      <c r="F373" t="s">
        <v>1125</v>
      </c>
      <c r="G373" t="s">
        <v>2066</v>
      </c>
      <c r="H373">
        <v>1</v>
      </c>
    </row>
    <row r="374" spans="6:8" x14ac:dyDescent="0.25">
      <c r="F374" t="s">
        <v>90</v>
      </c>
      <c r="G374" t="s">
        <v>2066</v>
      </c>
      <c r="H374">
        <v>1</v>
      </c>
    </row>
    <row r="375" spans="6:8" x14ac:dyDescent="0.25">
      <c r="F375" t="s">
        <v>688</v>
      </c>
      <c r="G375" t="s">
        <v>2066</v>
      </c>
      <c r="H375">
        <v>1</v>
      </c>
    </row>
    <row r="376" spans="6:8" x14ac:dyDescent="0.25">
      <c r="F376" t="s">
        <v>180</v>
      </c>
      <c r="G376" t="s">
        <v>2066</v>
      </c>
      <c r="H376">
        <v>3</v>
      </c>
    </row>
    <row r="377" spans="6:8" x14ac:dyDescent="0.25">
      <c r="F377" t="s">
        <v>1120</v>
      </c>
      <c r="G377" t="s">
        <v>2066</v>
      </c>
      <c r="H377">
        <v>1</v>
      </c>
    </row>
    <row r="378" spans="6:8" x14ac:dyDescent="0.25">
      <c r="F378" t="s">
        <v>1136</v>
      </c>
      <c r="G378" t="s">
        <v>2066</v>
      </c>
      <c r="H378">
        <v>1</v>
      </c>
    </row>
    <row r="379" spans="6:8" x14ac:dyDescent="0.25">
      <c r="F379" t="s">
        <v>2042</v>
      </c>
      <c r="G379" t="s">
        <v>2066</v>
      </c>
      <c r="H379">
        <v>1</v>
      </c>
    </row>
    <row r="380" spans="6:8" x14ac:dyDescent="0.25">
      <c r="F380" t="s">
        <v>190</v>
      </c>
      <c r="G380" t="s">
        <v>2066</v>
      </c>
      <c r="H380">
        <v>1</v>
      </c>
    </row>
    <row r="381" spans="6:8" x14ac:dyDescent="0.25">
      <c r="F381" t="s">
        <v>250</v>
      </c>
      <c r="G381" t="s">
        <v>2066</v>
      </c>
      <c r="H381">
        <v>3</v>
      </c>
    </row>
    <row r="382" spans="6:8" x14ac:dyDescent="0.25">
      <c r="F382" t="s">
        <v>431</v>
      </c>
      <c r="G382" t="s">
        <v>2066</v>
      </c>
      <c r="H382">
        <v>1</v>
      </c>
    </row>
    <row r="383" spans="6:8" x14ac:dyDescent="0.25">
      <c r="F383" t="s">
        <v>1154</v>
      </c>
      <c r="G383" t="s">
        <v>2066</v>
      </c>
      <c r="H383">
        <v>1</v>
      </c>
    </row>
    <row r="384" spans="6:8" x14ac:dyDescent="0.25">
      <c r="F384" t="s">
        <v>1147</v>
      </c>
      <c r="G384" t="s">
        <v>2066</v>
      </c>
      <c r="H384">
        <v>1</v>
      </c>
    </row>
    <row r="385" spans="6:8" x14ac:dyDescent="0.25">
      <c r="F385" t="s">
        <v>1143</v>
      </c>
      <c r="G385" t="s">
        <v>2066</v>
      </c>
      <c r="H385">
        <v>1</v>
      </c>
    </row>
    <row r="386" spans="6:8" x14ac:dyDescent="0.25">
      <c r="F386" t="s">
        <v>119</v>
      </c>
      <c r="G386" t="s">
        <v>2066</v>
      </c>
      <c r="H386">
        <v>1</v>
      </c>
    </row>
    <row r="387" spans="6:8" x14ac:dyDescent="0.25">
      <c r="F387" t="s">
        <v>778</v>
      </c>
      <c r="G387" t="s">
        <v>2066</v>
      </c>
      <c r="H387">
        <v>1</v>
      </c>
    </row>
    <row r="388" spans="6:8" x14ac:dyDescent="0.25">
      <c r="F388" t="s">
        <v>1151</v>
      </c>
      <c r="G388" t="s">
        <v>2066</v>
      </c>
      <c r="H388">
        <v>2</v>
      </c>
    </row>
    <row r="389" spans="6:8" x14ac:dyDescent="0.25">
      <c r="F389" t="s">
        <v>119</v>
      </c>
      <c r="G389" t="s">
        <v>2067</v>
      </c>
      <c r="H389">
        <v>5</v>
      </c>
    </row>
    <row r="390" spans="6:8" x14ac:dyDescent="0.25">
      <c r="F390" t="s">
        <v>1162</v>
      </c>
      <c r="G390" t="s">
        <v>2067</v>
      </c>
      <c r="H390">
        <v>1</v>
      </c>
    </row>
    <row r="391" spans="6:8" x14ac:dyDescent="0.25">
      <c r="F391" t="s">
        <v>159</v>
      </c>
      <c r="G391" t="s">
        <v>2067</v>
      </c>
      <c r="H391">
        <v>10</v>
      </c>
    </row>
    <row r="392" spans="6:8" x14ac:dyDescent="0.25">
      <c r="F392" t="s">
        <v>458</v>
      </c>
      <c r="G392" t="s">
        <v>2067</v>
      </c>
      <c r="H392">
        <v>4</v>
      </c>
    </row>
    <row r="393" spans="6:8" x14ac:dyDescent="0.25">
      <c r="F393" t="s">
        <v>465</v>
      </c>
      <c r="G393" t="s">
        <v>2067</v>
      </c>
      <c r="H393">
        <v>8</v>
      </c>
    </row>
    <row r="394" spans="6:8" x14ac:dyDescent="0.25">
      <c r="F394" t="s">
        <v>123</v>
      </c>
      <c r="G394" t="s">
        <v>2067</v>
      </c>
      <c r="H394">
        <v>1</v>
      </c>
    </row>
    <row r="395" spans="6:8" x14ac:dyDescent="0.25">
      <c r="F395" t="s">
        <v>798</v>
      </c>
      <c r="G395" t="s">
        <v>2067</v>
      </c>
      <c r="H395">
        <v>3</v>
      </c>
    </row>
    <row r="396" spans="6:8" x14ac:dyDescent="0.25">
      <c r="F396" t="s">
        <v>152</v>
      </c>
      <c r="G396" t="s">
        <v>2067</v>
      </c>
      <c r="H396">
        <v>4</v>
      </c>
    </row>
    <row r="397" spans="6:8" x14ac:dyDescent="0.25">
      <c r="F397" t="s">
        <v>688</v>
      </c>
      <c r="G397" t="s">
        <v>2067</v>
      </c>
      <c r="H397">
        <v>3</v>
      </c>
    </row>
    <row r="398" spans="6:8" x14ac:dyDescent="0.25">
      <c r="F398" t="s">
        <v>480</v>
      </c>
      <c r="G398" t="s">
        <v>2067</v>
      </c>
      <c r="H398">
        <v>4</v>
      </c>
    </row>
    <row r="399" spans="6:8" x14ac:dyDescent="0.25">
      <c r="F399" t="s">
        <v>187</v>
      </c>
      <c r="G399" t="s">
        <v>2067</v>
      </c>
      <c r="H399">
        <v>8</v>
      </c>
    </row>
    <row r="400" spans="6:8" x14ac:dyDescent="0.25">
      <c r="F400" t="s">
        <v>635</v>
      </c>
      <c r="G400" t="s">
        <v>2067</v>
      </c>
      <c r="H400">
        <v>1</v>
      </c>
    </row>
    <row r="401" spans="6:8" x14ac:dyDescent="0.25">
      <c r="F401" t="s">
        <v>1165</v>
      </c>
      <c r="G401" t="s">
        <v>2067</v>
      </c>
      <c r="H401">
        <v>1</v>
      </c>
    </row>
    <row r="402" spans="6:8" x14ac:dyDescent="0.25">
      <c r="F402" t="s">
        <v>4</v>
      </c>
      <c r="G402" t="s">
        <v>2067</v>
      </c>
      <c r="H402">
        <v>3</v>
      </c>
    </row>
    <row r="403" spans="6:8" x14ac:dyDescent="0.25">
      <c r="F403" t="s">
        <v>1164</v>
      </c>
      <c r="G403" t="s">
        <v>2067</v>
      </c>
      <c r="H403">
        <v>1</v>
      </c>
    </row>
    <row r="404" spans="6:8" x14ac:dyDescent="0.25">
      <c r="F404" t="s">
        <v>68</v>
      </c>
      <c r="G404" t="s">
        <v>2067</v>
      </c>
      <c r="H404">
        <v>13</v>
      </c>
    </row>
    <row r="405" spans="6:8" x14ac:dyDescent="0.25">
      <c r="F405" t="s">
        <v>2052</v>
      </c>
      <c r="G405" t="s">
        <v>2067</v>
      </c>
      <c r="H405">
        <v>2</v>
      </c>
    </row>
    <row r="406" spans="6:8" x14ac:dyDescent="0.25">
      <c r="F406" t="s">
        <v>778</v>
      </c>
      <c r="G406" t="s">
        <v>2067</v>
      </c>
      <c r="H406">
        <v>5</v>
      </c>
    </row>
    <row r="407" spans="6:8" x14ac:dyDescent="0.25">
      <c r="F407" t="s">
        <v>1087</v>
      </c>
      <c r="G407" t="s">
        <v>2067</v>
      </c>
      <c r="H407">
        <v>2</v>
      </c>
    </row>
    <row r="408" spans="6:8" x14ac:dyDescent="0.25">
      <c r="F408" t="s">
        <v>503</v>
      </c>
      <c r="G408" t="s">
        <v>2067</v>
      </c>
      <c r="H408">
        <v>1</v>
      </c>
    </row>
    <row r="409" spans="6:8" x14ac:dyDescent="0.25">
      <c r="F409" t="s">
        <v>661</v>
      </c>
      <c r="G409" t="s">
        <v>2067</v>
      </c>
      <c r="H409">
        <v>1</v>
      </c>
    </row>
    <row r="410" spans="6:8" x14ac:dyDescent="0.25">
      <c r="F410" t="s">
        <v>1174</v>
      </c>
      <c r="G410" t="s">
        <v>2067</v>
      </c>
      <c r="H410">
        <v>2</v>
      </c>
    </row>
    <row r="411" spans="6:8" x14ac:dyDescent="0.25">
      <c r="F411" t="s">
        <v>46</v>
      </c>
      <c r="G411" t="s">
        <v>2067</v>
      </c>
      <c r="H411">
        <v>4</v>
      </c>
    </row>
    <row r="412" spans="6:8" x14ac:dyDescent="0.25">
      <c r="F412" t="s">
        <v>806</v>
      </c>
      <c r="G412" t="s">
        <v>2067</v>
      </c>
      <c r="H412">
        <v>7</v>
      </c>
    </row>
    <row r="413" spans="6:8" x14ac:dyDescent="0.25">
      <c r="F413" t="s">
        <v>293</v>
      </c>
      <c r="G413" t="s">
        <v>2067</v>
      </c>
      <c r="H413">
        <v>1</v>
      </c>
    </row>
    <row r="414" spans="6:8" x14ac:dyDescent="0.25">
      <c r="F414" t="s">
        <v>0</v>
      </c>
      <c r="G414" t="s">
        <v>2067</v>
      </c>
      <c r="H414">
        <v>5</v>
      </c>
    </row>
    <row r="415" spans="6:8" x14ac:dyDescent="0.25">
      <c r="F415" t="s">
        <v>1168</v>
      </c>
      <c r="G415" t="s">
        <v>2067</v>
      </c>
      <c r="H415">
        <v>3</v>
      </c>
    </row>
    <row r="416" spans="6:8" x14ac:dyDescent="0.25">
      <c r="F416" t="s">
        <v>167</v>
      </c>
      <c r="G416" t="s">
        <v>2067</v>
      </c>
      <c r="H416">
        <v>4</v>
      </c>
    </row>
    <row r="417" spans="6:8" x14ac:dyDescent="0.25">
      <c r="F417" t="s">
        <v>250</v>
      </c>
      <c r="G417" t="s">
        <v>2067</v>
      </c>
      <c r="H417">
        <v>13</v>
      </c>
    </row>
    <row r="418" spans="6:8" x14ac:dyDescent="0.25">
      <c r="F418" t="s">
        <v>93</v>
      </c>
      <c r="G418" t="s">
        <v>2067</v>
      </c>
      <c r="H418">
        <v>2</v>
      </c>
    </row>
    <row r="419" spans="6:8" x14ac:dyDescent="0.25">
      <c r="F419" t="s">
        <v>161</v>
      </c>
      <c r="G419" t="s">
        <v>2067</v>
      </c>
      <c r="H419">
        <v>2</v>
      </c>
    </row>
    <row r="420" spans="6:8" x14ac:dyDescent="0.25">
      <c r="F420" t="s">
        <v>204</v>
      </c>
      <c r="G420" t="s">
        <v>2067</v>
      </c>
      <c r="H420">
        <v>9</v>
      </c>
    </row>
    <row r="421" spans="6:8" x14ac:dyDescent="0.25">
      <c r="F421" t="s">
        <v>1186</v>
      </c>
      <c r="G421" t="s">
        <v>2067</v>
      </c>
      <c r="H421">
        <v>1</v>
      </c>
    </row>
    <row r="422" spans="6:8" x14ac:dyDescent="0.25">
      <c r="F422" t="s">
        <v>837</v>
      </c>
      <c r="G422" t="s">
        <v>2067</v>
      </c>
      <c r="H422">
        <v>3</v>
      </c>
    </row>
    <row r="423" spans="6:8" x14ac:dyDescent="0.25">
      <c r="F423" t="s">
        <v>113</v>
      </c>
      <c r="G423" t="s">
        <v>2067</v>
      </c>
      <c r="H423">
        <v>7</v>
      </c>
    </row>
    <row r="424" spans="6:8" x14ac:dyDescent="0.25">
      <c r="F424" t="s">
        <v>138</v>
      </c>
      <c r="G424" t="s">
        <v>2067</v>
      </c>
      <c r="H424">
        <v>7</v>
      </c>
    </row>
    <row r="425" spans="6:8" x14ac:dyDescent="0.25">
      <c r="F425" t="s">
        <v>144</v>
      </c>
      <c r="G425" t="s">
        <v>2067</v>
      </c>
      <c r="H425">
        <v>1</v>
      </c>
    </row>
    <row r="426" spans="6:8" x14ac:dyDescent="0.25">
      <c r="F426" t="s">
        <v>345</v>
      </c>
      <c r="G426" t="s">
        <v>2067</v>
      </c>
      <c r="H426">
        <v>2</v>
      </c>
    </row>
    <row r="427" spans="6:8" x14ac:dyDescent="0.25">
      <c r="F427" t="s">
        <v>425</v>
      </c>
      <c r="G427" t="s">
        <v>2067</v>
      </c>
      <c r="H427">
        <v>10</v>
      </c>
    </row>
    <row r="428" spans="6:8" x14ac:dyDescent="0.25">
      <c r="F428" t="s">
        <v>174</v>
      </c>
      <c r="G428" t="s">
        <v>2067</v>
      </c>
      <c r="H428">
        <v>3</v>
      </c>
    </row>
    <row r="429" spans="6:8" x14ac:dyDescent="0.25">
      <c r="F429" t="s">
        <v>84</v>
      </c>
      <c r="G429" t="s">
        <v>2067</v>
      </c>
      <c r="H429">
        <v>10</v>
      </c>
    </row>
    <row r="430" spans="6:8" x14ac:dyDescent="0.25">
      <c r="F430" t="s">
        <v>117</v>
      </c>
      <c r="G430" t="s">
        <v>2067</v>
      </c>
      <c r="H430">
        <v>5</v>
      </c>
    </row>
    <row r="431" spans="6:8" x14ac:dyDescent="0.25">
      <c r="F431" t="s">
        <v>490</v>
      </c>
      <c r="G431" t="s">
        <v>2067</v>
      </c>
      <c r="H431">
        <v>3</v>
      </c>
    </row>
    <row r="432" spans="6:8" x14ac:dyDescent="0.25">
      <c r="F432" t="s">
        <v>614</v>
      </c>
      <c r="G432" t="s">
        <v>2067</v>
      </c>
      <c r="H432">
        <v>4</v>
      </c>
    </row>
    <row r="433" spans="6:8" x14ac:dyDescent="0.25">
      <c r="F433" t="s">
        <v>43</v>
      </c>
      <c r="G433" t="s">
        <v>2067</v>
      </c>
      <c r="H433">
        <v>7</v>
      </c>
    </row>
    <row r="434" spans="6:8" x14ac:dyDescent="0.25">
      <c r="F434" t="s">
        <v>611</v>
      </c>
      <c r="G434" t="s">
        <v>2067</v>
      </c>
      <c r="H434">
        <v>4</v>
      </c>
    </row>
    <row r="435" spans="6:8" x14ac:dyDescent="0.25">
      <c r="F435" t="s">
        <v>9</v>
      </c>
      <c r="G435" t="s">
        <v>2067</v>
      </c>
      <c r="H435">
        <v>3</v>
      </c>
    </row>
    <row r="436" spans="6:8" x14ac:dyDescent="0.25">
      <c r="F436" t="s">
        <v>816</v>
      </c>
      <c r="G436" t="s">
        <v>2067</v>
      </c>
      <c r="H436">
        <v>1</v>
      </c>
    </row>
    <row r="437" spans="6:8" x14ac:dyDescent="0.25">
      <c r="F437" t="s">
        <v>30</v>
      </c>
      <c r="G437" t="s">
        <v>2067</v>
      </c>
      <c r="H437">
        <v>3</v>
      </c>
    </row>
    <row r="438" spans="6:8" x14ac:dyDescent="0.25">
      <c r="F438" t="s">
        <v>624</v>
      </c>
      <c r="G438" t="s">
        <v>2067</v>
      </c>
      <c r="H438">
        <v>2</v>
      </c>
    </row>
    <row r="439" spans="6:8" x14ac:dyDescent="0.25">
      <c r="F439" t="s">
        <v>70</v>
      </c>
      <c r="G439" t="s">
        <v>2067</v>
      </c>
      <c r="H439">
        <v>3</v>
      </c>
    </row>
    <row r="440" spans="6:8" x14ac:dyDescent="0.25">
      <c r="F440" t="s">
        <v>474</v>
      </c>
      <c r="G440" t="s">
        <v>2067</v>
      </c>
      <c r="H440">
        <v>4</v>
      </c>
    </row>
    <row r="441" spans="6:8" x14ac:dyDescent="0.25">
      <c r="F441" t="s">
        <v>115</v>
      </c>
      <c r="G441" t="s">
        <v>2067</v>
      </c>
      <c r="H441">
        <v>3</v>
      </c>
    </row>
    <row r="442" spans="6:8" x14ac:dyDescent="0.25">
      <c r="F442" t="s">
        <v>531</v>
      </c>
      <c r="G442" t="s">
        <v>2067</v>
      </c>
      <c r="H442">
        <v>1</v>
      </c>
    </row>
    <row r="443" spans="6:8" x14ac:dyDescent="0.25">
      <c r="F443" t="s">
        <v>1209</v>
      </c>
      <c r="G443" t="s">
        <v>2067</v>
      </c>
      <c r="H443">
        <v>2</v>
      </c>
    </row>
    <row r="444" spans="6:8" x14ac:dyDescent="0.25">
      <c r="F444" t="s">
        <v>1214</v>
      </c>
      <c r="G444" t="s">
        <v>2067</v>
      </c>
      <c r="H444">
        <v>1</v>
      </c>
    </row>
    <row r="445" spans="6:8" x14ac:dyDescent="0.25">
      <c r="F445" t="s">
        <v>252</v>
      </c>
      <c r="G445" t="s">
        <v>2067</v>
      </c>
      <c r="H445">
        <v>3</v>
      </c>
    </row>
    <row r="446" spans="6:8" x14ac:dyDescent="0.25">
      <c r="F446" t="s">
        <v>58</v>
      </c>
      <c r="G446" t="s">
        <v>2067</v>
      </c>
      <c r="H446">
        <v>6</v>
      </c>
    </row>
    <row r="447" spans="6:8" x14ac:dyDescent="0.25">
      <c r="F447" t="s">
        <v>965</v>
      </c>
      <c r="G447" t="s">
        <v>2067</v>
      </c>
      <c r="H447">
        <v>1</v>
      </c>
    </row>
    <row r="448" spans="6:8" x14ac:dyDescent="0.25">
      <c r="F448" t="s">
        <v>88</v>
      </c>
      <c r="G448" t="s">
        <v>2067</v>
      </c>
      <c r="H448">
        <v>1</v>
      </c>
    </row>
    <row r="449" spans="6:8" x14ac:dyDescent="0.25">
      <c r="F449" t="s">
        <v>74</v>
      </c>
      <c r="G449" t="s">
        <v>2067</v>
      </c>
      <c r="H449">
        <v>6</v>
      </c>
    </row>
    <row r="450" spans="6:8" x14ac:dyDescent="0.25">
      <c r="F450" t="s">
        <v>733</v>
      </c>
      <c r="G450" t="s">
        <v>2067</v>
      </c>
      <c r="H450">
        <v>2</v>
      </c>
    </row>
    <row r="451" spans="6:8" x14ac:dyDescent="0.25">
      <c r="F451" t="s">
        <v>1233</v>
      </c>
      <c r="G451" t="s">
        <v>2067</v>
      </c>
      <c r="H451">
        <v>2</v>
      </c>
    </row>
    <row r="452" spans="6:8" x14ac:dyDescent="0.25">
      <c r="F452" t="s">
        <v>208</v>
      </c>
      <c r="G452" t="s">
        <v>2067</v>
      </c>
      <c r="H452">
        <v>2</v>
      </c>
    </row>
    <row r="453" spans="6:8" x14ac:dyDescent="0.25">
      <c r="F453" t="s">
        <v>253</v>
      </c>
      <c r="G453" t="s">
        <v>2067</v>
      </c>
      <c r="H453">
        <v>3</v>
      </c>
    </row>
    <row r="454" spans="6:8" x14ac:dyDescent="0.25">
      <c r="F454" t="s">
        <v>591</v>
      </c>
      <c r="G454" t="s">
        <v>2067</v>
      </c>
      <c r="H454">
        <v>4</v>
      </c>
    </row>
    <row r="455" spans="6:8" x14ac:dyDescent="0.25">
      <c r="F455" t="s">
        <v>228</v>
      </c>
      <c r="G455" t="s">
        <v>2067</v>
      </c>
      <c r="H455">
        <v>1</v>
      </c>
    </row>
    <row r="456" spans="6:8" x14ac:dyDescent="0.25">
      <c r="F456" t="s">
        <v>276</v>
      </c>
      <c r="G456" t="s">
        <v>2067</v>
      </c>
      <c r="H456">
        <v>1</v>
      </c>
    </row>
    <row r="457" spans="6:8" x14ac:dyDescent="0.25">
      <c r="F457" t="s">
        <v>637</v>
      </c>
      <c r="G457" t="s">
        <v>2067</v>
      </c>
      <c r="H457">
        <v>4</v>
      </c>
    </row>
    <row r="458" spans="6:8" x14ac:dyDescent="0.25">
      <c r="F458" t="s">
        <v>952</v>
      </c>
      <c r="G458" t="s">
        <v>2067</v>
      </c>
      <c r="H458">
        <v>1</v>
      </c>
    </row>
    <row r="459" spans="6:8" x14ac:dyDescent="0.25">
      <c r="F459" t="s">
        <v>1236</v>
      </c>
      <c r="G459" t="s">
        <v>2067</v>
      </c>
      <c r="H459">
        <v>1</v>
      </c>
    </row>
    <row r="460" spans="6:8" x14ac:dyDescent="0.25">
      <c r="F460" t="s">
        <v>153</v>
      </c>
      <c r="G460" t="s">
        <v>2067</v>
      </c>
      <c r="H460">
        <v>1</v>
      </c>
    </row>
    <row r="461" spans="6:8" x14ac:dyDescent="0.25">
      <c r="F461" t="s">
        <v>41</v>
      </c>
      <c r="G461" t="s">
        <v>2067</v>
      </c>
      <c r="H461">
        <v>23</v>
      </c>
    </row>
    <row r="462" spans="6:8" x14ac:dyDescent="0.25">
      <c r="F462" t="s">
        <v>354</v>
      </c>
      <c r="G462" t="s">
        <v>2067</v>
      </c>
      <c r="H462">
        <v>1</v>
      </c>
    </row>
    <row r="463" spans="6:8" x14ac:dyDescent="0.25">
      <c r="F463" t="s">
        <v>63</v>
      </c>
      <c r="G463" t="s">
        <v>2067</v>
      </c>
      <c r="H463">
        <v>3</v>
      </c>
    </row>
    <row r="464" spans="6:8" x14ac:dyDescent="0.25">
      <c r="F464" t="s">
        <v>390</v>
      </c>
      <c r="G464" t="s">
        <v>2067</v>
      </c>
      <c r="H464">
        <v>1</v>
      </c>
    </row>
    <row r="465" spans="6:8" x14ac:dyDescent="0.25">
      <c r="F465" t="s">
        <v>32</v>
      </c>
      <c r="G465" t="s">
        <v>2067</v>
      </c>
      <c r="H465">
        <v>4</v>
      </c>
    </row>
    <row r="466" spans="6:8" x14ac:dyDescent="0.25">
      <c r="F466" t="s">
        <v>431</v>
      </c>
      <c r="G466" t="s">
        <v>2067</v>
      </c>
      <c r="H466">
        <v>1</v>
      </c>
    </row>
    <row r="467" spans="6:8" x14ac:dyDescent="0.25">
      <c r="F467" t="s">
        <v>1246</v>
      </c>
      <c r="G467" t="s">
        <v>2067</v>
      </c>
      <c r="H467">
        <v>1</v>
      </c>
    </row>
    <row r="468" spans="6:8" x14ac:dyDescent="0.25">
      <c r="F468" t="s">
        <v>1248</v>
      </c>
      <c r="G468" t="s">
        <v>2067</v>
      </c>
      <c r="H468">
        <v>2</v>
      </c>
    </row>
    <row r="469" spans="6:8" x14ac:dyDescent="0.25">
      <c r="F469" t="s">
        <v>206</v>
      </c>
      <c r="G469" t="s">
        <v>2067</v>
      </c>
      <c r="H469">
        <v>3</v>
      </c>
    </row>
    <row r="470" spans="6:8" x14ac:dyDescent="0.25">
      <c r="F470" t="s">
        <v>237</v>
      </c>
      <c r="G470" t="s">
        <v>2067</v>
      </c>
      <c r="H470">
        <v>6</v>
      </c>
    </row>
    <row r="471" spans="6:8" x14ac:dyDescent="0.25">
      <c r="F471" t="s">
        <v>6</v>
      </c>
      <c r="G471" t="s">
        <v>2067</v>
      </c>
      <c r="H471">
        <v>4</v>
      </c>
    </row>
    <row r="472" spans="6:8" x14ac:dyDescent="0.25">
      <c r="F472" t="s">
        <v>1255</v>
      </c>
      <c r="G472" t="s">
        <v>2067</v>
      </c>
      <c r="H472">
        <v>1</v>
      </c>
    </row>
    <row r="473" spans="6:8" x14ac:dyDescent="0.25">
      <c r="F473" t="s">
        <v>346</v>
      </c>
      <c r="G473" t="s">
        <v>2067</v>
      </c>
      <c r="H473">
        <v>1</v>
      </c>
    </row>
    <row r="474" spans="6:8" x14ac:dyDescent="0.25">
      <c r="F474" t="s">
        <v>107</v>
      </c>
      <c r="G474" t="s">
        <v>2067</v>
      </c>
      <c r="H474">
        <v>2</v>
      </c>
    </row>
    <row r="475" spans="6:8" x14ac:dyDescent="0.25">
      <c r="F475" t="s">
        <v>1260</v>
      </c>
      <c r="G475" t="s">
        <v>2067</v>
      </c>
      <c r="H475">
        <v>1</v>
      </c>
    </row>
    <row r="476" spans="6:8" x14ac:dyDescent="0.25">
      <c r="F476" t="s">
        <v>2051</v>
      </c>
      <c r="G476" t="s">
        <v>2067</v>
      </c>
      <c r="H476">
        <v>1</v>
      </c>
    </row>
    <row r="477" spans="6:8" x14ac:dyDescent="0.25">
      <c r="F477" t="s">
        <v>1273</v>
      </c>
      <c r="G477" t="s">
        <v>2067</v>
      </c>
      <c r="H477">
        <v>1</v>
      </c>
    </row>
    <row r="478" spans="6:8" x14ac:dyDescent="0.25">
      <c r="F478" t="s">
        <v>1269</v>
      </c>
      <c r="G478" t="s">
        <v>2067</v>
      </c>
      <c r="H478">
        <v>1</v>
      </c>
    </row>
    <row r="479" spans="6:8" x14ac:dyDescent="0.25">
      <c r="F479" t="s">
        <v>324</v>
      </c>
      <c r="G479" t="s">
        <v>2067</v>
      </c>
      <c r="H479">
        <v>1</v>
      </c>
    </row>
    <row r="480" spans="6:8" x14ac:dyDescent="0.25">
      <c r="F480" t="s">
        <v>1263</v>
      </c>
      <c r="G480" t="s">
        <v>2067</v>
      </c>
      <c r="H480">
        <v>1</v>
      </c>
    </row>
    <row r="481" spans="6:8" x14ac:dyDescent="0.25">
      <c r="F481" t="s">
        <v>1262</v>
      </c>
      <c r="G481" t="s">
        <v>2067</v>
      </c>
      <c r="H481">
        <v>1</v>
      </c>
    </row>
    <row r="482" spans="6:8" x14ac:dyDescent="0.25">
      <c r="F482" t="s">
        <v>1074</v>
      </c>
      <c r="G482" t="s">
        <v>2067</v>
      </c>
      <c r="H482">
        <v>1</v>
      </c>
    </row>
    <row r="483" spans="6:8" x14ac:dyDescent="0.25">
      <c r="F483" t="s">
        <v>665</v>
      </c>
      <c r="G483" t="s">
        <v>2067</v>
      </c>
      <c r="H483">
        <v>1</v>
      </c>
    </row>
    <row r="484" spans="6:8" x14ac:dyDescent="0.25">
      <c r="F484" t="s">
        <v>1267</v>
      </c>
      <c r="G484" t="s">
        <v>2067</v>
      </c>
      <c r="H484">
        <v>1</v>
      </c>
    </row>
    <row r="485" spans="6:8" x14ac:dyDescent="0.25">
      <c r="F485" t="s">
        <v>698</v>
      </c>
      <c r="G485" t="s">
        <v>2067</v>
      </c>
      <c r="H485">
        <v>1</v>
      </c>
    </row>
    <row r="486" spans="6:8" x14ac:dyDescent="0.25">
      <c r="F486" t="s">
        <v>631</v>
      </c>
      <c r="G486" t="s">
        <v>2067</v>
      </c>
      <c r="H486">
        <v>3</v>
      </c>
    </row>
    <row r="487" spans="6:8" x14ac:dyDescent="0.25">
      <c r="F487" t="s">
        <v>1282</v>
      </c>
      <c r="G487" t="s">
        <v>2067</v>
      </c>
      <c r="H487">
        <v>1</v>
      </c>
    </row>
    <row r="488" spans="6:8" x14ac:dyDescent="0.25">
      <c r="F488" t="s">
        <v>28</v>
      </c>
      <c r="G488" t="s">
        <v>2067</v>
      </c>
      <c r="H488">
        <v>4</v>
      </c>
    </row>
    <row r="489" spans="6:8" x14ac:dyDescent="0.25">
      <c r="F489" t="s">
        <v>1275</v>
      </c>
      <c r="G489" t="s">
        <v>2067</v>
      </c>
      <c r="H489">
        <v>2</v>
      </c>
    </row>
    <row r="490" spans="6:8" x14ac:dyDescent="0.25">
      <c r="F490" t="s">
        <v>72</v>
      </c>
      <c r="G490" t="s">
        <v>2067</v>
      </c>
      <c r="H490">
        <v>2</v>
      </c>
    </row>
    <row r="491" spans="6:8" x14ac:dyDescent="0.25">
      <c r="F491" t="s">
        <v>1288</v>
      </c>
      <c r="G491" t="s">
        <v>2067</v>
      </c>
      <c r="H491">
        <v>1</v>
      </c>
    </row>
    <row r="492" spans="6:8" x14ac:dyDescent="0.25">
      <c r="F492" t="s">
        <v>1286</v>
      </c>
      <c r="G492" t="s">
        <v>2067</v>
      </c>
      <c r="H492">
        <v>1</v>
      </c>
    </row>
    <row r="493" spans="6:8" x14ac:dyDescent="0.25">
      <c r="F493" t="s">
        <v>1297</v>
      </c>
      <c r="G493" t="s">
        <v>2067</v>
      </c>
      <c r="H493">
        <v>1</v>
      </c>
    </row>
    <row r="494" spans="6:8" x14ac:dyDescent="0.25">
      <c r="F494" t="s">
        <v>1294</v>
      </c>
      <c r="G494" t="s">
        <v>2067</v>
      </c>
      <c r="H494">
        <v>1</v>
      </c>
    </row>
    <row r="495" spans="6:8" x14ac:dyDescent="0.25">
      <c r="F495" t="s">
        <v>356</v>
      </c>
      <c r="G495" t="s">
        <v>2067</v>
      </c>
      <c r="H495">
        <v>1</v>
      </c>
    </row>
    <row r="496" spans="6:8" x14ac:dyDescent="0.25">
      <c r="F496" t="s">
        <v>274</v>
      </c>
      <c r="G496" t="s">
        <v>2067</v>
      </c>
      <c r="H496">
        <v>1</v>
      </c>
    </row>
    <row r="497" spans="6:8" x14ac:dyDescent="0.25">
      <c r="F497" t="s">
        <v>1292</v>
      </c>
      <c r="G497" t="s">
        <v>2067</v>
      </c>
      <c r="H497">
        <v>1</v>
      </c>
    </row>
    <row r="498" spans="6:8" x14ac:dyDescent="0.25">
      <c r="F498" t="s">
        <v>580</v>
      </c>
      <c r="G498" t="s">
        <v>2067</v>
      </c>
      <c r="H498">
        <v>1</v>
      </c>
    </row>
    <row r="499" spans="6:8" x14ac:dyDescent="0.25">
      <c r="F499" t="s">
        <v>60</v>
      </c>
      <c r="G499" t="s">
        <v>2067</v>
      </c>
      <c r="H499">
        <v>7</v>
      </c>
    </row>
    <row r="500" spans="6:8" x14ac:dyDescent="0.25">
      <c r="F500" t="s">
        <v>1304</v>
      </c>
      <c r="G500" t="s">
        <v>2067</v>
      </c>
      <c r="H500">
        <v>1</v>
      </c>
    </row>
    <row r="501" spans="6:8" x14ac:dyDescent="0.25">
      <c r="F501" t="s">
        <v>1309</v>
      </c>
      <c r="G501" t="s">
        <v>2067</v>
      </c>
      <c r="H501">
        <v>1</v>
      </c>
    </row>
    <row r="502" spans="6:8" x14ac:dyDescent="0.25">
      <c r="F502" t="s">
        <v>902</v>
      </c>
      <c r="G502" t="s">
        <v>2067</v>
      </c>
      <c r="H502">
        <v>1</v>
      </c>
    </row>
    <row r="503" spans="6:8" x14ac:dyDescent="0.25">
      <c r="F503" t="s">
        <v>1318</v>
      </c>
      <c r="G503" t="s">
        <v>2067</v>
      </c>
      <c r="H503">
        <v>1</v>
      </c>
    </row>
    <row r="504" spans="6:8" x14ac:dyDescent="0.25">
      <c r="F504" t="s">
        <v>991</v>
      </c>
      <c r="G504" t="s">
        <v>2067</v>
      </c>
      <c r="H504">
        <v>1</v>
      </c>
    </row>
    <row r="505" spans="6:8" x14ac:dyDescent="0.25">
      <c r="F505" t="s">
        <v>973</v>
      </c>
      <c r="G505" t="s">
        <v>2067</v>
      </c>
      <c r="H505">
        <v>3</v>
      </c>
    </row>
    <row r="506" spans="6:8" x14ac:dyDescent="0.25">
      <c r="F506" t="s">
        <v>218</v>
      </c>
      <c r="G506" t="s">
        <v>2067</v>
      </c>
      <c r="H506">
        <v>4</v>
      </c>
    </row>
    <row r="507" spans="6:8" x14ac:dyDescent="0.25">
      <c r="F507" t="s">
        <v>543</v>
      </c>
      <c r="G507" t="s">
        <v>2067</v>
      </c>
      <c r="H507">
        <v>1</v>
      </c>
    </row>
    <row r="508" spans="6:8" x14ac:dyDescent="0.25">
      <c r="F508" t="s">
        <v>1327</v>
      </c>
      <c r="G508" t="s">
        <v>2067</v>
      </c>
      <c r="H508">
        <v>1</v>
      </c>
    </row>
    <row r="509" spans="6:8" x14ac:dyDescent="0.25">
      <c r="F509" t="s">
        <v>626</v>
      </c>
      <c r="G509" t="s">
        <v>2067</v>
      </c>
      <c r="H509">
        <v>3</v>
      </c>
    </row>
    <row r="510" spans="6:8" x14ac:dyDescent="0.25">
      <c r="F510" t="s">
        <v>129</v>
      </c>
      <c r="G510" t="s">
        <v>2067</v>
      </c>
      <c r="H510">
        <v>2</v>
      </c>
    </row>
    <row r="511" spans="6:8" x14ac:dyDescent="0.25">
      <c r="F511" t="s">
        <v>550</v>
      </c>
      <c r="G511" t="s">
        <v>2067</v>
      </c>
      <c r="H511">
        <v>1</v>
      </c>
    </row>
    <row r="512" spans="6:8" x14ac:dyDescent="0.25">
      <c r="F512" t="s">
        <v>339</v>
      </c>
      <c r="G512" t="s">
        <v>2067</v>
      </c>
      <c r="H512">
        <v>2</v>
      </c>
    </row>
    <row r="513" spans="6:8" x14ac:dyDescent="0.25">
      <c r="F513" t="s">
        <v>1324</v>
      </c>
      <c r="G513" t="s">
        <v>2067</v>
      </c>
      <c r="H513">
        <v>1</v>
      </c>
    </row>
    <row r="514" spans="6:8" x14ac:dyDescent="0.25">
      <c r="F514" t="s">
        <v>130</v>
      </c>
      <c r="G514" t="s">
        <v>2067</v>
      </c>
      <c r="H514">
        <v>2</v>
      </c>
    </row>
    <row r="515" spans="6:8" x14ac:dyDescent="0.25">
      <c r="F515" t="s">
        <v>1338</v>
      </c>
      <c r="G515" t="s">
        <v>2067</v>
      </c>
      <c r="H515">
        <v>1</v>
      </c>
    </row>
    <row r="516" spans="6:8" x14ac:dyDescent="0.25">
      <c r="F516" t="s">
        <v>103</v>
      </c>
      <c r="G516" t="s">
        <v>2067</v>
      </c>
      <c r="H516">
        <v>2</v>
      </c>
    </row>
    <row r="517" spans="6:8" x14ac:dyDescent="0.25">
      <c r="F517" t="s">
        <v>712</v>
      </c>
      <c r="G517" t="s">
        <v>2067</v>
      </c>
      <c r="H517">
        <v>1</v>
      </c>
    </row>
    <row r="518" spans="6:8" x14ac:dyDescent="0.25">
      <c r="F518" t="s">
        <v>192</v>
      </c>
      <c r="G518" t="s">
        <v>2067</v>
      </c>
      <c r="H518">
        <v>1</v>
      </c>
    </row>
    <row r="519" spans="6:8" x14ac:dyDescent="0.25">
      <c r="F519" t="s">
        <v>747</v>
      </c>
      <c r="G519" t="s">
        <v>2067</v>
      </c>
      <c r="H519">
        <v>1</v>
      </c>
    </row>
    <row r="520" spans="6:8" x14ac:dyDescent="0.25">
      <c r="F520" t="s">
        <v>1344</v>
      </c>
      <c r="G520" t="s">
        <v>2067</v>
      </c>
      <c r="H520">
        <v>1</v>
      </c>
    </row>
    <row r="521" spans="6:8" x14ac:dyDescent="0.25">
      <c r="F521" t="s">
        <v>1334</v>
      </c>
      <c r="G521" t="s">
        <v>2067</v>
      </c>
      <c r="H521">
        <v>1</v>
      </c>
    </row>
    <row r="522" spans="6:8" x14ac:dyDescent="0.25">
      <c r="F522" t="s">
        <v>1336</v>
      </c>
      <c r="G522" t="s">
        <v>2067</v>
      </c>
      <c r="H522">
        <v>1</v>
      </c>
    </row>
    <row r="523" spans="6:8" x14ac:dyDescent="0.25">
      <c r="F523" t="s">
        <v>1351</v>
      </c>
      <c r="G523" t="s">
        <v>2067</v>
      </c>
      <c r="H523">
        <v>1</v>
      </c>
    </row>
    <row r="524" spans="6:8" x14ac:dyDescent="0.25">
      <c r="F524" t="s">
        <v>56</v>
      </c>
      <c r="G524" t="s">
        <v>2067</v>
      </c>
      <c r="H524">
        <v>1</v>
      </c>
    </row>
    <row r="525" spans="6:8" x14ac:dyDescent="0.25">
      <c r="F525" t="s">
        <v>16</v>
      </c>
      <c r="G525" t="s">
        <v>2067</v>
      </c>
      <c r="H525">
        <v>9</v>
      </c>
    </row>
    <row r="526" spans="6:8" x14ac:dyDescent="0.25">
      <c r="F526" t="s">
        <v>514</v>
      </c>
      <c r="G526" t="s">
        <v>2067</v>
      </c>
      <c r="H526">
        <v>2</v>
      </c>
    </row>
    <row r="527" spans="6:8" x14ac:dyDescent="0.25">
      <c r="F527" t="s">
        <v>1044</v>
      </c>
      <c r="G527" t="s">
        <v>2067</v>
      </c>
      <c r="H527">
        <v>2</v>
      </c>
    </row>
    <row r="528" spans="6:8" x14ac:dyDescent="0.25">
      <c r="F528" t="s">
        <v>1369</v>
      </c>
      <c r="G528" t="s">
        <v>2067</v>
      </c>
      <c r="H528">
        <v>4</v>
      </c>
    </row>
    <row r="529" spans="6:8" x14ac:dyDescent="0.25">
      <c r="F529" t="s">
        <v>1373</v>
      </c>
      <c r="G529" t="s">
        <v>2067</v>
      </c>
      <c r="H529">
        <v>2</v>
      </c>
    </row>
    <row r="530" spans="6:8" x14ac:dyDescent="0.25">
      <c r="F530" t="s">
        <v>1371</v>
      </c>
      <c r="G530" t="s">
        <v>2067</v>
      </c>
      <c r="H530">
        <v>1</v>
      </c>
    </row>
    <row r="531" spans="6:8" x14ac:dyDescent="0.25">
      <c r="F531" t="s">
        <v>82</v>
      </c>
      <c r="G531" t="s">
        <v>2067</v>
      </c>
      <c r="H531">
        <v>1</v>
      </c>
    </row>
    <row r="532" spans="6:8" x14ac:dyDescent="0.25">
      <c r="F532" t="s">
        <v>125</v>
      </c>
      <c r="G532" t="s">
        <v>2067</v>
      </c>
      <c r="H532">
        <v>1</v>
      </c>
    </row>
    <row r="533" spans="6:8" x14ac:dyDescent="0.25">
      <c r="F533" t="s">
        <v>336</v>
      </c>
      <c r="G533" t="s">
        <v>2067</v>
      </c>
      <c r="H533">
        <v>2</v>
      </c>
    </row>
    <row r="534" spans="6:8" x14ac:dyDescent="0.25">
      <c r="F534" t="s">
        <v>814</v>
      </c>
      <c r="G534" t="s">
        <v>2067</v>
      </c>
      <c r="H534">
        <v>4</v>
      </c>
    </row>
    <row r="535" spans="6:8" x14ac:dyDescent="0.25">
      <c r="F535" t="s">
        <v>1354</v>
      </c>
      <c r="G535" t="s">
        <v>2067</v>
      </c>
      <c r="H535">
        <v>1</v>
      </c>
    </row>
    <row r="536" spans="6:8" x14ac:dyDescent="0.25">
      <c r="F536" t="s">
        <v>763</v>
      </c>
      <c r="G536" t="s">
        <v>2067</v>
      </c>
      <c r="H536">
        <v>1</v>
      </c>
    </row>
    <row r="537" spans="6:8" x14ac:dyDescent="0.25">
      <c r="F537" t="s">
        <v>1386</v>
      </c>
      <c r="G537" t="s">
        <v>2067</v>
      </c>
      <c r="H537">
        <v>1</v>
      </c>
    </row>
    <row r="538" spans="6:8" x14ac:dyDescent="0.25">
      <c r="F538" t="s">
        <v>511</v>
      </c>
      <c r="G538" t="s">
        <v>2067</v>
      </c>
      <c r="H538">
        <v>1</v>
      </c>
    </row>
    <row r="539" spans="6:8" x14ac:dyDescent="0.25">
      <c r="F539" t="s">
        <v>1384</v>
      </c>
      <c r="G539" t="s">
        <v>2067</v>
      </c>
      <c r="H539">
        <v>2</v>
      </c>
    </row>
    <row r="540" spans="6:8" x14ac:dyDescent="0.25">
      <c r="F540" t="s">
        <v>1379</v>
      </c>
      <c r="G540" t="s">
        <v>2067</v>
      </c>
      <c r="H540">
        <v>1</v>
      </c>
    </row>
    <row r="541" spans="6:8" x14ac:dyDescent="0.25">
      <c r="F541" t="s">
        <v>1374</v>
      </c>
      <c r="G541" t="s">
        <v>2067</v>
      </c>
      <c r="H541">
        <v>2</v>
      </c>
    </row>
    <row r="542" spans="6:8" x14ac:dyDescent="0.25">
      <c r="F542" t="s">
        <v>105</v>
      </c>
      <c r="G542" t="s">
        <v>2067</v>
      </c>
      <c r="H542">
        <v>2</v>
      </c>
    </row>
    <row r="543" spans="6:8" x14ac:dyDescent="0.25">
      <c r="F543" t="s">
        <v>1396</v>
      </c>
      <c r="G543" t="s">
        <v>2067</v>
      </c>
      <c r="H543">
        <v>1</v>
      </c>
    </row>
    <row r="544" spans="6:8" x14ac:dyDescent="0.25">
      <c r="F544" t="s">
        <v>895</v>
      </c>
      <c r="G544" t="s">
        <v>2067</v>
      </c>
      <c r="H544">
        <v>2</v>
      </c>
    </row>
    <row r="545" spans="6:8" x14ac:dyDescent="0.25">
      <c r="F545" t="s">
        <v>1398</v>
      </c>
      <c r="G545" t="s">
        <v>2067</v>
      </c>
      <c r="H545">
        <v>4</v>
      </c>
    </row>
    <row r="546" spans="6:8" x14ac:dyDescent="0.25">
      <c r="F546" t="s">
        <v>1413</v>
      </c>
      <c r="G546" t="s">
        <v>2067</v>
      </c>
      <c r="H546">
        <v>1</v>
      </c>
    </row>
    <row r="547" spans="6:8" x14ac:dyDescent="0.25">
      <c r="F547" t="s">
        <v>297</v>
      </c>
      <c r="G547" t="s">
        <v>2067</v>
      </c>
      <c r="H547">
        <v>1</v>
      </c>
    </row>
    <row r="548" spans="6:8" x14ac:dyDescent="0.25">
      <c r="F548" t="s">
        <v>1403</v>
      </c>
      <c r="G548" t="s">
        <v>2067</v>
      </c>
      <c r="H548">
        <v>1</v>
      </c>
    </row>
    <row r="549" spans="6:8" x14ac:dyDescent="0.25">
      <c r="F549" t="s">
        <v>383</v>
      </c>
      <c r="G549" t="s">
        <v>2067</v>
      </c>
      <c r="H549">
        <v>1</v>
      </c>
    </row>
    <row r="550" spans="6:8" x14ac:dyDescent="0.25">
      <c r="F550" t="s">
        <v>361</v>
      </c>
      <c r="G550" t="s">
        <v>2067</v>
      </c>
      <c r="H550">
        <v>4</v>
      </c>
    </row>
    <row r="551" spans="6:8" x14ac:dyDescent="0.25">
      <c r="F551" t="s">
        <v>1411</v>
      </c>
      <c r="G551" t="s">
        <v>2067</v>
      </c>
      <c r="H551">
        <v>2</v>
      </c>
    </row>
    <row r="552" spans="6:8" x14ac:dyDescent="0.25">
      <c r="F552" t="s">
        <v>518</v>
      </c>
      <c r="G552" t="s">
        <v>2067</v>
      </c>
      <c r="H552">
        <v>2</v>
      </c>
    </row>
    <row r="553" spans="6:8" x14ac:dyDescent="0.25">
      <c r="F553" t="s">
        <v>1419</v>
      </c>
      <c r="G553" t="s">
        <v>2067</v>
      </c>
      <c r="H553">
        <v>10</v>
      </c>
    </row>
    <row r="554" spans="6:8" x14ac:dyDescent="0.25">
      <c r="F554" t="s">
        <v>1417</v>
      </c>
      <c r="G554" t="s">
        <v>2067</v>
      </c>
      <c r="H554">
        <v>1</v>
      </c>
    </row>
    <row r="555" spans="6:8" x14ac:dyDescent="0.25">
      <c r="F555" t="s">
        <v>163</v>
      </c>
      <c r="G555" t="s">
        <v>2067</v>
      </c>
      <c r="H555">
        <v>1</v>
      </c>
    </row>
    <row r="556" spans="6:8" x14ac:dyDescent="0.25">
      <c r="F556" t="s">
        <v>1424</v>
      </c>
      <c r="G556" t="s">
        <v>2067</v>
      </c>
      <c r="H556">
        <v>3</v>
      </c>
    </row>
    <row r="557" spans="6:8" x14ac:dyDescent="0.25">
      <c r="F557" t="s">
        <v>1433</v>
      </c>
      <c r="G557" t="s">
        <v>2067</v>
      </c>
      <c r="H557">
        <v>2</v>
      </c>
    </row>
    <row r="558" spans="6:8" x14ac:dyDescent="0.25">
      <c r="F558" t="s">
        <v>1439</v>
      </c>
      <c r="G558" t="s">
        <v>2067</v>
      </c>
      <c r="H558">
        <v>1</v>
      </c>
    </row>
    <row r="559" spans="6:8" x14ac:dyDescent="0.25">
      <c r="F559" t="s">
        <v>1426</v>
      </c>
      <c r="G559" t="s">
        <v>2067</v>
      </c>
      <c r="H559">
        <v>1</v>
      </c>
    </row>
    <row r="560" spans="6:8" x14ac:dyDescent="0.25">
      <c r="F560" t="s">
        <v>538</v>
      </c>
      <c r="G560" t="s">
        <v>2067</v>
      </c>
      <c r="H560">
        <v>4</v>
      </c>
    </row>
    <row r="561" spans="6:8" x14ac:dyDescent="0.25">
      <c r="F561" t="s">
        <v>1431</v>
      </c>
      <c r="G561" t="s">
        <v>2067</v>
      </c>
      <c r="H561">
        <v>1</v>
      </c>
    </row>
    <row r="562" spans="6:8" x14ac:dyDescent="0.25">
      <c r="F562" t="s">
        <v>848</v>
      </c>
      <c r="G562" t="s">
        <v>2067</v>
      </c>
      <c r="H562">
        <v>1</v>
      </c>
    </row>
    <row r="563" spans="6:8" x14ac:dyDescent="0.25">
      <c r="F563" t="s">
        <v>1445</v>
      </c>
      <c r="G563" t="s">
        <v>2067</v>
      </c>
      <c r="H563">
        <v>1</v>
      </c>
    </row>
    <row r="564" spans="6:8" x14ac:dyDescent="0.25">
      <c r="F564" t="s">
        <v>795</v>
      </c>
      <c r="G564" t="s">
        <v>2067</v>
      </c>
      <c r="H564">
        <v>1</v>
      </c>
    </row>
    <row r="565" spans="6:8" x14ac:dyDescent="0.25">
      <c r="F565" t="s">
        <v>1443</v>
      </c>
      <c r="G565" t="s">
        <v>2067</v>
      </c>
      <c r="H565">
        <v>1</v>
      </c>
    </row>
    <row r="566" spans="6:8" x14ac:dyDescent="0.25">
      <c r="F566" t="s">
        <v>1447</v>
      </c>
      <c r="G566" t="s">
        <v>2067</v>
      </c>
      <c r="H566">
        <v>2</v>
      </c>
    </row>
    <row r="567" spans="6:8" x14ac:dyDescent="0.25">
      <c r="F567" t="s">
        <v>138</v>
      </c>
      <c r="G567" t="s">
        <v>2068</v>
      </c>
      <c r="H567">
        <v>8</v>
      </c>
    </row>
    <row r="568" spans="6:8" x14ac:dyDescent="0.25">
      <c r="F568" t="s">
        <v>580</v>
      </c>
      <c r="G568" t="s">
        <v>2068</v>
      </c>
      <c r="H568">
        <v>4</v>
      </c>
    </row>
    <row r="569" spans="6:8" x14ac:dyDescent="0.25">
      <c r="F569" t="s">
        <v>1460</v>
      </c>
      <c r="G569" t="s">
        <v>2068</v>
      </c>
      <c r="H569">
        <v>1</v>
      </c>
    </row>
    <row r="570" spans="6:8" x14ac:dyDescent="0.25">
      <c r="F570" t="s">
        <v>431</v>
      </c>
      <c r="G570" t="s">
        <v>2068</v>
      </c>
      <c r="H570">
        <v>1</v>
      </c>
    </row>
    <row r="571" spans="6:8" x14ac:dyDescent="0.25">
      <c r="F571" t="s">
        <v>43</v>
      </c>
      <c r="G571" t="s">
        <v>2068</v>
      </c>
      <c r="H571">
        <v>9</v>
      </c>
    </row>
    <row r="572" spans="6:8" x14ac:dyDescent="0.25">
      <c r="F572" t="s">
        <v>1451</v>
      </c>
      <c r="G572" t="s">
        <v>2068</v>
      </c>
      <c r="H572">
        <v>1</v>
      </c>
    </row>
    <row r="573" spans="6:8" x14ac:dyDescent="0.25">
      <c r="F573" t="s">
        <v>84</v>
      </c>
      <c r="G573" t="s">
        <v>2068</v>
      </c>
      <c r="H573">
        <v>22</v>
      </c>
    </row>
    <row r="574" spans="6:8" x14ac:dyDescent="0.25">
      <c r="F574" t="s">
        <v>60</v>
      </c>
      <c r="G574" t="s">
        <v>2068</v>
      </c>
      <c r="H574">
        <v>7</v>
      </c>
    </row>
    <row r="575" spans="6:8" x14ac:dyDescent="0.25">
      <c r="F575" t="s">
        <v>425</v>
      </c>
      <c r="G575" t="s">
        <v>2068</v>
      </c>
      <c r="H575">
        <v>16</v>
      </c>
    </row>
    <row r="576" spans="6:8" x14ac:dyDescent="0.25">
      <c r="F576" t="s">
        <v>54</v>
      </c>
      <c r="G576" t="s">
        <v>2068</v>
      </c>
      <c r="H576">
        <v>4</v>
      </c>
    </row>
    <row r="577" spans="6:8" x14ac:dyDescent="0.25">
      <c r="F577" t="s">
        <v>1457</v>
      </c>
      <c r="G577" t="s">
        <v>2068</v>
      </c>
      <c r="H577">
        <v>1</v>
      </c>
    </row>
    <row r="578" spans="6:8" x14ac:dyDescent="0.25">
      <c r="F578" t="s">
        <v>626</v>
      </c>
      <c r="G578" t="s">
        <v>2068</v>
      </c>
      <c r="H578">
        <v>6</v>
      </c>
    </row>
    <row r="579" spans="6:8" x14ac:dyDescent="0.25">
      <c r="F579" t="s">
        <v>204</v>
      </c>
      <c r="G579" t="s">
        <v>2068</v>
      </c>
      <c r="H579">
        <v>12</v>
      </c>
    </row>
    <row r="580" spans="6:8" x14ac:dyDescent="0.25">
      <c r="F580" t="s">
        <v>923</v>
      </c>
      <c r="G580" t="s">
        <v>2068</v>
      </c>
      <c r="H580">
        <v>7</v>
      </c>
    </row>
    <row r="581" spans="6:8" x14ac:dyDescent="0.25">
      <c r="F581" t="s">
        <v>1275</v>
      </c>
      <c r="G581" t="s">
        <v>2068</v>
      </c>
      <c r="H581">
        <v>1</v>
      </c>
    </row>
    <row r="582" spans="6:8" x14ac:dyDescent="0.25">
      <c r="F582" t="s">
        <v>88</v>
      </c>
      <c r="G582" t="s">
        <v>2068</v>
      </c>
      <c r="H582">
        <v>5</v>
      </c>
    </row>
    <row r="583" spans="6:8" x14ac:dyDescent="0.25">
      <c r="F583" t="s">
        <v>123</v>
      </c>
      <c r="G583" t="s">
        <v>2068</v>
      </c>
      <c r="H583">
        <v>6</v>
      </c>
    </row>
    <row r="584" spans="6:8" x14ac:dyDescent="0.25">
      <c r="F584" t="s">
        <v>1469</v>
      </c>
      <c r="G584" t="s">
        <v>2068</v>
      </c>
      <c r="H584">
        <v>1</v>
      </c>
    </row>
    <row r="585" spans="6:8" x14ac:dyDescent="0.25">
      <c r="F585" t="s">
        <v>115</v>
      </c>
      <c r="G585" t="s">
        <v>2068</v>
      </c>
      <c r="H585">
        <v>2</v>
      </c>
    </row>
    <row r="586" spans="6:8" x14ac:dyDescent="0.25">
      <c r="F586" t="s">
        <v>1464</v>
      </c>
      <c r="G586" t="s">
        <v>2068</v>
      </c>
      <c r="H586">
        <v>1</v>
      </c>
    </row>
    <row r="587" spans="6:8" x14ac:dyDescent="0.25">
      <c r="F587" t="s">
        <v>733</v>
      </c>
      <c r="G587" t="s">
        <v>2068</v>
      </c>
      <c r="H587">
        <v>2</v>
      </c>
    </row>
    <row r="588" spans="6:8" x14ac:dyDescent="0.25">
      <c r="F588" t="s">
        <v>174</v>
      </c>
      <c r="G588" t="s">
        <v>2068</v>
      </c>
      <c r="H588">
        <v>2</v>
      </c>
    </row>
    <row r="589" spans="6:8" x14ac:dyDescent="0.25">
      <c r="F589" t="s">
        <v>16</v>
      </c>
      <c r="G589" t="s">
        <v>2068</v>
      </c>
      <c r="H589">
        <v>12</v>
      </c>
    </row>
    <row r="590" spans="6:8" x14ac:dyDescent="0.25">
      <c r="F590" t="s">
        <v>798</v>
      </c>
      <c r="G590" t="s">
        <v>2068</v>
      </c>
      <c r="H590">
        <v>1</v>
      </c>
    </row>
    <row r="591" spans="6:8" x14ac:dyDescent="0.25">
      <c r="F591" t="s">
        <v>1479</v>
      </c>
      <c r="G591" t="s">
        <v>2068</v>
      </c>
      <c r="H591">
        <v>1</v>
      </c>
    </row>
    <row r="592" spans="6:8" x14ac:dyDescent="0.25">
      <c r="F592" t="s">
        <v>103</v>
      </c>
      <c r="G592" t="s">
        <v>2068</v>
      </c>
      <c r="H592">
        <v>6</v>
      </c>
    </row>
    <row r="593" spans="6:8" x14ac:dyDescent="0.25">
      <c r="F593" t="s">
        <v>1074</v>
      </c>
      <c r="G593" t="s">
        <v>2068</v>
      </c>
      <c r="H593">
        <v>4</v>
      </c>
    </row>
    <row r="594" spans="6:8" x14ac:dyDescent="0.25">
      <c r="F594" t="s">
        <v>383</v>
      </c>
      <c r="G594" t="s">
        <v>2068</v>
      </c>
      <c r="H594">
        <v>4</v>
      </c>
    </row>
    <row r="595" spans="6:8" x14ac:dyDescent="0.25">
      <c r="F595" t="s">
        <v>1495</v>
      </c>
      <c r="G595" t="s">
        <v>2068</v>
      </c>
      <c r="H595">
        <v>2</v>
      </c>
    </row>
    <row r="596" spans="6:8" x14ac:dyDescent="0.25">
      <c r="F596" t="s">
        <v>9</v>
      </c>
      <c r="G596" t="s">
        <v>2068</v>
      </c>
      <c r="H596">
        <v>1</v>
      </c>
    </row>
    <row r="597" spans="6:8" x14ac:dyDescent="0.25">
      <c r="F597" t="s">
        <v>41</v>
      </c>
      <c r="G597" t="s">
        <v>2068</v>
      </c>
      <c r="H597">
        <v>17</v>
      </c>
    </row>
    <row r="598" spans="6:8" x14ac:dyDescent="0.25">
      <c r="F598" t="s">
        <v>159</v>
      </c>
      <c r="G598" t="s">
        <v>2068</v>
      </c>
      <c r="H598">
        <v>9</v>
      </c>
    </row>
    <row r="599" spans="6:8" x14ac:dyDescent="0.25">
      <c r="F599" t="s">
        <v>1486</v>
      </c>
      <c r="G599" t="s">
        <v>2068</v>
      </c>
      <c r="H599">
        <v>2</v>
      </c>
    </row>
    <row r="600" spans="6:8" x14ac:dyDescent="0.25">
      <c r="F600" t="s">
        <v>458</v>
      </c>
      <c r="G600" t="s">
        <v>2068</v>
      </c>
      <c r="H600">
        <v>8</v>
      </c>
    </row>
    <row r="601" spans="6:8" x14ac:dyDescent="0.25">
      <c r="F601" t="s">
        <v>63</v>
      </c>
      <c r="G601" t="s">
        <v>2068</v>
      </c>
      <c r="H601">
        <v>1</v>
      </c>
    </row>
    <row r="602" spans="6:8" x14ac:dyDescent="0.25">
      <c r="F602" t="s">
        <v>1260</v>
      </c>
      <c r="G602" t="s">
        <v>2068</v>
      </c>
      <c r="H602">
        <v>2</v>
      </c>
    </row>
    <row r="603" spans="6:8" x14ac:dyDescent="0.25">
      <c r="F603" t="s">
        <v>1502</v>
      </c>
      <c r="G603" t="s">
        <v>2068</v>
      </c>
      <c r="H603">
        <v>4</v>
      </c>
    </row>
    <row r="604" spans="6:8" x14ac:dyDescent="0.25">
      <c r="F604" t="s">
        <v>1501</v>
      </c>
      <c r="G604" t="s">
        <v>2068</v>
      </c>
      <c r="H604">
        <v>1</v>
      </c>
    </row>
    <row r="605" spans="6:8" x14ac:dyDescent="0.25">
      <c r="F605" t="s">
        <v>1498</v>
      </c>
      <c r="G605" t="s">
        <v>2068</v>
      </c>
      <c r="H605">
        <v>2</v>
      </c>
    </row>
    <row r="606" spans="6:8" x14ac:dyDescent="0.25">
      <c r="F606" t="s">
        <v>218</v>
      </c>
      <c r="G606" t="s">
        <v>2068</v>
      </c>
      <c r="H606">
        <v>5</v>
      </c>
    </row>
    <row r="607" spans="6:8" x14ac:dyDescent="0.25">
      <c r="F607" t="s">
        <v>795</v>
      </c>
      <c r="G607" t="s">
        <v>2068</v>
      </c>
      <c r="H607">
        <v>5</v>
      </c>
    </row>
    <row r="608" spans="6:8" x14ac:dyDescent="0.25">
      <c r="F608" t="s">
        <v>68</v>
      </c>
      <c r="G608" t="s">
        <v>2068</v>
      </c>
      <c r="H608">
        <v>8</v>
      </c>
    </row>
    <row r="609" spans="6:8" x14ac:dyDescent="0.25">
      <c r="F609" t="s">
        <v>119</v>
      </c>
      <c r="G609" t="s">
        <v>2068</v>
      </c>
      <c r="H609">
        <v>5</v>
      </c>
    </row>
    <row r="610" spans="6:8" x14ac:dyDescent="0.25">
      <c r="F610" t="s">
        <v>1351</v>
      </c>
      <c r="G610" t="s">
        <v>2068</v>
      </c>
      <c r="H610">
        <v>1</v>
      </c>
    </row>
    <row r="611" spans="6:8" x14ac:dyDescent="0.25">
      <c r="F611" t="s">
        <v>1493</v>
      </c>
      <c r="G611" t="s">
        <v>2068</v>
      </c>
      <c r="H611">
        <v>6</v>
      </c>
    </row>
    <row r="612" spans="6:8" x14ac:dyDescent="0.25">
      <c r="F612" t="s">
        <v>46</v>
      </c>
      <c r="G612" t="s">
        <v>2068</v>
      </c>
      <c r="H612">
        <v>16</v>
      </c>
    </row>
    <row r="613" spans="6:8" x14ac:dyDescent="0.25">
      <c r="F613" t="s">
        <v>225</v>
      </c>
      <c r="G613" t="s">
        <v>2068</v>
      </c>
      <c r="H613">
        <v>2</v>
      </c>
    </row>
    <row r="614" spans="6:8" x14ac:dyDescent="0.25">
      <c r="F614" t="s">
        <v>787</v>
      </c>
      <c r="G614" t="s">
        <v>2068</v>
      </c>
      <c r="H614">
        <v>1</v>
      </c>
    </row>
    <row r="615" spans="6:8" x14ac:dyDescent="0.25">
      <c r="F615" t="s">
        <v>895</v>
      </c>
      <c r="G615" t="s">
        <v>2068</v>
      </c>
      <c r="H615">
        <v>2</v>
      </c>
    </row>
    <row r="616" spans="6:8" x14ac:dyDescent="0.25">
      <c r="F616" t="s">
        <v>1373</v>
      </c>
      <c r="G616" t="s">
        <v>2068</v>
      </c>
      <c r="H616">
        <v>3</v>
      </c>
    </row>
    <row r="617" spans="6:8" x14ac:dyDescent="0.25">
      <c r="F617" t="s">
        <v>973</v>
      </c>
      <c r="G617" t="s">
        <v>2068</v>
      </c>
      <c r="H617">
        <v>1</v>
      </c>
    </row>
    <row r="618" spans="6:8" x14ac:dyDescent="0.25">
      <c r="F618" t="s">
        <v>113</v>
      </c>
      <c r="G618" t="s">
        <v>2068</v>
      </c>
      <c r="H618">
        <v>6</v>
      </c>
    </row>
    <row r="619" spans="6:8" x14ac:dyDescent="0.25">
      <c r="F619" t="s">
        <v>201</v>
      </c>
      <c r="G619" t="s">
        <v>2068</v>
      </c>
      <c r="H619">
        <v>4</v>
      </c>
    </row>
    <row r="620" spans="6:8" x14ac:dyDescent="0.25">
      <c r="F620" t="s">
        <v>1524</v>
      </c>
      <c r="G620" t="s">
        <v>2068</v>
      </c>
      <c r="H620">
        <v>2</v>
      </c>
    </row>
    <row r="621" spans="6:8" x14ac:dyDescent="0.25">
      <c r="F621" t="s">
        <v>1522</v>
      </c>
      <c r="G621" t="s">
        <v>2068</v>
      </c>
      <c r="H621">
        <v>1</v>
      </c>
    </row>
    <row r="622" spans="6:8" x14ac:dyDescent="0.25">
      <c r="F622" t="s">
        <v>32</v>
      </c>
      <c r="G622" t="s">
        <v>2068</v>
      </c>
      <c r="H622">
        <v>8</v>
      </c>
    </row>
    <row r="623" spans="6:8" x14ac:dyDescent="0.25">
      <c r="F623" t="s">
        <v>390</v>
      </c>
      <c r="G623" t="s">
        <v>2068</v>
      </c>
      <c r="H623">
        <v>2</v>
      </c>
    </row>
    <row r="624" spans="6:8" x14ac:dyDescent="0.25">
      <c r="F624" t="s">
        <v>1000</v>
      </c>
      <c r="G624" t="s">
        <v>2068</v>
      </c>
      <c r="H624">
        <v>1</v>
      </c>
    </row>
    <row r="625" spans="6:8" x14ac:dyDescent="0.25">
      <c r="F625" t="s">
        <v>622</v>
      </c>
      <c r="G625" t="s">
        <v>2068</v>
      </c>
      <c r="H625">
        <v>1</v>
      </c>
    </row>
    <row r="626" spans="6:8" x14ac:dyDescent="0.25">
      <c r="F626" t="s">
        <v>237</v>
      </c>
      <c r="G626" t="s">
        <v>2068</v>
      </c>
      <c r="H626">
        <v>3</v>
      </c>
    </row>
    <row r="627" spans="6:8" x14ac:dyDescent="0.25">
      <c r="F627" t="s">
        <v>712</v>
      </c>
      <c r="G627" t="s">
        <v>2068</v>
      </c>
      <c r="H627">
        <v>4</v>
      </c>
    </row>
    <row r="628" spans="6:8" x14ac:dyDescent="0.25">
      <c r="F628" t="s">
        <v>187</v>
      </c>
      <c r="G628" t="s">
        <v>2068</v>
      </c>
      <c r="H628">
        <v>11</v>
      </c>
    </row>
    <row r="629" spans="6:8" x14ac:dyDescent="0.25">
      <c r="F629" t="s">
        <v>354</v>
      </c>
      <c r="G629" t="s">
        <v>2068</v>
      </c>
      <c r="H629">
        <v>1</v>
      </c>
    </row>
    <row r="630" spans="6:8" x14ac:dyDescent="0.25">
      <c r="F630" t="s">
        <v>6</v>
      </c>
      <c r="G630" t="s">
        <v>2068</v>
      </c>
      <c r="H630">
        <v>4</v>
      </c>
    </row>
    <row r="631" spans="6:8" x14ac:dyDescent="0.25">
      <c r="F631" t="s">
        <v>58</v>
      </c>
      <c r="G631" t="s">
        <v>2068</v>
      </c>
      <c r="H631">
        <v>8</v>
      </c>
    </row>
    <row r="632" spans="6:8" x14ac:dyDescent="0.25">
      <c r="F632" t="s">
        <v>1532</v>
      </c>
      <c r="G632" t="s">
        <v>2068</v>
      </c>
      <c r="H632">
        <v>2</v>
      </c>
    </row>
    <row r="633" spans="6:8" x14ac:dyDescent="0.25">
      <c r="F633" t="s">
        <v>591</v>
      </c>
      <c r="G633" t="s">
        <v>2068</v>
      </c>
      <c r="H633">
        <v>4</v>
      </c>
    </row>
    <row r="634" spans="6:8" x14ac:dyDescent="0.25">
      <c r="F634" t="s">
        <v>82</v>
      </c>
      <c r="G634" t="s">
        <v>2068</v>
      </c>
      <c r="H634">
        <v>1</v>
      </c>
    </row>
    <row r="635" spans="6:8" x14ac:dyDescent="0.25">
      <c r="F635" t="s">
        <v>721</v>
      </c>
      <c r="G635" t="s">
        <v>2068</v>
      </c>
      <c r="H635">
        <v>2</v>
      </c>
    </row>
    <row r="636" spans="6:8" x14ac:dyDescent="0.25">
      <c r="F636" t="s">
        <v>652</v>
      </c>
      <c r="G636" t="s">
        <v>2068</v>
      </c>
      <c r="H636">
        <v>1</v>
      </c>
    </row>
    <row r="637" spans="6:8" x14ac:dyDescent="0.25">
      <c r="F637" t="s">
        <v>111</v>
      </c>
      <c r="G637" t="s">
        <v>2068</v>
      </c>
      <c r="H637">
        <v>1</v>
      </c>
    </row>
    <row r="638" spans="6:8" x14ac:dyDescent="0.25">
      <c r="F638" t="s">
        <v>1550</v>
      </c>
      <c r="G638" t="s">
        <v>2068</v>
      </c>
      <c r="H638">
        <v>1</v>
      </c>
    </row>
    <row r="639" spans="6:8" x14ac:dyDescent="0.25">
      <c r="F639" t="s">
        <v>1554</v>
      </c>
      <c r="G639" t="s">
        <v>2068</v>
      </c>
      <c r="H639">
        <v>1</v>
      </c>
    </row>
    <row r="640" spans="6:8" x14ac:dyDescent="0.25">
      <c r="F640" t="s">
        <v>1551</v>
      </c>
      <c r="G640" t="s">
        <v>2068</v>
      </c>
      <c r="H640">
        <v>1</v>
      </c>
    </row>
    <row r="641" spans="6:8" x14ac:dyDescent="0.25">
      <c r="F641" t="s">
        <v>2053</v>
      </c>
      <c r="G641" t="s">
        <v>2068</v>
      </c>
      <c r="H641">
        <v>2</v>
      </c>
    </row>
    <row r="642" spans="6:8" x14ac:dyDescent="0.25">
      <c r="F642" t="s">
        <v>1560</v>
      </c>
      <c r="G642" t="s">
        <v>2068</v>
      </c>
      <c r="H642">
        <v>1</v>
      </c>
    </row>
    <row r="643" spans="6:8" x14ac:dyDescent="0.25">
      <c r="F643" t="s">
        <v>90</v>
      </c>
      <c r="G643" t="s">
        <v>2068</v>
      </c>
      <c r="H643">
        <v>1</v>
      </c>
    </row>
    <row r="644" spans="6:8" x14ac:dyDescent="0.25">
      <c r="F644" t="s">
        <v>889</v>
      </c>
      <c r="G644" t="s">
        <v>2068</v>
      </c>
      <c r="H644">
        <v>1</v>
      </c>
    </row>
    <row r="645" spans="6:8" x14ac:dyDescent="0.25">
      <c r="F645" t="s">
        <v>287</v>
      </c>
      <c r="G645" t="s">
        <v>2068</v>
      </c>
      <c r="H645">
        <v>3</v>
      </c>
    </row>
    <row r="646" spans="6:8" x14ac:dyDescent="0.25">
      <c r="F646" t="s">
        <v>1568</v>
      </c>
      <c r="G646" t="s">
        <v>2068</v>
      </c>
      <c r="H646">
        <v>1</v>
      </c>
    </row>
    <row r="647" spans="6:8" x14ac:dyDescent="0.25">
      <c r="F647" t="s">
        <v>648</v>
      </c>
      <c r="G647" t="s">
        <v>2068</v>
      </c>
      <c r="H647">
        <v>4</v>
      </c>
    </row>
    <row r="648" spans="6:8" x14ac:dyDescent="0.25">
      <c r="F648" t="s">
        <v>23</v>
      </c>
      <c r="G648" t="s">
        <v>2068</v>
      </c>
      <c r="H648">
        <v>3</v>
      </c>
    </row>
    <row r="649" spans="6:8" x14ac:dyDescent="0.25">
      <c r="F649" t="s">
        <v>2037</v>
      </c>
      <c r="G649" t="s">
        <v>2068</v>
      </c>
      <c r="H649">
        <v>1</v>
      </c>
    </row>
    <row r="650" spans="6:8" x14ac:dyDescent="0.25">
      <c r="F650" t="s">
        <v>356</v>
      </c>
      <c r="G650" t="s">
        <v>2068</v>
      </c>
      <c r="H650">
        <v>3</v>
      </c>
    </row>
    <row r="651" spans="6:8" x14ac:dyDescent="0.25">
      <c r="F651" t="s">
        <v>1580</v>
      </c>
      <c r="G651" t="s">
        <v>2068</v>
      </c>
      <c r="H651">
        <v>1</v>
      </c>
    </row>
    <row r="652" spans="6:8" x14ac:dyDescent="0.25">
      <c r="F652" t="s">
        <v>1578</v>
      </c>
      <c r="G652" t="s">
        <v>2068</v>
      </c>
      <c r="H652">
        <v>1</v>
      </c>
    </row>
    <row r="653" spans="6:8" x14ac:dyDescent="0.25">
      <c r="F653" t="s">
        <v>30</v>
      </c>
      <c r="G653" t="s">
        <v>2068</v>
      </c>
      <c r="H653">
        <v>2</v>
      </c>
    </row>
    <row r="654" spans="6:8" x14ac:dyDescent="0.25">
      <c r="F654" t="s">
        <v>806</v>
      </c>
      <c r="G654" t="s">
        <v>2068</v>
      </c>
      <c r="H654">
        <v>5</v>
      </c>
    </row>
    <row r="655" spans="6:8" x14ac:dyDescent="0.25">
      <c r="F655" t="s">
        <v>253</v>
      </c>
      <c r="G655" t="s">
        <v>2068</v>
      </c>
      <c r="H655">
        <v>3</v>
      </c>
    </row>
    <row r="656" spans="6:8" x14ac:dyDescent="0.25">
      <c r="F656" t="s">
        <v>212</v>
      </c>
      <c r="G656" t="s">
        <v>2068</v>
      </c>
      <c r="H656">
        <v>1</v>
      </c>
    </row>
    <row r="657" spans="6:8" x14ac:dyDescent="0.25">
      <c r="F657" t="s">
        <v>1592</v>
      </c>
      <c r="G657" t="s">
        <v>2068</v>
      </c>
      <c r="H657">
        <v>6</v>
      </c>
    </row>
    <row r="658" spans="6:8" x14ac:dyDescent="0.25">
      <c r="F658" t="s">
        <v>538</v>
      </c>
      <c r="G658" t="s">
        <v>2068</v>
      </c>
      <c r="H658">
        <v>4</v>
      </c>
    </row>
    <row r="659" spans="6:8" x14ac:dyDescent="0.25">
      <c r="F659" t="s">
        <v>336</v>
      </c>
      <c r="G659" t="s">
        <v>2068</v>
      </c>
      <c r="H659">
        <v>7</v>
      </c>
    </row>
    <row r="660" spans="6:8" x14ac:dyDescent="0.25">
      <c r="F660" t="s">
        <v>292</v>
      </c>
      <c r="G660" t="s">
        <v>2068</v>
      </c>
      <c r="H660">
        <v>1</v>
      </c>
    </row>
    <row r="661" spans="6:8" x14ac:dyDescent="0.25">
      <c r="F661" t="s">
        <v>1601</v>
      </c>
      <c r="G661" t="s">
        <v>2068</v>
      </c>
      <c r="H661">
        <v>2</v>
      </c>
    </row>
    <row r="662" spans="6:8" x14ac:dyDescent="0.25">
      <c r="F662" t="s">
        <v>816</v>
      </c>
      <c r="G662" t="s">
        <v>2068</v>
      </c>
      <c r="H662">
        <v>2</v>
      </c>
    </row>
    <row r="663" spans="6:8" x14ac:dyDescent="0.25">
      <c r="F663" t="s">
        <v>1630</v>
      </c>
      <c r="G663" t="s">
        <v>2068</v>
      </c>
      <c r="H663">
        <v>2</v>
      </c>
    </row>
    <row r="664" spans="6:8" x14ac:dyDescent="0.25">
      <c r="F664" t="s">
        <v>28</v>
      </c>
      <c r="G664" t="s">
        <v>2068</v>
      </c>
      <c r="H664">
        <v>5</v>
      </c>
    </row>
    <row r="665" spans="6:8" x14ac:dyDescent="0.25">
      <c r="F665" t="s">
        <v>1071</v>
      </c>
      <c r="G665" t="s">
        <v>2068</v>
      </c>
      <c r="H665">
        <v>2</v>
      </c>
    </row>
    <row r="666" spans="6:8" x14ac:dyDescent="0.25">
      <c r="F666" t="s">
        <v>74</v>
      </c>
      <c r="G666" t="s">
        <v>2068</v>
      </c>
      <c r="H666">
        <v>3</v>
      </c>
    </row>
    <row r="667" spans="6:8" x14ac:dyDescent="0.25">
      <c r="F667" t="s">
        <v>1620</v>
      </c>
      <c r="G667" t="s">
        <v>2068</v>
      </c>
      <c r="H667">
        <v>1</v>
      </c>
    </row>
    <row r="668" spans="6:8" x14ac:dyDescent="0.25">
      <c r="F668" t="s">
        <v>190</v>
      </c>
      <c r="G668" t="s">
        <v>2068</v>
      </c>
      <c r="H668">
        <v>2</v>
      </c>
    </row>
    <row r="669" spans="6:8" x14ac:dyDescent="0.25">
      <c r="F669" t="s">
        <v>276</v>
      </c>
      <c r="G669" t="s">
        <v>2068</v>
      </c>
      <c r="H669">
        <v>9</v>
      </c>
    </row>
    <row r="670" spans="6:8" x14ac:dyDescent="0.25">
      <c r="F670" t="s">
        <v>631</v>
      </c>
      <c r="G670" t="s">
        <v>2068</v>
      </c>
      <c r="H670">
        <v>1</v>
      </c>
    </row>
    <row r="671" spans="6:8" x14ac:dyDescent="0.25">
      <c r="F671" t="s">
        <v>614</v>
      </c>
      <c r="G671" t="s">
        <v>2068</v>
      </c>
      <c r="H671">
        <v>2</v>
      </c>
    </row>
    <row r="672" spans="6:8" x14ac:dyDescent="0.25">
      <c r="F672" t="s">
        <v>252</v>
      </c>
      <c r="G672" t="s">
        <v>2068</v>
      </c>
      <c r="H672">
        <v>1</v>
      </c>
    </row>
    <row r="673" spans="6:8" x14ac:dyDescent="0.25">
      <c r="F673" t="s">
        <v>293</v>
      </c>
      <c r="G673" t="s">
        <v>2068</v>
      </c>
      <c r="H673">
        <v>1</v>
      </c>
    </row>
    <row r="674" spans="6:8" x14ac:dyDescent="0.25">
      <c r="F674" t="s">
        <v>70</v>
      </c>
      <c r="G674" t="s">
        <v>2068</v>
      </c>
      <c r="H674">
        <v>3</v>
      </c>
    </row>
    <row r="675" spans="6:8" x14ac:dyDescent="0.25">
      <c r="F675" t="s">
        <v>825</v>
      </c>
      <c r="G675" t="s">
        <v>2068</v>
      </c>
      <c r="H675">
        <v>5</v>
      </c>
    </row>
    <row r="676" spans="6:8" x14ac:dyDescent="0.25">
      <c r="F676" t="s">
        <v>248</v>
      </c>
      <c r="G676" t="s">
        <v>2068</v>
      </c>
      <c r="H676">
        <v>1</v>
      </c>
    </row>
    <row r="677" spans="6:8" x14ac:dyDescent="0.25">
      <c r="F677" t="s">
        <v>747</v>
      </c>
      <c r="G677" t="s">
        <v>2068</v>
      </c>
      <c r="H677">
        <v>3</v>
      </c>
    </row>
    <row r="678" spans="6:8" x14ac:dyDescent="0.25">
      <c r="F678" t="s">
        <v>518</v>
      </c>
      <c r="G678" t="s">
        <v>2068</v>
      </c>
      <c r="H678">
        <v>2</v>
      </c>
    </row>
    <row r="679" spans="6:8" x14ac:dyDescent="0.25">
      <c r="F679" t="s">
        <v>1653</v>
      </c>
      <c r="G679" t="s">
        <v>2068</v>
      </c>
      <c r="H679">
        <v>4</v>
      </c>
    </row>
    <row r="680" spans="6:8" x14ac:dyDescent="0.25">
      <c r="F680" t="s">
        <v>1651</v>
      </c>
      <c r="G680" t="s">
        <v>2068</v>
      </c>
      <c r="H680">
        <v>1</v>
      </c>
    </row>
    <row r="681" spans="6:8" x14ac:dyDescent="0.25">
      <c r="F681" t="s">
        <v>37</v>
      </c>
      <c r="G681" t="s">
        <v>2068</v>
      </c>
      <c r="H681">
        <v>1</v>
      </c>
    </row>
    <row r="682" spans="6:8" x14ac:dyDescent="0.25">
      <c r="F682" t="s">
        <v>0</v>
      </c>
      <c r="G682" t="s">
        <v>2068</v>
      </c>
      <c r="H682">
        <v>2</v>
      </c>
    </row>
    <row r="683" spans="6:8" x14ac:dyDescent="0.25">
      <c r="F683" t="s">
        <v>514</v>
      </c>
      <c r="G683" t="s">
        <v>2068</v>
      </c>
      <c r="H683">
        <v>2</v>
      </c>
    </row>
    <row r="684" spans="6:8" x14ac:dyDescent="0.25">
      <c r="F684" t="s">
        <v>2043</v>
      </c>
      <c r="G684" t="s">
        <v>2068</v>
      </c>
      <c r="H684">
        <v>1</v>
      </c>
    </row>
    <row r="685" spans="6:8" x14ac:dyDescent="0.25">
      <c r="F685" t="s">
        <v>897</v>
      </c>
      <c r="G685" t="s">
        <v>2068</v>
      </c>
      <c r="H685">
        <v>1</v>
      </c>
    </row>
    <row r="686" spans="6:8" x14ac:dyDescent="0.25">
      <c r="F686" t="s">
        <v>1386</v>
      </c>
      <c r="G686" t="s">
        <v>2068</v>
      </c>
      <c r="H686">
        <v>1</v>
      </c>
    </row>
    <row r="687" spans="6:8" x14ac:dyDescent="0.25">
      <c r="F687" t="s">
        <v>1669</v>
      </c>
      <c r="G687" t="s">
        <v>2068</v>
      </c>
      <c r="H687">
        <v>2</v>
      </c>
    </row>
    <row r="688" spans="6:8" x14ac:dyDescent="0.25">
      <c r="F688" t="s">
        <v>1672</v>
      </c>
      <c r="G688" t="s">
        <v>2068</v>
      </c>
      <c r="H688">
        <v>1</v>
      </c>
    </row>
    <row r="689" spans="6:8" x14ac:dyDescent="0.25">
      <c r="F689" t="s">
        <v>1675</v>
      </c>
      <c r="G689" t="s">
        <v>2068</v>
      </c>
      <c r="H689">
        <v>4</v>
      </c>
    </row>
    <row r="690" spans="6:8" x14ac:dyDescent="0.25">
      <c r="F690" t="s">
        <v>1681</v>
      </c>
      <c r="G690" t="s">
        <v>2068</v>
      </c>
      <c r="H690">
        <v>2</v>
      </c>
    </row>
    <row r="691" spans="6:8" x14ac:dyDescent="0.25">
      <c r="F691" t="s">
        <v>1679</v>
      </c>
      <c r="G691" t="s">
        <v>2068</v>
      </c>
      <c r="H691">
        <v>1</v>
      </c>
    </row>
    <row r="692" spans="6:8" x14ac:dyDescent="0.25">
      <c r="F692" t="s">
        <v>1684</v>
      </c>
      <c r="G692" t="s">
        <v>2068</v>
      </c>
      <c r="H692">
        <v>4</v>
      </c>
    </row>
    <row r="693" spans="6:8" x14ac:dyDescent="0.25">
      <c r="F693" t="s">
        <v>771</v>
      </c>
      <c r="G693" t="s">
        <v>2068</v>
      </c>
      <c r="H693">
        <v>2</v>
      </c>
    </row>
    <row r="694" spans="6:8" x14ac:dyDescent="0.25">
      <c r="F694" t="s">
        <v>1690</v>
      </c>
      <c r="G694" t="s">
        <v>2068</v>
      </c>
      <c r="H694">
        <v>5</v>
      </c>
    </row>
    <row r="695" spans="6:8" x14ac:dyDescent="0.25">
      <c r="F695" t="s">
        <v>65</v>
      </c>
      <c r="G695" t="s">
        <v>2068</v>
      </c>
      <c r="H695">
        <v>1</v>
      </c>
    </row>
    <row r="696" spans="6:8" x14ac:dyDescent="0.25">
      <c r="F696" t="s">
        <v>117</v>
      </c>
      <c r="G696" t="s">
        <v>2068</v>
      </c>
      <c r="H696">
        <v>2</v>
      </c>
    </row>
    <row r="697" spans="6:8" x14ac:dyDescent="0.25">
      <c r="F697" t="s">
        <v>1692</v>
      </c>
      <c r="G697" t="s">
        <v>2068</v>
      </c>
      <c r="H697">
        <v>2</v>
      </c>
    </row>
    <row r="698" spans="6:8" x14ac:dyDescent="0.25">
      <c r="F698" t="s">
        <v>1697</v>
      </c>
      <c r="G698" t="s">
        <v>2068</v>
      </c>
      <c r="H698">
        <v>3</v>
      </c>
    </row>
    <row r="699" spans="6:8" x14ac:dyDescent="0.25">
      <c r="F699" t="s">
        <v>531</v>
      </c>
      <c r="G699" t="s">
        <v>2068</v>
      </c>
      <c r="H699">
        <v>2</v>
      </c>
    </row>
    <row r="700" spans="6:8" x14ac:dyDescent="0.25">
      <c r="F700" t="s">
        <v>1712</v>
      </c>
      <c r="G700" t="s">
        <v>2068</v>
      </c>
      <c r="H700">
        <v>1</v>
      </c>
    </row>
    <row r="701" spans="6:8" x14ac:dyDescent="0.25">
      <c r="F701" t="s">
        <v>902</v>
      </c>
      <c r="G701" t="s">
        <v>2068</v>
      </c>
      <c r="H701">
        <v>2</v>
      </c>
    </row>
    <row r="702" spans="6:8" x14ac:dyDescent="0.25">
      <c r="F702" t="s">
        <v>1710</v>
      </c>
      <c r="G702" t="s">
        <v>2068</v>
      </c>
      <c r="H702">
        <v>7</v>
      </c>
    </row>
    <row r="703" spans="6:8" x14ac:dyDescent="0.25">
      <c r="F703" t="s">
        <v>1708</v>
      </c>
      <c r="G703" t="s">
        <v>2068</v>
      </c>
      <c r="H703">
        <v>4</v>
      </c>
    </row>
    <row r="704" spans="6:8" x14ac:dyDescent="0.25">
      <c r="F704" t="s">
        <v>467</v>
      </c>
      <c r="G704" t="s">
        <v>2068</v>
      </c>
      <c r="H704">
        <v>2</v>
      </c>
    </row>
    <row r="705" spans="6:8" x14ac:dyDescent="0.25">
      <c r="F705" t="s">
        <v>1706</v>
      </c>
      <c r="G705" t="s">
        <v>2068</v>
      </c>
      <c r="H705">
        <v>1</v>
      </c>
    </row>
    <row r="706" spans="6:8" x14ac:dyDescent="0.25">
      <c r="F706" t="s">
        <v>1699</v>
      </c>
      <c r="G706" t="s">
        <v>2068</v>
      </c>
      <c r="H706">
        <v>1</v>
      </c>
    </row>
    <row r="707" spans="6:8" x14ac:dyDescent="0.25">
      <c r="F707" t="s">
        <v>465</v>
      </c>
      <c r="G707" t="s">
        <v>2068</v>
      </c>
      <c r="H707">
        <v>2</v>
      </c>
    </row>
    <row r="708" spans="6:8" x14ac:dyDescent="0.25">
      <c r="F708" t="s">
        <v>1731</v>
      </c>
      <c r="G708" t="s">
        <v>2068</v>
      </c>
      <c r="H708">
        <v>2</v>
      </c>
    </row>
    <row r="709" spans="6:8" x14ac:dyDescent="0.25">
      <c r="F709" t="s">
        <v>702</v>
      </c>
      <c r="G709" t="s">
        <v>2068</v>
      </c>
      <c r="H709">
        <v>2</v>
      </c>
    </row>
    <row r="710" spans="6:8" x14ac:dyDescent="0.25">
      <c r="F710" t="s">
        <v>640</v>
      </c>
      <c r="G710" t="s">
        <v>2068</v>
      </c>
      <c r="H710">
        <v>2</v>
      </c>
    </row>
    <row r="711" spans="6:8" x14ac:dyDescent="0.25">
      <c r="F711" t="s">
        <v>1717</v>
      </c>
      <c r="G711" t="s">
        <v>2068</v>
      </c>
      <c r="H711">
        <v>6</v>
      </c>
    </row>
    <row r="712" spans="6:8" x14ac:dyDescent="0.25">
      <c r="F712" t="s">
        <v>665</v>
      </c>
      <c r="G712" t="s">
        <v>2068</v>
      </c>
      <c r="H712">
        <v>1</v>
      </c>
    </row>
    <row r="713" spans="6:8" x14ac:dyDescent="0.25">
      <c r="F713" t="s">
        <v>1426</v>
      </c>
      <c r="G713" t="s">
        <v>2068</v>
      </c>
      <c r="H713">
        <v>1</v>
      </c>
    </row>
    <row r="714" spans="6:8" x14ac:dyDescent="0.25">
      <c r="F714" t="s">
        <v>545</v>
      </c>
      <c r="G714" t="s">
        <v>2068</v>
      </c>
      <c r="H714">
        <v>3</v>
      </c>
    </row>
    <row r="715" spans="6:8" x14ac:dyDescent="0.25">
      <c r="F715" t="s">
        <v>848</v>
      </c>
      <c r="G715" t="s">
        <v>2068</v>
      </c>
      <c r="H715">
        <v>1</v>
      </c>
    </row>
    <row r="716" spans="6:8" x14ac:dyDescent="0.25">
      <c r="F716" t="s">
        <v>1724</v>
      </c>
      <c r="G716" t="s">
        <v>2068</v>
      </c>
      <c r="H716">
        <v>2</v>
      </c>
    </row>
    <row r="717" spans="6:8" x14ac:dyDescent="0.25">
      <c r="F717" t="s">
        <v>1727</v>
      </c>
      <c r="G717" t="s">
        <v>2068</v>
      </c>
      <c r="H717">
        <v>1</v>
      </c>
    </row>
    <row r="718" spans="6:8" x14ac:dyDescent="0.25">
      <c r="F718" t="s">
        <v>1704</v>
      </c>
      <c r="G718" t="s">
        <v>2068</v>
      </c>
      <c r="H718">
        <v>2</v>
      </c>
    </row>
    <row r="719" spans="6:8" x14ac:dyDescent="0.25">
      <c r="F719" t="s">
        <v>129</v>
      </c>
      <c r="G719" t="s">
        <v>2068</v>
      </c>
      <c r="H719">
        <v>3</v>
      </c>
    </row>
    <row r="720" spans="6:8" x14ac:dyDescent="0.25">
      <c r="F720" t="s">
        <v>228</v>
      </c>
      <c r="G720" t="s">
        <v>2068</v>
      </c>
      <c r="H720">
        <v>1</v>
      </c>
    </row>
    <row r="721" spans="6:8" x14ac:dyDescent="0.25">
      <c r="F721" t="s">
        <v>107</v>
      </c>
      <c r="G721" t="s">
        <v>2068</v>
      </c>
      <c r="H721">
        <v>1</v>
      </c>
    </row>
    <row r="722" spans="6:8" x14ac:dyDescent="0.25">
      <c r="F722" t="s">
        <v>1151</v>
      </c>
      <c r="G722" t="s">
        <v>2068</v>
      </c>
      <c r="H722">
        <v>4</v>
      </c>
    </row>
    <row r="723" spans="6:8" x14ac:dyDescent="0.25">
      <c r="F723" t="s">
        <v>490</v>
      </c>
      <c r="G723" t="s">
        <v>2068</v>
      </c>
      <c r="H723">
        <v>2</v>
      </c>
    </row>
    <row r="724" spans="6:8" x14ac:dyDescent="0.25">
      <c r="F724" t="s">
        <v>250</v>
      </c>
      <c r="G724" t="s">
        <v>2068</v>
      </c>
      <c r="H724">
        <v>4</v>
      </c>
    </row>
    <row r="725" spans="6:8" x14ac:dyDescent="0.25">
      <c r="F725" t="s">
        <v>1748</v>
      </c>
      <c r="G725" t="s">
        <v>2068</v>
      </c>
      <c r="H725">
        <v>1</v>
      </c>
    </row>
    <row r="726" spans="6:8" x14ac:dyDescent="0.25">
      <c r="F726" t="s">
        <v>561</v>
      </c>
      <c r="G726" t="s">
        <v>2068</v>
      </c>
      <c r="H726">
        <v>1</v>
      </c>
    </row>
    <row r="727" spans="6:8" x14ac:dyDescent="0.25">
      <c r="F727" t="s">
        <v>1751</v>
      </c>
      <c r="G727" t="s">
        <v>2068</v>
      </c>
      <c r="H727">
        <v>2</v>
      </c>
    </row>
    <row r="728" spans="6:8" x14ac:dyDescent="0.25">
      <c r="F728" t="s">
        <v>1762</v>
      </c>
      <c r="G728" t="s">
        <v>2070</v>
      </c>
      <c r="H728">
        <v>1</v>
      </c>
    </row>
    <row r="729" spans="6:8" x14ac:dyDescent="0.25">
      <c r="F729" t="s">
        <v>41</v>
      </c>
      <c r="G729" t="s">
        <v>2070</v>
      </c>
      <c r="H729">
        <v>12</v>
      </c>
    </row>
    <row r="730" spans="6:8" x14ac:dyDescent="0.25">
      <c r="F730" t="s">
        <v>84</v>
      </c>
      <c r="G730" t="s">
        <v>2070</v>
      </c>
      <c r="H730">
        <v>5</v>
      </c>
    </row>
    <row r="731" spans="6:8" x14ac:dyDescent="0.25">
      <c r="F731" t="s">
        <v>225</v>
      </c>
      <c r="G731" t="s">
        <v>2070</v>
      </c>
      <c r="H731">
        <v>1</v>
      </c>
    </row>
    <row r="732" spans="6:8" x14ac:dyDescent="0.25">
      <c r="F732" t="s">
        <v>545</v>
      </c>
      <c r="G732" t="s">
        <v>2070</v>
      </c>
      <c r="H732">
        <v>2</v>
      </c>
    </row>
    <row r="733" spans="6:8" x14ac:dyDescent="0.25">
      <c r="F733" t="s">
        <v>465</v>
      </c>
      <c r="G733" t="s">
        <v>2070</v>
      </c>
      <c r="H733">
        <v>2</v>
      </c>
    </row>
    <row r="734" spans="6:8" x14ac:dyDescent="0.25">
      <c r="F734" t="s">
        <v>543</v>
      </c>
      <c r="G734" t="s">
        <v>2070</v>
      </c>
      <c r="H734">
        <v>2</v>
      </c>
    </row>
    <row r="735" spans="6:8" x14ac:dyDescent="0.25">
      <c r="F735" t="s">
        <v>68</v>
      </c>
      <c r="G735" t="s">
        <v>2070</v>
      </c>
      <c r="H735">
        <v>12</v>
      </c>
    </row>
    <row r="736" spans="6:8" x14ac:dyDescent="0.25">
      <c r="F736" t="s">
        <v>1777</v>
      </c>
      <c r="G736" t="s">
        <v>2070</v>
      </c>
      <c r="H736">
        <v>2</v>
      </c>
    </row>
    <row r="737" spans="6:8" x14ac:dyDescent="0.25">
      <c r="F737" t="s">
        <v>306</v>
      </c>
      <c r="G737" t="s">
        <v>2070</v>
      </c>
      <c r="H737">
        <v>6</v>
      </c>
    </row>
    <row r="738" spans="6:8" x14ac:dyDescent="0.25">
      <c r="F738" t="s">
        <v>144</v>
      </c>
      <c r="G738" t="s">
        <v>2070</v>
      </c>
      <c r="H738">
        <v>7</v>
      </c>
    </row>
    <row r="739" spans="6:8" x14ac:dyDescent="0.25">
      <c r="F739" t="s">
        <v>1776</v>
      </c>
      <c r="G739" t="s">
        <v>2070</v>
      </c>
      <c r="H739">
        <v>4</v>
      </c>
    </row>
    <row r="740" spans="6:8" x14ac:dyDescent="0.25">
      <c r="F740" t="s">
        <v>183</v>
      </c>
      <c r="G740" t="s">
        <v>2070</v>
      </c>
      <c r="H740">
        <v>1</v>
      </c>
    </row>
    <row r="741" spans="6:8" x14ac:dyDescent="0.25">
      <c r="F741" t="s">
        <v>125</v>
      </c>
      <c r="G741" t="s">
        <v>2070</v>
      </c>
      <c r="H741">
        <v>1</v>
      </c>
    </row>
    <row r="742" spans="6:8" x14ac:dyDescent="0.25">
      <c r="F742" t="s">
        <v>1479</v>
      </c>
      <c r="G742" t="s">
        <v>2070</v>
      </c>
      <c r="H742">
        <v>1</v>
      </c>
    </row>
    <row r="743" spans="6:8" x14ac:dyDescent="0.25">
      <c r="F743" t="s">
        <v>252</v>
      </c>
      <c r="G743" t="s">
        <v>2070</v>
      </c>
      <c r="H743">
        <v>1</v>
      </c>
    </row>
    <row r="744" spans="6:8" x14ac:dyDescent="0.25">
      <c r="F744" t="s">
        <v>1684</v>
      </c>
      <c r="G744" t="s">
        <v>2070</v>
      </c>
      <c r="H744">
        <v>2</v>
      </c>
    </row>
    <row r="745" spans="6:8" x14ac:dyDescent="0.25">
      <c r="F745" t="s">
        <v>204</v>
      </c>
      <c r="G745" t="s">
        <v>2070</v>
      </c>
      <c r="H745">
        <v>4</v>
      </c>
    </row>
    <row r="746" spans="6:8" x14ac:dyDescent="0.25">
      <c r="F746" t="s">
        <v>1379</v>
      </c>
      <c r="G746" t="s">
        <v>2070</v>
      </c>
      <c r="H746">
        <v>1</v>
      </c>
    </row>
    <row r="747" spans="6:8" x14ac:dyDescent="0.25">
      <c r="F747" t="s">
        <v>293</v>
      </c>
      <c r="G747" t="s">
        <v>2070</v>
      </c>
      <c r="H747">
        <v>1</v>
      </c>
    </row>
    <row r="748" spans="6:8" x14ac:dyDescent="0.25">
      <c r="F748" t="s">
        <v>74</v>
      </c>
      <c r="G748" t="s">
        <v>2070</v>
      </c>
      <c r="H748">
        <v>8</v>
      </c>
    </row>
    <row r="749" spans="6:8" x14ac:dyDescent="0.25">
      <c r="F749" t="s">
        <v>1767</v>
      </c>
      <c r="G749" t="s">
        <v>2070</v>
      </c>
      <c r="H749">
        <v>2</v>
      </c>
    </row>
    <row r="750" spans="6:8" x14ac:dyDescent="0.25">
      <c r="F750" t="s">
        <v>1771</v>
      </c>
      <c r="G750" t="s">
        <v>2070</v>
      </c>
      <c r="H750">
        <v>1</v>
      </c>
    </row>
    <row r="751" spans="6:8" x14ac:dyDescent="0.25">
      <c r="F751" t="s">
        <v>652</v>
      </c>
      <c r="G751" t="s">
        <v>2070</v>
      </c>
      <c r="H751">
        <v>1</v>
      </c>
    </row>
    <row r="752" spans="6:8" x14ac:dyDescent="0.25">
      <c r="F752" t="s">
        <v>336</v>
      </c>
      <c r="G752" t="s">
        <v>2070</v>
      </c>
      <c r="H752">
        <v>3</v>
      </c>
    </row>
    <row r="753" spans="6:8" x14ac:dyDescent="0.25">
      <c r="F753" t="s">
        <v>152</v>
      </c>
      <c r="G753" t="s">
        <v>2070</v>
      </c>
      <c r="H753">
        <v>3</v>
      </c>
    </row>
    <row r="754" spans="6:8" x14ac:dyDescent="0.25">
      <c r="F754" t="s">
        <v>538</v>
      </c>
      <c r="G754" t="s">
        <v>2070</v>
      </c>
      <c r="H754">
        <v>4</v>
      </c>
    </row>
    <row r="755" spans="6:8" x14ac:dyDescent="0.25">
      <c r="F755" t="s">
        <v>1788</v>
      </c>
      <c r="G755" t="s">
        <v>2070</v>
      </c>
      <c r="H755">
        <v>2</v>
      </c>
    </row>
    <row r="756" spans="6:8" x14ac:dyDescent="0.25">
      <c r="F756" t="s">
        <v>46</v>
      </c>
      <c r="G756" t="s">
        <v>2070</v>
      </c>
      <c r="H756">
        <v>2</v>
      </c>
    </row>
    <row r="757" spans="6:8" x14ac:dyDescent="0.25">
      <c r="F757" t="s">
        <v>1786</v>
      </c>
      <c r="G757" t="s">
        <v>2070</v>
      </c>
      <c r="H757">
        <v>3</v>
      </c>
    </row>
    <row r="758" spans="6:8" x14ac:dyDescent="0.25">
      <c r="F758" t="s">
        <v>1784</v>
      </c>
      <c r="G758" t="s">
        <v>2070</v>
      </c>
      <c r="H758">
        <v>1</v>
      </c>
    </row>
    <row r="759" spans="6:8" x14ac:dyDescent="0.25">
      <c r="F759" t="s">
        <v>1789</v>
      </c>
      <c r="G759" t="s">
        <v>2070</v>
      </c>
      <c r="H759">
        <v>2</v>
      </c>
    </row>
    <row r="760" spans="6:8" x14ac:dyDescent="0.25">
      <c r="F760" t="s">
        <v>820</v>
      </c>
      <c r="G760" t="s">
        <v>2070</v>
      </c>
      <c r="H760">
        <v>1</v>
      </c>
    </row>
    <row r="761" spans="6:8" x14ac:dyDescent="0.25">
      <c r="F761" t="s">
        <v>107</v>
      </c>
      <c r="G761" t="s">
        <v>2070</v>
      </c>
      <c r="H761">
        <v>4</v>
      </c>
    </row>
    <row r="762" spans="6:8" x14ac:dyDescent="0.25">
      <c r="F762" t="s">
        <v>458</v>
      </c>
      <c r="G762" t="s">
        <v>2070</v>
      </c>
      <c r="H762">
        <v>5</v>
      </c>
    </row>
    <row r="763" spans="6:8" x14ac:dyDescent="0.25">
      <c r="F763" t="s">
        <v>806</v>
      </c>
      <c r="G763" t="s">
        <v>2070</v>
      </c>
      <c r="H763">
        <v>3</v>
      </c>
    </row>
    <row r="764" spans="6:8" x14ac:dyDescent="0.25">
      <c r="F764" t="s">
        <v>43</v>
      </c>
      <c r="G764" t="s">
        <v>2070</v>
      </c>
      <c r="H764">
        <v>4</v>
      </c>
    </row>
    <row r="765" spans="6:8" x14ac:dyDescent="0.25">
      <c r="F765" t="s">
        <v>860</v>
      </c>
      <c r="G765" t="s">
        <v>2070</v>
      </c>
      <c r="H765">
        <v>2</v>
      </c>
    </row>
    <row r="766" spans="6:8" x14ac:dyDescent="0.25">
      <c r="F766" t="s">
        <v>973</v>
      </c>
      <c r="G766" t="s">
        <v>2070</v>
      </c>
      <c r="H766">
        <v>1</v>
      </c>
    </row>
    <row r="767" spans="6:8" x14ac:dyDescent="0.25">
      <c r="F767" t="s">
        <v>580</v>
      </c>
      <c r="G767" t="s">
        <v>2070</v>
      </c>
      <c r="H767">
        <v>5</v>
      </c>
    </row>
    <row r="768" spans="6:8" x14ac:dyDescent="0.25">
      <c r="F768" t="s">
        <v>208</v>
      </c>
      <c r="G768" t="s">
        <v>2070</v>
      </c>
      <c r="H768">
        <v>2</v>
      </c>
    </row>
    <row r="769" spans="6:8" x14ac:dyDescent="0.25">
      <c r="F769" t="s">
        <v>123</v>
      </c>
      <c r="G769" t="s">
        <v>2070</v>
      </c>
      <c r="H769">
        <v>2</v>
      </c>
    </row>
    <row r="770" spans="6:8" x14ac:dyDescent="0.25">
      <c r="F770" t="s">
        <v>65</v>
      </c>
      <c r="G770" t="s">
        <v>2070</v>
      </c>
      <c r="H770">
        <v>2</v>
      </c>
    </row>
    <row r="771" spans="6:8" x14ac:dyDescent="0.25">
      <c r="F771" t="s">
        <v>1419</v>
      </c>
      <c r="G771" t="s">
        <v>2070</v>
      </c>
      <c r="H771">
        <v>2</v>
      </c>
    </row>
    <row r="772" spans="6:8" x14ac:dyDescent="0.25">
      <c r="F772" t="s">
        <v>54</v>
      </c>
      <c r="G772" t="s">
        <v>2070</v>
      </c>
      <c r="H772">
        <v>1</v>
      </c>
    </row>
    <row r="773" spans="6:8" x14ac:dyDescent="0.25">
      <c r="F773" t="s">
        <v>218</v>
      </c>
      <c r="G773" t="s">
        <v>2070</v>
      </c>
      <c r="H773">
        <v>5</v>
      </c>
    </row>
    <row r="774" spans="6:8" x14ac:dyDescent="0.25">
      <c r="F774" t="s">
        <v>0</v>
      </c>
      <c r="G774" t="s">
        <v>2070</v>
      </c>
      <c r="H774">
        <v>3</v>
      </c>
    </row>
    <row r="775" spans="6:8" x14ac:dyDescent="0.25">
      <c r="F775" t="s">
        <v>1795</v>
      </c>
      <c r="G775" t="s">
        <v>2070</v>
      </c>
      <c r="H775">
        <v>2</v>
      </c>
    </row>
    <row r="776" spans="6:8" x14ac:dyDescent="0.25">
      <c r="F776" t="s">
        <v>631</v>
      </c>
      <c r="G776" t="s">
        <v>2070</v>
      </c>
      <c r="H776">
        <v>1</v>
      </c>
    </row>
    <row r="777" spans="6:8" x14ac:dyDescent="0.25">
      <c r="F777" t="s">
        <v>339</v>
      </c>
      <c r="G777" t="s">
        <v>2070</v>
      </c>
      <c r="H777">
        <v>2</v>
      </c>
    </row>
    <row r="778" spans="6:8" x14ac:dyDescent="0.25">
      <c r="F778" t="s">
        <v>1807</v>
      </c>
      <c r="G778" t="s">
        <v>2070</v>
      </c>
      <c r="H778">
        <v>2</v>
      </c>
    </row>
    <row r="779" spans="6:8" x14ac:dyDescent="0.25">
      <c r="F779" t="s">
        <v>1592</v>
      </c>
      <c r="G779" t="s">
        <v>2070</v>
      </c>
      <c r="H779">
        <v>1</v>
      </c>
    </row>
    <row r="780" spans="6:8" x14ac:dyDescent="0.25">
      <c r="F780" t="s">
        <v>354</v>
      </c>
      <c r="G780" t="s">
        <v>2070</v>
      </c>
      <c r="H780">
        <v>1</v>
      </c>
    </row>
    <row r="781" spans="6:8" x14ac:dyDescent="0.25">
      <c r="F781" t="s">
        <v>848</v>
      </c>
      <c r="G781" t="s">
        <v>2070</v>
      </c>
      <c r="H781">
        <v>3</v>
      </c>
    </row>
    <row r="782" spans="6:8" x14ac:dyDescent="0.25">
      <c r="F782" t="s">
        <v>115</v>
      </c>
      <c r="G782" t="s">
        <v>2070</v>
      </c>
      <c r="H782">
        <v>13</v>
      </c>
    </row>
    <row r="783" spans="6:8" x14ac:dyDescent="0.25">
      <c r="F783" t="s">
        <v>895</v>
      </c>
      <c r="G783" t="s">
        <v>2070</v>
      </c>
      <c r="H783">
        <v>1</v>
      </c>
    </row>
    <row r="784" spans="6:8" x14ac:dyDescent="0.25">
      <c r="F784" t="s">
        <v>626</v>
      </c>
      <c r="G784" t="s">
        <v>2070</v>
      </c>
      <c r="H784">
        <v>1</v>
      </c>
    </row>
    <row r="785" spans="6:8" x14ac:dyDescent="0.25">
      <c r="F785" t="s">
        <v>1804</v>
      </c>
      <c r="G785" t="s">
        <v>2070</v>
      </c>
      <c r="H785">
        <v>1</v>
      </c>
    </row>
    <row r="786" spans="6:8" x14ac:dyDescent="0.25">
      <c r="F786" t="s">
        <v>456</v>
      </c>
      <c r="G786" t="s">
        <v>2070</v>
      </c>
      <c r="H786">
        <v>2</v>
      </c>
    </row>
    <row r="787" spans="6:8" x14ac:dyDescent="0.25">
      <c r="F787" t="s">
        <v>698</v>
      </c>
      <c r="G787" t="s">
        <v>2070</v>
      </c>
      <c r="H787">
        <v>1</v>
      </c>
    </row>
    <row r="788" spans="6:8" x14ac:dyDescent="0.25">
      <c r="F788" t="s">
        <v>1020</v>
      </c>
      <c r="G788" t="s">
        <v>2070</v>
      </c>
      <c r="H788">
        <v>1</v>
      </c>
    </row>
    <row r="789" spans="6:8" x14ac:dyDescent="0.25">
      <c r="F789" t="s">
        <v>212</v>
      </c>
      <c r="G789" t="s">
        <v>2070</v>
      </c>
      <c r="H789">
        <v>3</v>
      </c>
    </row>
    <row r="790" spans="6:8" x14ac:dyDescent="0.25">
      <c r="F790" t="s">
        <v>187</v>
      </c>
      <c r="G790" t="s">
        <v>2070</v>
      </c>
      <c r="H790">
        <v>7</v>
      </c>
    </row>
    <row r="791" spans="6:8" x14ac:dyDescent="0.25">
      <c r="F791" t="s">
        <v>111</v>
      </c>
      <c r="G791" t="s">
        <v>2070</v>
      </c>
      <c r="H791">
        <v>1</v>
      </c>
    </row>
    <row r="792" spans="6:8" x14ac:dyDescent="0.25">
      <c r="F792" t="s">
        <v>1830</v>
      </c>
      <c r="G792" t="s">
        <v>2070</v>
      </c>
      <c r="H792">
        <v>1</v>
      </c>
    </row>
    <row r="793" spans="6:8" x14ac:dyDescent="0.25">
      <c r="F793" t="s">
        <v>37</v>
      </c>
      <c r="G793" t="s">
        <v>2070</v>
      </c>
      <c r="H793">
        <v>2</v>
      </c>
    </row>
    <row r="794" spans="6:8" x14ac:dyDescent="0.25">
      <c r="F794" t="s">
        <v>138</v>
      </c>
      <c r="G794" t="s">
        <v>2070</v>
      </c>
      <c r="H794">
        <v>3</v>
      </c>
    </row>
    <row r="795" spans="6:8" x14ac:dyDescent="0.25">
      <c r="F795" t="s">
        <v>2057</v>
      </c>
      <c r="G795" t="s">
        <v>2070</v>
      </c>
      <c r="H795">
        <v>1</v>
      </c>
    </row>
    <row r="796" spans="6:8" x14ac:dyDescent="0.25">
      <c r="F796" t="s">
        <v>816</v>
      </c>
      <c r="G796" t="s">
        <v>2070</v>
      </c>
      <c r="H796">
        <v>1</v>
      </c>
    </row>
    <row r="797" spans="6:8" x14ac:dyDescent="0.25">
      <c r="F797" t="s">
        <v>1630</v>
      </c>
      <c r="G797" t="s">
        <v>2070</v>
      </c>
      <c r="H797">
        <v>1</v>
      </c>
    </row>
    <row r="798" spans="6:8" x14ac:dyDescent="0.25">
      <c r="F798" t="s">
        <v>1846</v>
      </c>
      <c r="G798" t="s">
        <v>2070</v>
      </c>
      <c r="H798">
        <v>3</v>
      </c>
    </row>
    <row r="799" spans="6:8" x14ac:dyDescent="0.25">
      <c r="F799" t="s">
        <v>1840</v>
      </c>
      <c r="G799" t="s">
        <v>2070</v>
      </c>
      <c r="H799">
        <v>1</v>
      </c>
    </row>
    <row r="800" spans="6:8" x14ac:dyDescent="0.25">
      <c r="F800" t="s">
        <v>1838</v>
      </c>
      <c r="G800" t="s">
        <v>2070</v>
      </c>
      <c r="H800">
        <v>5</v>
      </c>
    </row>
    <row r="801" spans="6:8" x14ac:dyDescent="0.25">
      <c r="F801" t="s">
        <v>1218</v>
      </c>
      <c r="G801" t="s">
        <v>2070</v>
      </c>
      <c r="H801">
        <v>1</v>
      </c>
    </row>
    <row r="802" spans="6:8" x14ac:dyDescent="0.25">
      <c r="F802" t="s">
        <v>1836</v>
      </c>
      <c r="G802" t="s">
        <v>2070</v>
      </c>
      <c r="H802">
        <v>1</v>
      </c>
    </row>
    <row r="803" spans="6:8" x14ac:dyDescent="0.25">
      <c r="F803" t="s">
        <v>48</v>
      </c>
      <c r="G803" t="s">
        <v>2070</v>
      </c>
      <c r="H803">
        <v>1</v>
      </c>
    </row>
    <row r="804" spans="6:8" x14ac:dyDescent="0.25">
      <c r="F804" t="s">
        <v>1309</v>
      </c>
      <c r="G804" t="s">
        <v>2070</v>
      </c>
      <c r="H804">
        <v>3</v>
      </c>
    </row>
    <row r="805" spans="6:8" x14ac:dyDescent="0.25">
      <c r="F805" t="s">
        <v>1844</v>
      </c>
      <c r="G805" t="s">
        <v>2070</v>
      </c>
      <c r="H805">
        <v>1</v>
      </c>
    </row>
    <row r="806" spans="6:8" x14ac:dyDescent="0.25">
      <c r="F806" t="s">
        <v>82</v>
      </c>
      <c r="G806" t="s">
        <v>2070</v>
      </c>
      <c r="H806">
        <v>2</v>
      </c>
    </row>
    <row r="807" spans="6:8" x14ac:dyDescent="0.25">
      <c r="F807" t="s">
        <v>1853</v>
      </c>
      <c r="G807" t="s">
        <v>2070</v>
      </c>
      <c r="H807">
        <v>1</v>
      </c>
    </row>
    <row r="808" spans="6:8" x14ac:dyDescent="0.25">
      <c r="F808" t="s">
        <v>1855</v>
      </c>
      <c r="G808" t="s">
        <v>2070</v>
      </c>
      <c r="H808">
        <v>2</v>
      </c>
    </row>
    <row r="809" spans="6:8" x14ac:dyDescent="0.25">
      <c r="F809" t="s">
        <v>425</v>
      </c>
      <c r="G809" t="s">
        <v>2070</v>
      </c>
      <c r="H809">
        <v>6</v>
      </c>
    </row>
    <row r="810" spans="6:8" x14ac:dyDescent="0.25">
      <c r="F810" t="s">
        <v>119</v>
      </c>
      <c r="G810" t="s">
        <v>2070</v>
      </c>
      <c r="H810">
        <v>1</v>
      </c>
    </row>
    <row r="811" spans="6:8" x14ac:dyDescent="0.25">
      <c r="F811" t="s">
        <v>1815</v>
      </c>
      <c r="G811" t="s">
        <v>2070</v>
      </c>
      <c r="H811">
        <v>1</v>
      </c>
    </row>
    <row r="812" spans="6:8" x14ac:dyDescent="0.25">
      <c r="F812" t="s">
        <v>1856</v>
      </c>
      <c r="G812" t="s">
        <v>2070</v>
      </c>
      <c r="H812">
        <v>1</v>
      </c>
    </row>
    <row r="813" spans="6:8" x14ac:dyDescent="0.25">
      <c r="F813" t="s">
        <v>56</v>
      </c>
      <c r="G813" t="s">
        <v>2070</v>
      </c>
      <c r="H813">
        <v>3</v>
      </c>
    </row>
    <row r="814" spans="6:8" x14ac:dyDescent="0.25">
      <c r="F814" t="s">
        <v>88</v>
      </c>
      <c r="G814" t="s">
        <v>2070</v>
      </c>
      <c r="H814">
        <v>1</v>
      </c>
    </row>
    <row r="815" spans="6:8" x14ac:dyDescent="0.25">
      <c r="F815" t="s">
        <v>70</v>
      </c>
      <c r="G815" t="s">
        <v>2070</v>
      </c>
      <c r="H815">
        <v>1</v>
      </c>
    </row>
    <row r="816" spans="6:8" x14ac:dyDescent="0.25">
      <c r="F816" t="s">
        <v>117</v>
      </c>
      <c r="G816" t="s">
        <v>2070</v>
      </c>
      <c r="H816">
        <v>2</v>
      </c>
    </row>
    <row r="817" spans="6:8" x14ac:dyDescent="0.25">
      <c r="F817" t="s">
        <v>174</v>
      </c>
      <c r="G817" t="s">
        <v>2070</v>
      </c>
      <c r="H817">
        <v>1</v>
      </c>
    </row>
    <row r="818" spans="6:8" x14ac:dyDescent="0.25">
      <c r="F818" t="s">
        <v>733</v>
      </c>
      <c r="G818" t="s">
        <v>2070</v>
      </c>
      <c r="H818">
        <v>1</v>
      </c>
    </row>
    <row r="819" spans="6:8" x14ac:dyDescent="0.25">
      <c r="F819" t="s">
        <v>2055</v>
      </c>
      <c r="G819" t="s">
        <v>2070</v>
      </c>
      <c r="H819">
        <v>1</v>
      </c>
    </row>
    <row r="820" spans="6:8" x14ac:dyDescent="0.25">
      <c r="F820" t="s">
        <v>1897</v>
      </c>
      <c r="G820" t="s">
        <v>2070</v>
      </c>
      <c r="H820">
        <v>3</v>
      </c>
    </row>
    <row r="821" spans="6:8" x14ac:dyDescent="0.25">
      <c r="F821" t="s">
        <v>814</v>
      </c>
      <c r="G821" t="s">
        <v>2070</v>
      </c>
      <c r="H821">
        <v>3</v>
      </c>
    </row>
    <row r="822" spans="6:8" x14ac:dyDescent="0.25">
      <c r="F822" t="s">
        <v>2054</v>
      </c>
      <c r="G822" t="s">
        <v>2070</v>
      </c>
      <c r="H822">
        <v>2</v>
      </c>
    </row>
    <row r="823" spans="6:8" x14ac:dyDescent="0.25">
      <c r="F823" t="s">
        <v>1882</v>
      </c>
      <c r="G823" t="s">
        <v>2070</v>
      </c>
      <c r="H823">
        <v>2</v>
      </c>
    </row>
    <row r="824" spans="6:8" x14ac:dyDescent="0.25">
      <c r="F824" t="s">
        <v>1880</v>
      </c>
      <c r="G824" t="s">
        <v>2070</v>
      </c>
      <c r="H824">
        <v>1</v>
      </c>
    </row>
    <row r="825" spans="6:8" x14ac:dyDescent="0.25">
      <c r="F825" t="s">
        <v>2044</v>
      </c>
      <c r="G825" t="s">
        <v>2070</v>
      </c>
      <c r="H825">
        <v>3</v>
      </c>
    </row>
    <row r="826" spans="6:8" x14ac:dyDescent="0.25">
      <c r="F826" t="s">
        <v>1885</v>
      </c>
      <c r="G826" t="s">
        <v>2070</v>
      </c>
      <c r="H826">
        <v>2</v>
      </c>
    </row>
    <row r="827" spans="6:8" x14ac:dyDescent="0.25">
      <c r="F827" t="s">
        <v>32</v>
      </c>
      <c r="G827" t="s">
        <v>2070</v>
      </c>
      <c r="H827">
        <v>2</v>
      </c>
    </row>
    <row r="828" spans="6:8" x14ac:dyDescent="0.25">
      <c r="F828" t="s">
        <v>2059</v>
      </c>
      <c r="G828" t="s">
        <v>2070</v>
      </c>
      <c r="H828">
        <v>1</v>
      </c>
    </row>
    <row r="829" spans="6:8" x14ac:dyDescent="0.25">
      <c r="F829" t="s">
        <v>2049</v>
      </c>
      <c r="G829" t="s">
        <v>2070</v>
      </c>
      <c r="H829">
        <v>1</v>
      </c>
    </row>
    <row r="830" spans="6:8" x14ac:dyDescent="0.25">
      <c r="F830" t="s">
        <v>1334</v>
      </c>
      <c r="G830" t="s">
        <v>2070</v>
      </c>
      <c r="H830">
        <v>1</v>
      </c>
    </row>
    <row r="831" spans="6:8" x14ac:dyDescent="0.25">
      <c r="F831" t="s">
        <v>575</v>
      </c>
      <c r="G831" t="s">
        <v>2070</v>
      </c>
      <c r="H831">
        <v>1</v>
      </c>
    </row>
    <row r="832" spans="6:8" x14ac:dyDescent="0.25">
      <c r="F832" t="s">
        <v>511</v>
      </c>
      <c r="G832" t="s">
        <v>2070</v>
      </c>
      <c r="H832">
        <v>1</v>
      </c>
    </row>
    <row r="833" spans="6:8" x14ac:dyDescent="0.25">
      <c r="F833" t="s">
        <v>480</v>
      </c>
      <c r="G833" t="s">
        <v>2070</v>
      </c>
      <c r="H833">
        <v>2</v>
      </c>
    </row>
    <row r="834" spans="6:8" x14ac:dyDescent="0.25">
      <c r="F834" t="s">
        <v>113</v>
      </c>
      <c r="G834" t="s">
        <v>2070</v>
      </c>
      <c r="H834">
        <v>1</v>
      </c>
    </row>
    <row r="835" spans="6:8" x14ac:dyDescent="0.25">
      <c r="F835" t="s">
        <v>837</v>
      </c>
      <c r="G835" t="s">
        <v>2070</v>
      </c>
      <c r="H835">
        <v>1</v>
      </c>
    </row>
    <row r="836" spans="6:8" x14ac:dyDescent="0.25">
      <c r="F836" t="s">
        <v>1898</v>
      </c>
      <c r="G836" t="s">
        <v>2070</v>
      </c>
      <c r="H836">
        <v>4</v>
      </c>
    </row>
    <row r="837" spans="6:8" x14ac:dyDescent="0.25">
      <c r="F837" t="s">
        <v>979</v>
      </c>
      <c r="G837" t="s">
        <v>2070</v>
      </c>
      <c r="H837">
        <v>1</v>
      </c>
    </row>
    <row r="838" spans="6:8" x14ac:dyDescent="0.25">
      <c r="F838" t="s">
        <v>1905</v>
      </c>
      <c r="G838" t="s">
        <v>2070</v>
      </c>
      <c r="H838">
        <v>1</v>
      </c>
    </row>
    <row r="839" spans="6:8" x14ac:dyDescent="0.25">
      <c r="F839" t="s">
        <v>2060</v>
      </c>
      <c r="G839" t="s">
        <v>2070</v>
      </c>
      <c r="H839">
        <v>1</v>
      </c>
    </row>
    <row r="840" spans="6:8" x14ac:dyDescent="0.25">
      <c r="F840" t="s">
        <v>214</v>
      </c>
      <c r="G840" t="s">
        <v>2070</v>
      </c>
      <c r="H840">
        <v>3</v>
      </c>
    </row>
    <row r="841" spans="6:8" x14ac:dyDescent="0.25">
      <c r="F841" t="s">
        <v>2050</v>
      </c>
      <c r="G841" t="s">
        <v>2070</v>
      </c>
      <c r="H841">
        <v>1</v>
      </c>
    </row>
    <row r="842" spans="6:8" x14ac:dyDescent="0.25">
      <c r="F842" t="s">
        <v>390</v>
      </c>
      <c r="G842" t="s">
        <v>2070</v>
      </c>
      <c r="H842">
        <v>1</v>
      </c>
    </row>
    <row r="843" spans="6:8" x14ac:dyDescent="0.25">
      <c r="F843" t="s">
        <v>1074</v>
      </c>
      <c r="G843" t="s">
        <v>2070</v>
      </c>
      <c r="H843">
        <v>1</v>
      </c>
    </row>
    <row r="844" spans="6:8" x14ac:dyDescent="0.25">
      <c r="F844" t="s">
        <v>2048</v>
      </c>
      <c r="G844" t="s">
        <v>2070</v>
      </c>
      <c r="H844">
        <v>1</v>
      </c>
    </row>
    <row r="845" spans="6:8" x14ac:dyDescent="0.25">
      <c r="F845" t="s">
        <v>1927</v>
      </c>
      <c r="G845" t="s">
        <v>2070</v>
      </c>
      <c r="H845">
        <v>3</v>
      </c>
    </row>
    <row r="846" spans="6:8" x14ac:dyDescent="0.25">
      <c r="F846" t="s">
        <v>712</v>
      </c>
      <c r="G846" t="s">
        <v>2070</v>
      </c>
      <c r="H846">
        <v>1</v>
      </c>
    </row>
    <row r="847" spans="6:8" x14ac:dyDescent="0.25">
      <c r="F847" t="s">
        <v>1933</v>
      </c>
      <c r="G847" t="s">
        <v>2070</v>
      </c>
      <c r="H847">
        <v>1</v>
      </c>
    </row>
    <row r="848" spans="6:8" x14ac:dyDescent="0.25">
      <c r="F848" t="s">
        <v>14</v>
      </c>
      <c r="G848" t="s">
        <v>2070</v>
      </c>
      <c r="H848">
        <v>2</v>
      </c>
    </row>
    <row r="849" spans="6:8" x14ac:dyDescent="0.25">
      <c r="F849" t="s">
        <v>2058</v>
      </c>
      <c r="G849" t="s">
        <v>2070</v>
      </c>
      <c r="H849">
        <v>1</v>
      </c>
    </row>
    <row r="850" spans="6:8" x14ac:dyDescent="0.25">
      <c r="F850" t="s">
        <v>2056</v>
      </c>
      <c r="G850" t="s">
        <v>2070</v>
      </c>
      <c r="H850">
        <v>1</v>
      </c>
    </row>
    <row r="851" spans="6:8" x14ac:dyDescent="0.25">
      <c r="F851" t="s">
        <v>611</v>
      </c>
      <c r="G851" t="s">
        <v>2070</v>
      </c>
      <c r="H851">
        <v>1</v>
      </c>
    </row>
    <row r="852" spans="6:8" x14ac:dyDescent="0.25">
      <c r="F852" t="s">
        <v>1970</v>
      </c>
      <c r="G852" t="s">
        <v>2070</v>
      </c>
      <c r="H852">
        <v>2</v>
      </c>
    </row>
    <row r="853" spans="6:8" x14ac:dyDescent="0.25">
      <c r="F853" t="s">
        <v>161</v>
      </c>
      <c r="G853" t="s">
        <v>2070</v>
      </c>
      <c r="H853">
        <v>1</v>
      </c>
    </row>
    <row r="854" spans="6:8" x14ac:dyDescent="0.25">
      <c r="F854" t="s">
        <v>1620</v>
      </c>
      <c r="G854" t="s">
        <v>2070</v>
      </c>
      <c r="H854">
        <v>2</v>
      </c>
    </row>
    <row r="855" spans="6:8" x14ac:dyDescent="0.25">
      <c r="F855" t="s">
        <v>795</v>
      </c>
      <c r="G855" t="s">
        <v>2070</v>
      </c>
      <c r="H855">
        <v>1</v>
      </c>
    </row>
    <row r="856" spans="6:8" x14ac:dyDescent="0.25">
      <c r="F856" t="s">
        <v>1961</v>
      </c>
      <c r="G856" t="s">
        <v>2070</v>
      </c>
      <c r="H856">
        <v>1</v>
      </c>
    </row>
    <row r="857" spans="6:8" x14ac:dyDescent="0.25">
      <c r="F857" t="s">
        <v>2045</v>
      </c>
      <c r="G857" t="s">
        <v>2070</v>
      </c>
      <c r="H857">
        <v>1</v>
      </c>
    </row>
    <row r="858" spans="6:8" x14ac:dyDescent="0.25">
      <c r="F858" t="s">
        <v>2047</v>
      </c>
      <c r="G858" t="s">
        <v>2070</v>
      </c>
      <c r="H858">
        <v>1</v>
      </c>
    </row>
    <row r="859" spans="6:8" x14ac:dyDescent="0.25">
      <c r="F859" t="s">
        <v>2063</v>
      </c>
      <c r="G859" t="s">
        <v>2070</v>
      </c>
      <c r="H859">
        <v>1</v>
      </c>
    </row>
    <row r="860" spans="6:8" x14ac:dyDescent="0.25">
      <c r="F860" t="s">
        <v>2064</v>
      </c>
      <c r="G860" t="s">
        <v>2070</v>
      </c>
      <c r="H860">
        <v>1</v>
      </c>
    </row>
    <row r="861" spans="6:8" x14ac:dyDescent="0.25">
      <c r="F861" t="s">
        <v>1977</v>
      </c>
      <c r="G861" t="s">
        <v>2070</v>
      </c>
      <c r="H861">
        <v>3</v>
      </c>
    </row>
    <row r="862" spans="6:8" x14ac:dyDescent="0.25">
      <c r="F862" t="s">
        <v>1979</v>
      </c>
      <c r="G862" t="s">
        <v>2070</v>
      </c>
      <c r="H862">
        <v>1</v>
      </c>
    </row>
    <row r="863" spans="6:8" x14ac:dyDescent="0.25">
      <c r="F863" t="s">
        <v>2046</v>
      </c>
      <c r="G863" t="s">
        <v>2070</v>
      </c>
      <c r="H863">
        <v>1</v>
      </c>
    </row>
    <row r="864" spans="6:8" x14ac:dyDescent="0.25">
      <c r="F864" t="s">
        <v>1981</v>
      </c>
      <c r="G864" t="s">
        <v>2070</v>
      </c>
      <c r="H864">
        <v>1</v>
      </c>
    </row>
    <row r="865" spans="6:8" x14ac:dyDescent="0.25">
      <c r="F865" t="s">
        <v>1996</v>
      </c>
      <c r="G865" t="s">
        <v>2070</v>
      </c>
      <c r="H865">
        <v>1</v>
      </c>
    </row>
    <row r="866" spans="6:8" x14ac:dyDescent="0.25">
      <c r="F866" t="s">
        <v>555</v>
      </c>
      <c r="G866" t="s">
        <v>2070</v>
      </c>
      <c r="H866">
        <v>1</v>
      </c>
    </row>
    <row r="867" spans="6:8" x14ac:dyDescent="0.25">
      <c r="F867" t="s">
        <v>279</v>
      </c>
      <c r="G867" t="s">
        <v>2070</v>
      </c>
      <c r="H867">
        <v>1</v>
      </c>
    </row>
    <row r="868" spans="6:8" x14ac:dyDescent="0.25">
      <c r="F868" t="s">
        <v>1991</v>
      </c>
      <c r="G868" t="s">
        <v>2070</v>
      </c>
      <c r="H868">
        <v>1</v>
      </c>
    </row>
    <row r="869" spans="6:8" x14ac:dyDescent="0.25">
      <c r="F869" t="s">
        <v>1727</v>
      </c>
      <c r="G869" t="s">
        <v>2070</v>
      </c>
      <c r="H869">
        <v>2</v>
      </c>
    </row>
    <row r="870" spans="6:8" x14ac:dyDescent="0.25">
      <c r="F870" t="s">
        <v>416</v>
      </c>
      <c r="G870" t="s">
        <v>2070</v>
      </c>
      <c r="H870">
        <v>3</v>
      </c>
    </row>
    <row r="871" spans="6:8" x14ac:dyDescent="0.25">
      <c r="F871" t="s">
        <v>1989</v>
      </c>
      <c r="G871" t="s">
        <v>2070</v>
      </c>
      <c r="H871">
        <v>1</v>
      </c>
    </row>
    <row r="872" spans="6:8" x14ac:dyDescent="0.25">
      <c r="F872" t="s">
        <v>2061</v>
      </c>
      <c r="G872" t="s">
        <v>2070</v>
      </c>
      <c r="H872">
        <v>4</v>
      </c>
    </row>
    <row r="873" spans="6:8" x14ac:dyDescent="0.25">
      <c r="F873" t="s">
        <v>383</v>
      </c>
      <c r="G873" t="s">
        <v>2070</v>
      </c>
      <c r="H873">
        <v>1</v>
      </c>
    </row>
    <row r="874" spans="6:8" x14ac:dyDescent="0.25">
      <c r="F874" t="s">
        <v>2071</v>
      </c>
      <c r="G874" t="s">
        <v>2070</v>
      </c>
      <c r="H874">
        <v>1</v>
      </c>
    </row>
    <row r="875" spans="6:8" x14ac:dyDescent="0.25">
      <c r="F875" t="s">
        <v>855</v>
      </c>
      <c r="G875" t="s">
        <v>2070</v>
      </c>
      <c r="H875">
        <v>1</v>
      </c>
    </row>
    <row r="876" spans="6:8" x14ac:dyDescent="0.25">
      <c r="F876" t="s">
        <v>153</v>
      </c>
      <c r="G876" t="s">
        <v>2070</v>
      </c>
      <c r="H876">
        <v>1</v>
      </c>
    </row>
    <row r="877" spans="6:8" x14ac:dyDescent="0.25">
      <c r="F877" t="s">
        <v>4</v>
      </c>
      <c r="G877" t="s">
        <v>2070</v>
      </c>
      <c r="H877">
        <v>1</v>
      </c>
    </row>
    <row r="878" spans="6:8" x14ac:dyDescent="0.25">
      <c r="F878" t="s">
        <v>1369</v>
      </c>
      <c r="G878" t="s">
        <v>2070</v>
      </c>
      <c r="H878">
        <v>1</v>
      </c>
    </row>
    <row r="879" spans="6:8" x14ac:dyDescent="0.25">
      <c r="F879" t="s">
        <v>614</v>
      </c>
      <c r="G879" t="s">
        <v>2070</v>
      </c>
      <c r="H879">
        <v>1</v>
      </c>
    </row>
    <row r="880" spans="6:8" x14ac:dyDescent="0.25">
      <c r="F880" t="s">
        <v>2131</v>
      </c>
      <c r="G880" t="s">
        <v>2070</v>
      </c>
      <c r="H880">
        <v>1</v>
      </c>
    </row>
    <row r="881" spans="6:8" x14ac:dyDescent="0.25">
      <c r="F881" t="s">
        <v>2082</v>
      </c>
      <c r="G881" t="s">
        <v>2070</v>
      </c>
      <c r="H881">
        <v>1</v>
      </c>
    </row>
    <row r="882" spans="6:8" x14ac:dyDescent="0.25">
      <c r="F882" t="s">
        <v>297</v>
      </c>
      <c r="G882" t="s">
        <v>2070</v>
      </c>
      <c r="H882">
        <v>1</v>
      </c>
    </row>
    <row r="883" spans="6:8" x14ac:dyDescent="0.25">
      <c r="F883" t="s">
        <v>356</v>
      </c>
      <c r="G883" t="s">
        <v>2070</v>
      </c>
      <c r="H883">
        <v>2</v>
      </c>
    </row>
    <row r="884" spans="6:8" x14ac:dyDescent="0.25">
      <c r="F884" t="s">
        <v>2132</v>
      </c>
      <c r="G884" t="s">
        <v>2070</v>
      </c>
      <c r="H884">
        <v>3</v>
      </c>
    </row>
    <row r="885" spans="6:8" x14ac:dyDescent="0.25">
      <c r="F885" t="s">
        <v>2090</v>
      </c>
      <c r="G885" t="s">
        <v>2070</v>
      </c>
      <c r="H885">
        <v>2</v>
      </c>
    </row>
    <row r="886" spans="6:8" x14ac:dyDescent="0.25">
      <c r="F886" t="s">
        <v>514</v>
      </c>
      <c r="G886" t="s">
        <v>2070</v>
      </c>
      <c r="H886">
        <v>2</v>
      </c>
    </row>
    <row r="887" spans="6:8" x14ac:dyDescent="0.25">
      <c r="F887" t="s">
        <v>58</v>
      </c>
      <c r="G887" t="s">
        <v>2070</v>
      </c>
      <c r="H887">
        <v>3</v>
      </c>
    </row>
    <row r="888" spans="6:8" x14ac:dyDescent="0.25">
      <c r="F888" t="s">
        <v>1697</v>
      </c>
      <c r="G888" t="s">
        <v>2070</v>
      </c>
      <c r="H888">
        <v>2</v>
      </c>
    </row>
    <row r="889" spans="6:8" x14ac:dyDescent="0.25">
      <c r="F889" t="s">
        <v>2096</v>
      </c>
      <c r="G889" t="s">
        <v>2070</v>
      </c>
      <c r="H889">
        <v>3</v>
      </c>
    </row>
    <row r="890" spans="6:8" x14ac:dyDescent="0.25">
      <c r="F890" t="s">
        <v>2099</v>
      </c>
      <c r="G890" t="s">
        <v>2070</v>
      </c>
      <c r="H890">
        <v>1</v>
      </c>
    </row>
    <row r="891" spans="6:8" x14ac:dyDescent="0.25">
      <c r="F891" t="s">
        <v>2133</v>
      </c>
      <c r="G891" t="s">
        <v>2070</v>
      </c>
      <c r="H891">
        <v>1</v>
      </c>
    </row>
    <row r="892" spans="6:8" x14ac:dyDescent="0.25">
      <c r="F892" t="s">
        <v>2134</v>
      </c>
      <c r="G892" t="s">
        <v>2070</v>
      </c>
      <c r="H892">
        <v>1</v>
      </c>
    </row>
    <row r="893" spans="6:8" x14ac:dyDescent="0.25">
      <c r="F893" t="s">
        <v>763</v>
      </c>
      <c r="G893" t="s">
        <v>2070</v>
      </c>
      <c r="H893">
        <v>1</v>
      </c>
    </row>
    <row r="894" spans="6:8" x14ac:dyDescent="0.25">
      <c r="F894" t="s">
        <v>2107</v>
      </c>
      <c r="G894" t="s">
        <v>2070</v>
      </c>
      <c r="H894">
        <v>1</v>
      </c>
    </row>
    <row r="895" spans="6:8" x14ac:dyDescent="0.25">
      <c r="F895" t="s">
        <v>822</v>
      </c>
      <c r="G895" t="s">
        <v>2070</v>
      </c>
      <c r="H895">
        <v>1</v>
      </c>
    </row>
    <row r="896" spans="6:8" x14ac:dyDescent="0.25">
      <c r="F896" t="s">
        <v>902</v>
      </c>
      <c r="G896" t="s">
        <v>2070</v>
      </c>
      <c r="H896">
        <v>1</v>
      </c>
    </row>
    <row r="897" spans="6:8" x14ac:dyDescent="0.25">
      <c r="F897" t="s">
        <v>159</v>
      </c>
      <c r="G897" t="s">
        <v>2070</v>
      </c>
      <c r="H897">
        <v>1</v>
      </c>
    </row>
    <row r="898" spans="6:8" x14ac:dyDescent="0.25">
      <c r="F898" t="s">
        <v>2122</v>
      </c>
      <c r="G898" t="s">
        <v>2070</v>
      </c>
      <c r="H898">
        <v>1</v>
      </c>
    </row>
    <row r="899" spans="6:8" x14ac:dyDescent="0.25">
      <c r="F899" t="s">
        <v>2126</v>
      </c>
      <c r="G899" t="s">
        <v>2070</v>
      </c>
      <c r="H89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986F1-FCE3-4464-B55E-173F70740CE4}">
  <sheetPr codeName="Hoja2" filterMode="1"/>
  <dimension ref="A1:U2964"/>
  <sheetViews>
    <sheetView tabSelected="1" zoomScale="85" zoomScaleNormal="85" workbookViewId="0">
      <pane ySplit="1" topLeftCell="A2947" activePane="bottomLeft" state="frozen"/>
      <selection pane="bottomLeft" activeCell="C2982" sqref="C2982"/>
    </sheetView>
  </sheetViews>
  <sheetFormatPr baseColWidth="10" defaultRowHeight="17.25" x14ac:dyDescent="0.3"/>
  <cols>
    <col min="1" max="1" width="19.140625" style="44" bestFit="1" customWidth="1"/>
    <col min="2" max="2" width="88.140625" style="44" bestFit="1" customWidth="1"/>
    <col min="3" max="3" width="50.140625" style="44" bestFit="1" customWidth="1"/>
    <col min="4" max="4" width="17.85546875" style="44" bestFit="1" customWidth="1"/>
    <col min="5" max="5" width="15" style="44" bestFit="1" customWidth="1"/>
    <col min="6" max="6" width="16.42578125" style="87" bestFit="1" customWidth="1"/>
    <col min="7" max="7" width="14.140625" style="46" bestFit="1" customWidth="1"/>
    <col min="8" max="8" width="17.85546875" style="44" customWidth="1"/>
    <col min="9" max="9" width="34.42578125" style="44" bestFit="1" customWidth="1"/>
    <col min="10" max="10" width="18" style="44" customWidth="1"/>
    <col min="11" max="11" width="12.140625" style="44" bestFit="1" customWidth="1"/>
    <col min="12" max="12" width="11.5703125" style="44" bestFit="1" customWidth="1"/>
    <col min="13" max="13" width="14.28515625" style="44" bestFit="1" customWidth="1"/>
    <col min="14" max="14" width="11.42578125" style="44"/>
    <col min="15" max="15" width="11.5703125" style="44" bestFit="1" customWidth="1"/>
    <col min="16" max="16" width="11.42578125" style="44"/>
    <col min="17" max="17" width="11.5703125" style="44" bestFit="1" customWidth="1"/>
    <col min="18" max="18" width="11.42578125" style="44"/>
    <col min="19" max="19" width="11.5703125" style="44" bestFit="1" customWidth="1"/>
    <col min="20" max="20" width="11.42578125" style="44"/>
    <col min="21" max="21" width="11.5703125" style="44" bestFit="1" customWidth="1"/>
    <col min="22" max="16384" width="11.42578125" style="44"/>
  </cols>
  <sheetData>
    <row r="1" spans="1:10" s="41" customFormat="1" ht="32.25" customHeight="1" x14ac:dyDescent="0.25">
      <c r="A1" s="39" t="s">
        <v>595</v>
      </c>
      <c r="B1" s="39" t="s">
        <v>596</v>
      </c>
      <c r="C1" s="99" t="s">
        <v>597</v>
      </c>
      <c r="D1" s="39" t="s">
        <v>598</v>
      </c>
      <c r="E1" s="39" t="s">
        <v>599</v>
      </c>
      <c r="F1" s="98" t="s">
        <v>600</v>
      </c>
      <c r="G1" s="40" t="s">
        <v>602</v>
      </c>
    </row>
    <row r="2" spans="1:10" s="42" customFormat="1" hidden="1" x14ac:dyDescent="0.3">
      <c r="A2" s="44" t="s">
        <v>47</v>
      </c>
      <c r="B2" s="44" t="s">
        <v>427</v>
      </c>
      <c r="C2" s="44" t="s">
        <v>324</v>
      </c>
      <c r="D2" s="44">
        <v>5516934636</v>
      </c>
      <c r="E2" s="44">
        <v>295201</v>
      </c>
      <c r="F2" s="87">
        <v>5577.96</v>
      </c>
      <c r="G2" s="46">
        <v>46024</v>
      </c>
    </row>
    <row r="3" spans="1:10" hidden="1" x14ac:dyDescent="0.3">
      <c r="A3" s="42" t="s">
        <v>10</v>
      </c>
      <c r="B3" s="42" t="s">
        <v>422</v>
      </c>
      <c r="C3" s="42" t="s">
        <v>68</v>
      </c>
      <c r="D3" s="42">
        <v>5520706498</v>
      </c>
      <c r="E3" s="42">
        <v>178880</v>
      </c>
      <c r="F3" s="86">
        <v>3601</v>
      </c>
      <c r="G3" s="43">
        <v>46024</v>
      </c>
    </row>
    <row r="4" spans="1:10" s="42" customFormat="1" hidden="1" x14ac:dyDescent="0.3">
      <c r="A4" s="44" t="s">
        <v>10</v>
      </c>
      <c r="B4" s="44" t="s">
        <v>158</v>
      </c>
      <c r="C4" s="44" t="s">
        <v>159</v>
      </c>
      <c r="D4" s="44">
        <v>5570826626</v>
      </c>
      <c r="E4" s="44">
        <v>178897</v>
      </c>
      <c r="F4" s="87">
        <v>6421.99</v>
      </c>
      <c r="G4" s="46">
        <v>46024</v>
      </c>
    </row>
    <row r="5" spans="1:10" hidden="1" x14ac:dyDescent="0.3">
      <c r="A5" s="42" t="s">
        <v>10</v>
      </c>
      <c r="B5" s="42" t="s">
        <v>423</v>
      </c>
      <c r="C5" s="42" t="s">
        <v>201</v>
      </c>
      <c r="D5" s="42">
        <v>9981951537</v>
      </c>
      <c r="E5" s="42">
        <v>295396</v>
      </c>
      <c r="F5" s="86">
        <v>18040</v>
      </c>
      <c r="G5" s="43">
        <v>46024</v>
      </c>
      <c r="J5" s="44" t="s">
        <v>1975</v>
      </c>
    </row>
    <row r="6" spans="1:10" s="42" customFormat="1" hidden="1" x14ac:dyDescent="0.3">
      <c r="A6" s="47" t="s">
        <v>17</v>
      </c>
      <c r="B6" s="44" t="s">
        <v>8</v>
      </c>
      <c r="C6" s="44" t="s">
        <v>9</v>
      </c>
      <c r="D6" s="44">
        <v>3223271287</v>
      </c>
      <c r="E6" s="44">
        <v>179435</v>
      </c>
      <c r="F6" s="87">
        <v>30330</v>
      </c>
      <c r="G6" s="46">
        <v>46024</v>
      </c>
    </row>
    <row r="7" spans="1:10" hidden="1" x14ac:dyDescent="0.3">
      <c r="A7" s="42" t="s">
        <v>17</v>
      </c>
      <c r="B7" s="42" t="s">
        <v>298</v>
      </c>
      <c r="C7" s="42" t="s">
        <v>421</v>
      </c>
      <c r="D7" s="42">
        <v>5591940032</v>
      </c>
      <c r="E7" s="42">
        <v>295244</v>
      </c>
      <c r="F7" s="86">
        <v>18897.990000000002</v>
      </c>
      <c r="G7" s="43">
        <v>46024</v>
      </c>
    </row>
    <row r="8" spans="1:10" s="42" customFormat="1" hidden="1" x14ac:dyDescent="0.3">
      <c r="A8" s="44" t="s">
        <v>17</v>
      </c>
      <c r="B8" s="44" t="s">
        <v>298</v>
      </c>
      <c r="C8" s="44" t="s">
        <v>421</v>
      </c>
      <c r="D8" s="44">
        <v>5591940032</v>
      </c>
      <c r="E8" s="44">
        <v>295245</v>
      </c>
      <c r="F8" s="87">
        <v>42</v>
      </c>
      <c r="G8" s="46">
        <v>46024</v>
      </c>
    </row>
    <row r="9" spans="1:10" hidden="1" x14ac:dyDescent="0.3">
      <c r="A9" s="42" t="s">
        <v>17</v>
      </c>
      <c r="B9" s="42" t="s">
        <v>298</v>
      </c>
      <c r="C9" s="42" t="s">
        <v>421</v>
      </c>
      <c r="D9" s="42">
        <v>5591940032</v>
      </c>
      <c r="E9" s="42">
        <v>295246</v>
      </c>
      <c r="F9" s="86">
        <v>1243</v>
      </c>
      <c r="G9" s="43">
        <v>46024</v>
      </c>
    </row>
    <row r="10" spans="1:10" s="42" customFormat="1" hidden="1" x14ac:dyDescent="0.3">
      <c r="A10" s="42" t="s">
        <v>11</v>
      </c>
      <c r="B10" s="42" t="s">
        <v>426</v>
      </c>
      <c r="C10" s="42" t="s">
        <v>63</v>
      </c>
      <c r="D10" s="42">
        <v>5514407771</v>
      </c>
      <c r="E10" s="42">
        <v>349660</v>
      </c>
      <c r="F10" s="86">
        <v>1300</v>
      </c>
      <c r="G10" s="43">
        <v>46024</v>
      </c>
    </row>
    <row r="11" spans="1:10" hidden="1" x14ac:dyDescent="0.3">
      <c r="A11" s="44" t="s">
        <v>11</v>
      </c>
      <c r="B11" s="44" t="s">
        <v>424</v>
      </c>
      <c r="C11" s="44" t="s">
        <v>425</v>
      </c>
      <c r="D11" s="44">
        <v>5517957453</v>
      </c>
      <c r="E11" s="44">
        <v>349764</v>
      </c>
      <c r="F11" s="87">
        <v>1845</v>
      </c>
      <c r="G11" s="46">
        <v>46024</v>
      </c>
    </row>
    <row r="12" spans="1:10" s="48" customFormat="1" hidden="1" x14ac:dyDescent="0.3">
      <c r="A12" s="48" t="s">
        <v>10</v>
      </c>
      <c r="B12" s="48" t="s">
        <v>441</v>
      </c>
      <c r="C12" s="48" t="s">
        <v>138</v>
      </c>
      <c r="D12" s="48">
        <v>5558383479</v>
      </c>
      <c r="E12" s="48">
        <v>295504</v>
      </c>
      <c r="F12" s="88">
        <v>2147</v>
      </c>
      <c r="G12" s="50">
        <v>46025</v>
      </c>
    </row>
    <row r="13" spans="1:10" hidden="1" x14ac:dyDescent="0.3">
      <c r="A13" s="47" t="s">
        <v>10</v>
      </c>
      <c r="B13" s="44" t="s">
        <v>430</v>
      </c>
      <c r="C13" s="44" t="s">
        <v>431</v>
      </c>
      <c r="D13" s="44">
        <v>5566729678</v>
      </c>
      <c r="E13" s="44">
        <v>179202</v>
      </c>
      <c r="F13" s="87">
        <v>2274</v>
      </c>
      <c r="G13" s="46">
        <v>46025</v>
      </c>
    </row>
    <row r="14" spans="1:10" s="48" customFormat="1" hidden="1" x14ac:dyDescent="0.3">
      <c r="A14" s="48" t="s">
        <v>10</v>
      </c>
      <c r="B14" s="48" t="s">
        <v>428</v>
      </c>
      <c r="C14" s="48" t="s">
        <v>429</v>
      </c>
      <c r="D14" s="48">
        <v>5571687373</v>
      </c>
      <c r="E14" s="48">
        <v>349848</v>
      </c>
      <c r="F14" s="88">
        <v>3305</v>
      </c>
      <c r="G14" s="50">
        <v>46025</v>
      </c>
    </row>
    <row r="15" spans="1:10" hidden="1" x14ac:dyDescent="0.3">
      <c r="A15" s="47" t="s">
        <v>10</v>
      </c>
      <c r="B15" s="44" t="s">
        <v>432</v>
      </c>
      <c r="C15" s="44" t="s">
        <v>433</v>
      </c>
      <c r="D15" s="44">
        <v>5614639380</v>
      </c>
      <c r="E15" s="44">
        <v>179246</v>
      </c>
      <c r="F15" s="87">
        <v>2359</v>
      </c>
      <c r="G15" s="46">
        <v>46025</v>
      </c>
    </row>
    <row r="16" spans="1:10" s="48" customFormat="1" hidden="1" x14ac:dyDescent="0.3">
      <c r="A16" s="48" t="s">
        <v>17</v>
      </c>
      <c r="B16" s="48" t="s">
        <v>437</v>
      </c>
      <c r="C16" s="48" t="s">
        <v>74</v>
      </c>
      <c r="D16" s="48">
        <v>5534878157</v>
      </c>
      <c r="E16" s="48">
        <v>179533</v>
      </c>
      <c r="F16" s="88">
        <v>663.92</v>
      </c>
      <c r="G16" s="50">
        <v>46025</v>
      </c>
    </row>
    <row r="17" spans="1:7" hidden="1" x14ac:dyDescent="0.3">
      <c r="A17" s="48" t="s">
        <v>17</v>
      </c>
      <c r="B17" s="48" t="s">
        <v>439</v>
      </c>
      <c r="C17" s="48" t="s">
        <v>440</v>
      </c>
      <c r="D17" s="48">
        <v>5536604891</v>
      </c>
      <c r="E17" s="48">
        <v>179554</v>
      </c>
      <c r="F17" s="88">
        <v>2007</v>
      </c>
      <c r="G17" s="50">
        <v>46025</v>
      </c>
    </row>
    <row r="18" spans="1:7" s="48" customFormat="1" x14ac:dyDescent="0.3">
      <c r="A18" s="47" t="s">
        <v>17</v>
      </c>
      <c r="B18" s="44" t="s">
        <v>436</v>
      </c>
      <c r="C18" s="44" t="s">
        <v>74</v>
      </c>
      <c r="D18" s="44">
        <v>5542058607</v>
      </c>
      <c r="E18" s="44">
        <v>295474</v>
      </c>
      <c r="F18" s="87">
        <v>8602</v>
      </c>
      <c r="G18" s="46">
        <v>46025</v>
      </c>
    </row>
    <row r="19" spans="1:7" hidden="1" x14ac:dyDescent="0.3">
      <c r="A19" s="47" t="s">
        <v>17</v>
      </c>
      <c r="B19" s="47" t="s">
        <v>438</v>
      </c>
      <c r="C19" s="44" t="s">
        <v>208</v>
      </c>
      <c r="D19" s="44">
        <v>5545305498</v>
      </c>
      <c r="E19" s="44">
        <v>29542</v>
      </c>
      <c r="F19" s="87">
        <v>1930</v>
      </c>
      <c r="G19" s="46">
        <v>46025</v>
      </c>
    </row>
    <row r="20" spans="1:7" s="48" customFormat="1" hidden="1" x14ac:dyDescent="0.3">
      <c r="A20" s="48" t="s">
        <v>17</v>
      </c>
      <c r="B20" s="48" t="s">
        <v>434</v>
      </c>
      <c r="C20" s="48" t="s">
        <v>435</v>
      </c>
      <c r="D20" s="48">
        <v>5578942575</v>
      </c>
      <c r="E20" s="48">
        <v>349798</v>
      </c>
      <c r="F20" s="88">
        <v>24512</v>
      </c>
      <c r="G20" s="50">
        <v>46025</v>
      </c>
    </row>
    <row r="21" spans="1:7" hidden="1" x14ac:dyDescent="0.3">
      <c r="A21" s="44" t="s">
        <v>11</v>
      </c>
      <c r="B21" s="44" t="s">
        <v>442</v>
      </c>
      <c r="C21" s="44" t="s">
        <v>26</v>
      </c>
      <c r="D21" s="44">
        <v>5557572636</v>
      </c>
      <c r="E21" s="44">
        <v>295406</v>
      </c>
      <c r="F21" s="87">
        <v>41429.99</v>
      </c>
      <c r="G21" s="46">
        <v>46025</v>
      </c>
    </row>
    <row r="22" spans="1:7" s="51" customFormat="1" hidden="1" x14ac:dyDescent="0.3">
      <c r="A22" s="51" t="s">
        <v>47</v>
      </c>
      <c r="B22" s="51" t="s">
        <v>50</v>
      </c>
      <c r="C22" s="51" t="s">
        <v>456</v>
      </c>
      <c r="D22" s="51">
        <v>5529503930</v>
      </c>
      <c r="E22" s="51">
        <v>293666</v>
      </c>
      <c r="F22" s="68">
        <v>11304</v>
      </c>
      <c r="G22" s="52">
        <v>46027</v>
      </c>
    </row>
    <row r="23" spans="1:7" s="47" customFormat="1" hidden="1" x14ac:dyDescent="0.3">
      <c r="A23" s="44" t="s">
        <v>47</v>
      </c>
      <c r="B23" s="44" t="s">
        <v>50</v>
      </c>
      <c r="C23" s="44" t="s">
        <v>456</v>
      </c>
      <c r="D23" s="54">
        <v>5529503930</v>
      </c>
      <c r="E23" s="44">
        <v>32313</v>
      </c>
      <c r="F23" s="87">
        <v>2276</v>
      </c>
      <c r="G23" s="46">
        <v>46027</v>
      </c>
    </row>
    <row r="24" spans="1:7" s="51" customFormat="1" hidden="1" x14ac:dyDescent="0.3">
      <c r="A24" s="51" t="s">
        <v>47</v>
      </c>
      <c r="B24" s="51" t="s">
        <v>50</v>
      </c>
      <c r="C24" s="51" t="s">
        <v>456</v>
      </c>
      <c r="D24" s="51">
        <v>5529503930</v>
      </c>
      <c r="E24" s="51">
        <v>295128</v>
      </c>
      <c r="F24" s="68">
        <v>8638.98</v>
      </c>
      <c r="G24" s="52">
        <v>46027</v>
      </c>
    </row>
    <row r="25" spans="1:7" s="47" customFormat="1" hidden="1" x14ac:dyDescent="0.3">
      <c r="A25" s="44" t="s">
        <v>47</v>
      </c>
      <c r="B25" s="44" t="s">
        <v>455</v>
      </c>
      <c r="C25" s="44" t="s">
        <v>48</v>
      </c>
      <c r="D25" s="44">
        <v>5543469008</v>
      </c>
      <c r="E25" s="44">
        <v>349678</v>
      </c>
      <c r="F25" s="89">
        <v>21646.6</v>
      </c>
      <c r="G25" s="46">
        <v>46027</v>
      </c>
    </row>
    <row r="26" spans="1:7" s="51" customFormat="1" hidden="1" x14ac:dyDescent="0.3">
      <c r="A26" s="51" t="s">
        <v>10</v>
      </c>
      <c r="B26" s="51" t="s">
        <v>451</v>
      </c>
      <c r="C26" s="51" t="s">
        <v>450</v>
      </c>
      <c r="D26" s="51">
        <v>5519870496</v>
      </c>
      <c r="E26" s="51">
        <v>178605</v>
      </c>
      <c r="F26" s="68">
        <v>102</v>
      </c>
      <c r="G26" s="52">
        <v>46027</v>
      </c>
    </row>
    <row r="27" spans="1:7" s="47" customFormat="1" hidden="1" x14ac:dyDescent="0.3">
      <c r="A27" s="47" t="s">
        <v>10</v>
      </c>
      <c r="B27" s="47" t="s">
        <v>452</v>
      </c>
      <c r="C27" s="47" t="s">
        <v>453</v>
      </c>
      <c r="D27" s="47">
        <v>5614731053</v>
      </c>
      <c r="E27" s="47">
        <v>32127</v>
      </c>
      <c r="F27" s="70">
        <v>7294</v>
      </c>
      <c r="G27" s="53">
        <v>46027</v>
      </c>
    </row>
    <row r="28" spans="1:7" s="51" customFormat="1" hidden="1" x14ac:dyDescent="0.3">
      <c r="A28" s="51" t="s">
        <v>10</v>
      </c>
      <c r="B28" s="51" t="s">
        <v>452</v>
      </c>
      <c r="C28" s="51" t="s">
        <v>453</v>
      </c>
      <c r="D28" s="51">
        <v>5614731053</v>
      </c>
      <c r="E28" s="51">
        <v>177511</v>
      </c>
      <c r="F28" s="68">
        <v>34851.81</v>
      </c>
      <c r="G28" s="52">
        <v>46027</v>
      </c>
    </row>
    <row r="29" spans="1:7" s="47" customFormat="1" hidden="1" x14ac:dyDescent="0.3">
      <c r="A29" s="47" t="s">
        <v>10</v>
      </c>
      <c r="B29" s="47" t="s">
        <v>452</v>
      </c>
      <c r="C29" s="47" t="s">
        <v>453</v>
      </c>
      <c r="D29" s="47">
        <v>5614731053</v>
      </c>
      <c r="E29" s="47">
        <v>177512</v>
      </c>
      <c r="F29" s="70">
        <v>6525.54</v>
      </c>
      <c r="G29" s="53">
        <v>46027</v>
      </c>
    </row>
    <row r="30" spans="1:7" s="51" customFormat="1" hidden="1" x14ac:dyDescent="0.3">
      <c r="A30" s="51" t="s">
        <v>17</v>
      </c>
      <c r="B30" s="51" t="s">
        <v>460</v>
      </c>
      <c r="C30" s="51" t="s">
        <v>274</v>
      </c>
      <c r="D30" s="51">
        <v>5534651744</v>
      </c>
      <c r="E30" s="51">
        <v>295567</v>
      </c>
      <c r="F30" s="68">
        <v>10200</v>
      </c>
      <c r="G30" s="52">
        <v>46027</v>
      </c>
    </row>
    <row r="31" spans="1:7" s="47" customFormat="1" x14ac:dyDescent="0.3">
      <c r="A31" s="44" t="s">
        <v>17</v>
      </c>
      <c r="B31" s="44" t="s">
        <v>459</v>
      </c>
      <c r="C31" s="44" t="s">
        <v>74</v>
      </c>
      <c r="D31" s="44">
        <v>5542058607</v>
      </c>
      <c r="E31" s="44">
        <v>295474</v>
      </c>
      <c r="F31" s="87">
        <v>8602</v>
      </c>
      <c r="G31" s="46">
        <v>46027</v>
      </c>
    </row>
    <row r="32" spans="1:7" s="51" customFormat="1" hidden="1" x14ac:dyDescent="0.3">
      <c r="A32" s="44" t="s">
        <v>17</v>
      </c>
      <c r="B32" s="47" t="s">
        <v>120</v>
      </c>
      <c r="C32" s="44" t="s">
        <v>30</v>
      </c>
      <c r="D32" s="44">
        <v>5545755893</v>
      </c>
      <c r="E32" s="44">
        <v>349705</v>
      </c>
      <c r="F32" s="87">
        <v>12315.2</v>
      </c>
      <c r="G32" s="46">
        <v>46027</v>
      </c>
    </row>
    <row r="33" spans="1:8" s="47" customFormat="1" hidden="1" x14ac:dyDescent="0.3">
      <c r="A33" s="51" t="s">
        <v>17</v>
      </c>
      <c r="B33" s="51" t="s">
        <v>120</v>
      </c>
      <c r="C33" s="51" t="s">
        <v>30</v>
      </c>
      <c r="D33" s="51">
        <v>5545758293</v>
      </c>
      <c r="E33" s="51">
        <v>295295</v>
      </c>
      <c r="F33" s="68">
        <v>9374.64</v>
      </c>
      <c r="G33" s="52">
        <v>46027</v>
      </c>
    </row>
    <row r="34" spans="1:8" s="51" customFormat="1" hidden="1" x14ac:dyDescent="0.3">
      <c r="A34" s="51" t="s">
        <v>17</v>
      </c>
      <c r="B34" s="51" t="s">
        <v>131</v>
      </c>
      <c r="C34" s="51" t="s">
        <v>119</v>
      </c>
      <c r="D34" s="51">
        <v>5551141444</v>
      </c>
      <c r="E34" s="51">
        <v>179307</v>
      </c>
      <c r="F34" s="68">
        <v>746</v>
      </c>
      <c r="G34" s="52">
        <v>46027</v>
      </c>
    </row>
    <row r="35" spans="1:8" s="47" customFormat="1" hidden="1" x14ac:dyDescent="0.3">
      <c r="A35" s="51" t="s">
        <v>17</v>
      </c>
      <c r="B35" s="51" t="s">
        <v>454</v>
      </c>
      <c r="C35" s="51" t="s">
        <v>28</v>
      </c>
      <c r="D35" s="51">
        <v>5565066303</v>
      </c>
      <c r="E35" s="51">
        <v>179615</v>
      </c>
      <c r="F35" s="68">
        <v>1950</v>
      </c>
      <c r="G35" s="52">
        <v>46027</v>
      </c>
    </row>
    <row r="36" spans="1:8" s="51" customFormat="1" hidden="1" x14ac:dyDescent="0.3">
      <c r="A36" s="44" t="s">
        <v>17</v>
      </c>
      <c r="B36" s="44" t="s">
        <v>457</v>
      </c>
      <c r="C36" s="44" t="s">
        <v>458</v>
      </c>
      <c r="D36" s="44">
        <v>5610186288</v>
      </c>
      <c r="E36" s="44">
        <v>349713</v>
      </c>
      <c r="F36" s="87">
        <v>5263</v>
      </c>
      <c r="G36" s="46">
        <v>46027</v>
      </c>
    </row>
    <row r="37" spans="1:8" s="47" customFormat="1" hidden="1" x14ac:dyDescent="0.3">
      <c r="A37" s="51" t="s">
        <v>17</v>
      </c>
      <c r="B37" s="51" t="s">
        <v>457</v>
      </c>
      <c r="C37" s="51" t="s">
        <v>458</v>
      </c>
      <c r="D37" s="51">
        <v>5610186288</v>
      </c>
      <c r="E37" s="51">
        <v>301332</v>
      </c>
      <c r="F37" s="68">
        <v>514</v>
      </c>
      <c r="G37" s="52">
        <v>46027</v>
      </c>
    </row>
    <row r="38" spans="1:8" s="51" customFormat="1" hidden="1" x14ac:dyDescent="0.3">
      <c r="A38" s="47" t="s">
        <v>11</v>
      </c>
      <c r="B38" s="47" t="s">
        <v>443</v>
      </c>
      <c r="C38" s="47" t="s">
        <v>444</v>
      </c>
      <c r="D38" s="47">
        <v>5529550516</v>
      </c>
      <c r="E38" s="47">
        <v>179358</v>
      </c>
      <c r="F38" s="70">
        <v>2936</v>
      </c>
      <c r="G38" s="53">
        <v>46027</v>
      </c>
    </row>
    <row r="39" spans="1:8" hidden="1" x14ac:dyDescent="0.3">
      <c r="A39" s="51" t="s">
        <v>11</v>
      </c>
      <c r="B39" s="51" t="s">
        <v>188</v>
      </c>
      <c r="C39" s="51" t="s">
        <v>187</v>
      </c>
      <c r="D39" s="51">
        <v>5529849094</v>
      </c>
      <c r="E39" s="51">
        <v>179232</v>
      </c>
      <c r="F39" s="68">
        <v>4784.3999999999996</v>
      </c>
      <c r="G39" s="52">
        <v>46027</v>
      </c>
    </row>
    <row r="40" spans="1:8" s="51" customFormat="1" hidden="1" x14ac:dyDescent="0.3">
      <c r="A40" s="51" t="s">
        <v>11</v>
      </c>
      <c r="B40" s="51" t="s">
        <v>448</v>
      </c>
      <c r="C40" s="51" t="s">
        <v>218</v>
      </c>
      <c r="D40" s="51">
        <v>5539511994</v>
      </c>
      <c r="E40" s="51">
        <v>295552</v>
      </c>
      <c r="F40" s="68">
        <v>2477</v>
      </c>
      <c r="G40" s="52">
        <v>46027</v>
      </c>
    </row>
    <row r="41" spans="1:8" hidden="1" x14ac:dyDescent="0.3">
      <c r="A41" s="47" t="s">
        <v>11</v>
      </c>
      <c r="B41" s="47" t="s">
        <v>448</v>
      </c>
      <c r="C41" s="47" t="s">
        <v>218</v>
      </c>
      <c r="D41" s="47">
        <v>5539511994</v>
      </c>
      <c r="E41" s="47">
        <v>295551</v>
      </c>
      <c r="F41" s="70">
        <v>7660</v>
      </c>
      <c r="G41" s="53">
        <v>46027</v>
      </c>
    </row>
    <row r="42" spans="1:8" s="51" customFormat="1" hidden="1" x14ac:dyDescent="0.3">
      <c r="A42" s="51" t="s">
        <v>11</v>
      </c>
      <c r="B42" s="51" t="s">
        <v>136</v>
      </c>
      <c r="C42" s="51" t="s">
        <v>4</v>
      </c>
      <c r="D42" s="51">
        <v>5550543681</v>
      </c>
      <c r="E42" s="51">
        <v>179501</v>
      </c>
      <c r="F42" s="68">
        <v>5004</v>
      </c>
      <c r="G42" s="52">
        <v>46027</v>
      </c>
    </row>
    <row r="43" spans="1:8" hidden="1" x14ac:dyDescent="0.3">
      <c r="A43" s="47" t="s">
        <v>11</v>
      </c>
      <c r="B43" s="47" t="s">
        <v>136</v>
      </c>
      <c r="C43" s="47" t="s">
        <v>4</v>
      </c>
      <c r="D43" s="47">
        <v>5550543681</v>
      </c>
      <c r="E43" s="47">
        <v>179223</v>
      </c>
      <c r="F43" s="70">
        <v>6265</v>
      </c>
      <c r="G43" s="53">
        <v>46027</v>
      </c>
    </row>
    <row r="44" spans="1:8" s="51" customFormat="1" hidden="1" x14ac:dyDescent="0.3">
      <c r="A44" s="51" t="s">
        <v>11</v>
      </c>
      <c r="B44" s="51" t="s">
        <v>136</v>
      </c>
      <c r="C44" s="51" t="s">
        <v>4</v>
      </c>
      <c r="D44" s="51">
        <v>5550543681</v>
      </c>
      <c r="E44" s="51">
        <v>179224</v>
      </c>
      <c r="F44" s="68">
        <v>5100</v>
      </c>
      <c r="G44" s="52">
        <v>46027</v>
      </c>
    </row>
    <row r="45" spans="1:8" hidden="1" x14ac:dyDescent="0.3">
      <c r="A45" s="47" t="s">
        <v>11</v>
      </c>
      <c r="B45" s="47" t="s">
        <v>442</v>
      </c>
      <c r="C45" s="47" t="s">
        <v>26</v>
      </c>
      <c r="D45" s="47">
        <v>5557572636</v>
      </c>
      <c r="E45" s="47">
        <v>295442</v>
      </c>
      <c r="F45" s="70">
        <v>14805.96</v>
      </c>
      <c r="G45" s="53">
        <v>46027</v>
      </c>
      <c r="H45" s="44" t="s">
        <v>461</v>
      </c>
    </row>
    <row r="46" spans="1:8" s="51" customFormat="1" hidden="1" x14ac:dyDescent="0.3">
      <c r="A46" s="47" t="s">
        <v>11</v>
      </c>
      <c r="B46" s="47" t="s">
        <v>447</v>
      </c>
      <c r="C46" s="47" t="s">
        <v>431</v>
      </c>
      <c r="D46" s="47">
        <v>5566729678</v>
      </c>
      <c r="E46" s="47">
        <v>32391</v>
      </c>
      <c r="F46" s="70">
        <v>2274</v>
      </c>
      <c r="G46" s="53">
        <v>46027</v>
      </c>
      <c r="H46" s="51" t="s">
        <v>463</v>
      </c>
    </row>
    <row r="47" spans="1:8" hidden="1" x14ac:dyDescent="0.3">
      <c r="A47" s="51" t="s">
        <v>11</v>
      </c>
      <c r="B47" s="51" t="s">
        <v>449</v>
      </c>
      <c r="C47" s="51" t="s">
        <v>113</v>
      </c>
      <c r="D47" s="51">
        <v>5585922461</v>
      </c>
      <c r="E47" s="51">
        <v>295527</v>
      </c>
      <c r="F47" s="68">
        <v>6375</v>
      </c>
      <c r="G47" s="52">
        <v>46027</v>
      </c>
      <c r="H47" s="44" t="s">
        <v>462</v>
      </c>
    </row>
    <row r="48" spans="1:8" s="51" customFormat="1" hidden="1" x14ac:dyDescent="0.3">
      <c r="A48" s="47" t="s">
        <v>11</v>
      </c>
      <c r="B48" s="47" t="s">
        <v>449</v>
      </c>
      <c r="C48" s="47" t="s">
        <v>113</v>
      </c>
      <c r="D48" s="47">
        <v>5585922461</v>
      </c>
      <c r="E48" s="47">
        <v>295528</v>
      </c>
      <c r="F48" s="70">
        <v>1070.97</v>
      </c>
      <c r="G48" s="53">
        <v>46027</v>
      </c>
      <c r="H48" s="51" t="s">
        <v>462</v>
      </c>
    </row>
    <row r="49" spans="1:8" hidden="1" x14ac:dyDescent="0.3">
      <c r="A49" s="51" t="s">
        <v>11</v>
      </c>
      <c r="B49" s="51" t="s">
        <v>445</v>
      </c>
      <c r="C49" s="51" t="s">
        <v>446</v>
      </c>
      <c r="D49" s="51">
        <v>5618867336</v>
      </c>
      <c r="E49" s="51">
        <v>179594</v>
      </c>
      <c r="F49" s="68">
        <v>1584</v>
      </c>
      <c r="G49" s="52">
        <v>46027</v>
      </c>
      <c r="H49" s="44" t="s">
        <v>462</v>
      </c>
    </row>
    <row r="50" spans="1:8" s="48" customFormat="1" hidden="1" x14ac:dyDescent="0.3">
      <c r="A50" s="48" t="s">
        <v>47</v>
      </c>
      <c r="B50" s="48" t="s">
        <v>483</v>
      </c>
      <c r="C50" s="48" t="s">
        <v>484</v>
      </c>
      <c r="D50" s="48">
        <v>553434179</v>
      </c>
      <c r="E50" s="48">
        <v>179438</v>
      </c>
      <c r="F50" s="88">
        <v>5467.99</v>
      </c>
      <c r="G50" s="50">
        <v>46028</v>
      </c>
    </row>
    <row r="51" spans="1:8" hidden="1" x14ac:dyDescent="0.3">
      <c r="A51" s="44" t="s">
        <v>47</v>
      </c>
      <c r="B51" s="44" t="s">
        <v>483</v>
      </c>
      <c r="C51" s="44" t="s">
        <v>484</v>
      </c>
      <c r="D51" s="44">
        <v>553434179</v>
      </c>
      <c r="E51" s="44">
        <v>32424</v>
      </c>
      <c r="F51" s="87">
        <v>920</v>
      </c>
      <c r="G51" s="46">
        <v>46028</v>
      </c>
    </row>
    <row r="52" spans="1:8" s="48" customFormat="1" hidden="1" x14ac:dyDescent="0.3">
      <c r="A52" s="48" t="s">
        <v>47</v>
      </c>
      <c r="B52" s="48" t="s">
        <v>224</v>
      </c>
      <c r="C52" s="48" t="s">
        <v>480</v>
      </c>
      <c r="D52" s="48">
        <v>5539564988</v>
      </c>
      <c r="E52" s="48">
        <v>295550</v>
      </c>
      <c r="F52" s="88">
        <v>7313.27</v>
      </c>
      <c r="G52" s="50">
        <v>46028</v>
      </c>
    </row>
    <row r="53" spans="1:8" hidden="1" x14ac:dyDescent="0.3">
      <c r="A53" s="48" t="s">
        <v>47</v>
      </c>
      <c r="B53" s="48" t="s">
        <v>486</v>
      </c>
      <c r="C53" s="48" t="s">
        <v>144</v>
      </c>
      <c r="D53" s="48">
        <v>5570114872</v>
      </c>
      <c r="E53" s="48">
        <v>295487</v>
      </c>
      <c r="F53" s="88">
        <v>2600</v>
      </c>
      <c r="G53" s="50">
        <v>46028</v>
      </c>
    </row>
    <row r="54" spans="1:8" s="48" customFormat="1" hidden="1" x14ac:dyDescent="0.3">
      <c r="A54" s="44" t="s">
        <v>47</v>
      </c>
      <c r="B54" s="44" t="s">
        <v>487</v>
      </c>
      <c r="C54" s="44" t="s">
        <v>237</v>
      </c>
      <c r="D54" s="44">
        <v>5627074145</v>
      </c>
      <c r="E54" s="44">
        <v>179871</v>
      </c>
      <c r="F54" s="87">
        <v>2187</v>
      </c>
      <c r="G54" s="46">
        <v>46028</v>
      </c>
    </row>
    <row r="55" spans="1:8" hidden="1" x14ac:dyDescent="0.3">
      <c r="A55" s="44" t="s">
        <v>47</v>
      </c>
      <c r="B55" s="44" t="s">
        <v>121</v>
      </c>
      <c r="C55" s="44" t="s">
        <v>41</v>
      </c>
      <c r="D55" s="44">
        <v>5642852406</v>
      </c>
      <c r="E55" s="44">
        <v>349736</v>
      </c>
      <c r="F55" s="87">
        <v>4524</v>
      </c>
      <c r="G55" s="46">
        <v>46028</v>
      </c>
    </row>
    <row r="56" spans="1:8" s="48" customFormat="1" hidden="1" x14ac:dyDescent="0.3">
      <c r="A56" s="48" t="s">
        <v>47</v>
      </c>
      <c r="B56" s="48" t="s">
        <v>121</v>
      </c>
      <c r="C56" s="48" t="s">
        <v>41</v>
      </c>
      <c r="D56" s="48">
        <v>5642852406</v>
      </c>
      <c r="E56" s="48">
        <v>301338</v>
      </c>
      <c r="F56" s="88">
        <v>990</v>
      </c>
      <c r="G56" s="50">
        <v>46028</v>
      </c>
    </row>
    <row r="57" spans="1:8" hidden="1" x14ac:dyDescent="0.3">
      <c r="A57" s="44" t="s">
        <v>47</v>
      </c>
      <c r="B57" s="44" t="s">
        <v>481</v>
      </c>
      <c r="C57" s="44" t="s">
        <v>482</v>
      </c>
      <c r="D57" s="44" t="s">
        <v>146</v>
      </c>
      <c r="E57" s="44">
        <v>179705</v>
      </c>
      <c r="F57" s="85">
        <v>2228</v>
      </c>
      <c r="G57" s="46">
        <v>46028</v>
      </c>
    </row>
    <row r="58" spans="1:8" s="48" customFormat="1" hidden="1" x14ac:dyDescent="0.3">
      <c r="A58" s="44" t="s">
        <v>10</v>
      </c>
      <c r="B58" s="44" t="s">
        <v>213</v>
      </c>
      <c r="C58" s="44" t="s">
        <v>6</v>
      </c>
      <c r="D58" s="44">
        <v>5518465090</v>
      </c>
      <c r="E58" s="44">
        <v>179588</v>
      </c>
      <c r="F58" s="87">
        <v>3855.8</v>
      </c>
      <c r="G58" s="46">
        <v>46028</v>
      </c>
    </row>
    <row r="59" spans="1:8" s="47" customFormat="1" hidden="1" x14ac:dyDescent="0.3">
      <c r="A59" s="48" t="s">
        <v>10</v>
      </c>
      <c r="B59" s="48" t="s">
        <v>448</v>
      </c>
      <c r="C59" s="48" t="s">
        <v>218</v>
      </c>
      <c r="D59" s="48">
        <v>5539511994</v>
      </c>
      <c r="E59" s="48">
        <v>295552</v>
      </c>
      <c r="F59" s="88">
        <v>2477</v>
      </c>
      <c r="G59" s="50">
        <v>46028</v>
      </c>
    </row>
    <row r="60" spans="1:8" s="48" customFormat="1" hidden="1" x14ac:dyDescent="0.3">
      <c r="A60" s="44" t="s">
        <v>10</v>
      </c>
      <c r="B60" s="44" t="s">
        <v>102</v>
      </c>
      <c r="C60" s="44" t="s">
        <v>103</v>
      </c>
      <c r="D60" s="44">
        <v>5541783566</v>
      </c>
      <c r="E60" s="44">
        <v>179648</v>
      </c>
      <c r="F60" s="87">
        <v>9960.7999999999993</v>
      </c>
      <c r="G60" s="46">
        <v>46028</v>
      </c>
    </row>
    <row r="61" spans="1:8" s="47" customFormat="1" hidden="1" x14ac:dyDescent="0.3">
      <c r="A61" s="48" t="s">
        <v>10</v>
      </c>
      <c r="B61" s="48" t="s">
        <v>485</v>
      </c>
      <c r="C61" s="48" t="s">
        <v>479</v>
      </c>
      <c r="D61" s="48">
        <v>5542916268</v>
      </c>
      <c r="E61" s="48">
        <v>179649</v>
      </c>
      <c r="F61" s="88">
        <v>3310</v>
      </c>
      <c r="G61" s="50">
        <v>46028</v>
      </c>
    </row>
    <row r="62" spans="1:8" s="48" customFormat="1" hidden="1" x14ac:dyDescent="0.3">
      <c r="A62" s="44" t="s">
        <v>10</v>
      </c>
      <c r="B62" s="44" t="s">
        <v>476</v>
      </c>
      <c r="C62" s="44" t="s">
        <v>429</v>
      </c>
      <c r="D62" s="44">
        <v>5549083825</v>
      </c>
      <c r="E62" s="44">
        <v>179386</v>
      </c>
      <c r="F62" s="87">
        <v>3901.04</v>
      </c>
      <c r="G62" s="46">
        <v>46028</v>
      </c>
    </row>
    <row r="63" spans="1:8" hidden="1" x14ac:dyDescent="0.3">
      <c r="A63" s="44" t="s">
        <v>10</v>
      </c>
      <c r="B63" s="44" t="s">
        <v>477</v>
      </c>
      <c r="C63" s="44" t="s">
        <v>478</v>
      </c>
      <c r="D63" s="44">
        <v>5631001997</v>
      </c>
      <c r="E63" s="44">
        <v>349787</v>
      </c>
      <c r="F63" s="87">
        <v>14905</v>
      </c>
      <c r="G63" s="46">
        <v>46028</v>
      </c>
    </row>
    <row r="64" spans="1:8" s="48" customFormat="1" hidden="1" x14ac:dyDescent="0.3">
      <c r="A64" s="48" t="s">
        <v>10</v>
      </c>
      <c r="B64" s="48" t="s">
        <v>477</v>
      </c>
      <c r="C64" s="48" t="s">
        <v>478</v>
      </c>
      <c r="D64" s="48">
        <v>5631001997</v>
      </c>
      <c r="E64" s="48">
        <v>349787</v>
      </c>
      <c r="F64" s="88">
        <v>1028</v>
      </c>
      <c r="G64" s="50">
        <v>46028</v>
      </c>
    </row>
    <row r="65" spans="1:7" hidden="1" x14ac:dyDescent="0.3">
      <c r="A65" s="44" t="s">
        <v>17</v>
      </c>
      <c r="B65" s="44" t="s">
        <v>245</v>
      </c>
      <c r="C65" s="44" t="s">
        <v>469</v>
      </c>
      <c r="D65" s="44">
        <v>5511246208</v>
      </c>
      <c r="E65" s="44">
        <v>179603</v>
      </c>
      <c r="F65" s="87">
        <v>8247.83</v>
      </c>
      <c r="G65" s="46">
        <v>46028</v>
      </c>
    </row>
    <row r="66" spans="1:7" s="48" customFormat="1" hidden="1" x14ac:dyDescent="0.3">
      <c r="A66" s="48" t="s">
        <v>17</v>
      </c>
      <c r="B66" s="48" t="s">
        <v>468</v>
      </c>
      <c r="C66" s="48" t="s">
        <v>41</v>
      </c>
      <c r="D66" s="48">
        <v>5517473496</v>
      </c>
      <c r="E66" s="48">
        <v>295607</v>
      </c>
      <c r="F66" s="88">
        <v>13005</v>
      </c>
      <c r="G66" s="50">
        <v>46028</v>
      </c>
    </row>
    <row r="67" spans="1:7" hidden="1" x14ac:dyDescent="0.3">
      <c r="A67" s="48" t="s">
        <v>17</v>
      </c>
      <c r="B67" s="48" t="s">
        <v>464</v>
      </c>
      <c r="C67" s="48" t="s">
        <v>465</v>
      </c>
      <c r="D67" s="48">
        <v>5530077745</v>
      </c>
      <c r="E67" s="48">
        <v>179817</v>
      </c>
      <c r="F67" s="88">
        <v>990</v>
      </c>
      <c r="G67" s="50">
        <v>46028</v>
      </c>
    </row>
    <row r="68" spans="1:7" s="48" customFormat="1" hidden="1" x14ac:dyDescent="0.3">
      <c r="A68" s="48" t="s">
        <v>17</v>
      </c>
      <c r="B68" s="48" t="s">
        <v>271</v>
      </c>
      <c r="C68" s="48" t="s">
        <v>339</v>
      </c>
      <c r="D68" s="48">
        <v>5535892760</v>
      </c>
      <c r="E68" s="48">
        <v>179423</v>
      </c>
      <c r="F68" s="88">
        <v>6117.99</v>
      </c>
      <c r="G68" s="50">
        <v>46028</v>
      </c>
    </row>
    <row r="69" spans="1:7" hidden="1" x14ac:dyDescent="0.3">
      <c r="A69" s="48" t="s">
        <v>17</v>
      </c>
      <c r="B69" s="48" t="s">
        <v>158</v>
      </c>
      <c r="C69" s="48" t="s">
        <v>159</v>
      </c>
      <c r="D69" s="48">
        <v>5570826626</v>
      </c>
      <c r="E69" s="48">
        <v>179599</v>
      </c>
      <c r="F69" s="88">
        <v>8061.98</v>
      </c>
      <c r="G69" s="50">
        <v>46028</v>
      </c>
    </row>
    <row r="70" spans="1:7" s="48" customFormat="1" hidden="1" x14ac:dyDescent="0.3">
      <c r="A70" s="44" t="s">
        <v>17</v>
      </c>
      <c r="B70" s="54" t="s">
        <v>158</v>
      </c>
      <c r="C70" s="54" t="s">
        <v>159</v>
      </c>
      <c r="D70" s="44">
        <v>5570826626</v>
      </c>
      <c r="E70" s="44">
        <v>32450</v>
      </c>
      <c r="F70" s="87">
        <v>1976</v>
      </c>
      <c r="G70" s="46">
        <v>46028</v>
      </c>
    </row>
    <row r="71" spans="1:7" hidden="1" x14ac:dyDescent="0.3">
      <c r="A71" s="48" t="s">
        <v>17</v>
      </c>
      <c r="B71" s="48" t="s">
        <v>457</v>
      </c>
      <c r="C71" s="48" t="s">
        <v>470</v>
      </c>
      <c r="D71" s="48">
        <v>5610186288</v>
      </c>
      <c r="E71" s="48">
        <v>349713</v>
      </c>
      <c r="F71" s="88">
        <v>5263</v>
      </c>
      <c r="G71" s="50">
        <v>46028</v>
      </c>
    </row>
    <row r="72" spans="1:7" s="48" customFormat="1" hidden="1" x14ac:dyDescent="0.3">
      <c r="A72" s="44" t="s">
        <v>17</v>
      </c>
      <c r="B72" s="44" t="s">
        <v>471</v>
      </c>
      <c r="C72" s="44" t="s">
        <v>65</v>
      </c>
      <c r="D72" s="44">
        <v>5634461063</v>
      </c>
      <c r="E72" s="44">
        <v>179916</v>
      </c>
      <c r="F72" s="87">
        <v>1856</v>
      </c>
      <c r="G72" s="46">
        <v>46028</v>
      </c>
    </row>
    <row r="73" spans="1:7" s="48" customFormat="1" hidden="1" x14ac:dyDescent="0.3">
      <c r="A73" s="48" t="s">
        <v>17</v>
      </c>
      <c r="B73" s="48" t="s">
        <v>466</v>
      </c>
      <c r="C73" s="48" t="s">
        <v>467</v>
      </c>
      <c r="D73" s="48">
        <v>5645431564</v>
      </c>
      <c r="E73" s="48">
        <v>349893</v>
      </c>
      <c r="F73" s="88">
        <v>17701.59</v>
      </c>
      <c r="G73" s="50">
        <v>46028</v>
      </c>
    </row>
    <row r="74" spans="1:7" s="48" customFormat="1" x14ac:dyDescent="0.3">
      <c r="A74" s="44" t="s">
        <v>11</v>
      </c>
      <c r="B74" s="47" t="s">
        <v>472</v>
      </c>
      <c r="C74" s="47" t="s">
        <v>0</v>
      </c>
      <c r="D74" s="47">
        <v>5536695063</v>
      </c>
      <c r="E74" s="47">
        <v>179858</v>
      </c>
      <c r="F74" s="70">
        <v>12521</v>
      </c>
      <c r="G74" s="46">
        <v>46028</v>
      </c>
    </row>
    <row r="75" spans="1:7" hidden="1" x14ac:dyDescent="0.3">
      <c r="A75" s="44" t="s">
        <v>11</v>
      </c>
      <c r="B75" s="47" t="s">
        <v>475</v>
      </c>
      <c r="C75" s="47" t="s">
        <v>474</v>
      </c>
      <c r="D75" s="47">
        <v>5580868743</v>
      </c>
      <c r="E75" s="47">
        <v>349890</v>
      </c>
      <c r="F75" s="70">
        <v>6555.28</v>
      </c>
      <c r="G75" s="46">
        <v>46028</v>
      </c>
    </row>
    <row r="76" spans="1:7" s="48" customFormat="1" hidden="1" x14ac:dyDescent="0.3">
      <c r="A76" s="48" t="s">
        <v>11</v>
      </c>
      <c r="B76" s="48" t="s">
        <v>475</v>
      </c>
      <c r="C76" s="48" t="s">
        <v>474</v>
      </c>
      <c r="D76" s="48">
        <v>5580868743</v>
      </c>
      <c r="E76" s="48">
        <v>349896</v>
      </c>
      <c r="F76" s="88">
        <v>457</v>
      </c>
      <c r="G76" s="50">
        <v>46028</v>
      </c>
    </row>
    <row r="77" spans="1:7" hidden="1" x14ac:dyDescent="0.3">
      <c r="A77" s="48" t="s">
        <v>11</v>
      </c>
      <c r="B77" s="48" t="s">
        <v>473</v>
      </c>
      <c r="C77" s="48" t="s">
        <v>115</v>
      </c>
      <c r="D77" s="48">
        <v>5638291782</v>
      </c>
      <c r="E77" s="48">
        <v>179841</v>
      </c>
      <c r="F77" s="88">
        <v>3708</v>
      </c>
      <c r="G77" s="50">
        <v>46028</v>
      </c>
    </row>
    <row r="78" spans="1:7" s="42" customFormat="1" hidden="1" x14ac:dyDescent="0.3">
      <c r="A78" s="42" t="s">
        <v>47</v>
      </c>
      <c r="B78" s="42" t="s">
        <v>501</v>
      </c>
      <c r="C78" s="42" t="s">
        <v>107</v>
      </c>
      <c r="D78" s="42">
        <v>5529518233</v>
      </c>
      <c r="E78" s="42">
        <v>295461</v>
      </c>
      <c r="F78" s="86">
        <v>15650</v>
      </c>
      <c r="G78" s="55">
        <v>46029</v>
      </c>
    </row>
    <row r="79" spans="1:7" hidden="1" x14ac:dyDescent="0.3">
      <c r="A79" s="44" t="s">
        <v>47</v>
      </c>
      <c r="B79" s="44" t="s">
        <v>502</v>
      </c>
      <c r="C79" s="44" t="s">
        <v>503</v>
      </c>
      <c r="D79" s="44">
        <v>5568148903</v>
      </c>
      <c r="E79" s="44">
        <v>295556</v>
      </c>
      <c r="F79" s="87">
        <v>5610.6</v>
      </c>
      <c r="G79" s="56">
        <v>46029</v>
      </c>
    </row>
    <row r="80" spans="1:7" s="42" customFormat="1" hidden="1" x14ac:dyDescent="0.3">
      <c r="A80" s="42" t="s">
        <v>47</v>
      </c>
      <c r="B80" s="42" t="s">
        <v>502</v>
      </c>
      <c r="C80" s="42" t="s">
        <v>503</v>
      </c>
      <c r="D80" s="42">
        <v>5568148903</v>
      </c>
      <c r="E80" s="42">
        <v>295560</v>
      </c>
      <c r="F80" s="86">
        <v>1014</v>
      </c>
      <c r="G80" s="55">
        <v>46029</v>
      </c>
    </row>
    <row r="81" spans="1:7" hidden="1" x14ac:dyDescent="0.3">
      <c r="A81" s="42" t="s">
        <v>10</v>
      </c>
      <c r="B81" s="42" t="s">
        <v>8</v>
      </c>
      <c r="C81" s="42" t="s">
        <v>9</v>
      </c>
      <c r="D81" s="42">
        <v>3223271288</v>
      </c>
      <c r="E81" s="42">
        <v>175398</v>
      </c>
      <c r="F81" s="86">
        <v>4730</v>
      </c>
      <c r="G81" s="55">
        <v>46029</v>
      </c>
    </row>
    <row r="82" spans="1:7" s="42" customFormat="1" hidden="1" x14ac:dyDescent="0.3">
      <c r="A82" s="44" t="s">
        <v>10</v>
      </c>
      <c r="B82" s="44" t="s">
        <v>8</v>
      </c>
      <c r="C82" s="44" t="s">
        <v>9</v>
      </c>
      <c r="D82" s="44">
        <v>3223271288</v>
      </c>
      <c r="E82" s="44">
        <v>180050</v>
      </c>
      <c r="F82" s="87">
        <v>1100</v>
      </c>
      <c r="G82" s="56">
        <v>46029</v>
      </c>
    </row>
    <row r="83" spans="1:7" hidden="1" x14ac:dyDescent="0.3">
      <c r="A83" s="44" t="s">
        <v>10</v>
      </c>
      <c r="B83" s="44" t="s">
        <v>497</v>
      </c>
      <c r="C83" s="44" t="s">
        <v>46</v>
      </c>
      <c r="D83" s="44">
        <v>5534011197</v>
      </c>
      <c r="E83" s="44">
        <v>179745</v>
      </c>
      <c r="F83" s="87">
        <v>3720</v>
      </c>
      <c r="G83" s="56">
        <v>46029</v>
      </c>
    </row>
    <row r="84" spans="1:7" s="42" customFormat="1" hidden="1" x14ac:dyDescent="0.3">
      <c r="A84" s="42" t="s">
        <v>10</v>
      </c>
      <c r="B84" s="42" t="s">
        <v>497</v>
      </c>
      <c r="C84" s="42" t="s">
        <v>46</v>
      </c>
      <c r="D84" s="42">
        <v>5534011197</v>
      </c>
      <c r="E84" s="42">
        <v>32483</v>
      </c>
      <c r="F84" s="86">
        <v>804</v>
      </c>
      <c r="G84" s="55">
        <v>46029</v>
      </c>
    </row>
    <row r="85" spans="1:7" hidden="1" x14ac:dyDescent="0.3">
      <c r="A85" s="42" t="s">
        <v>10</v>
      </c>
      <c r="B85" s="42" t="s">
        <v>486</v>
      </c>
      <c r="C85" s="42" t="s">
        <v>144</v>
      </c>
      <c r="D85" s="42">
        <v>5570114872</v>
      </c>
      <c r="E85" s="42">
        <v>295663</v>
      </c>
      <c r="F85" s="86">
        <v>7077</v>
      </c>
      <c r="G85" s="55">
        <v>46029</v>
      </c>
    </row>
    <row r="86" spans="1:7" s="42" customFormat="1" hidden="1" x14ac:dyDescent="0.3">
      <c r="A86" s="44" t="s">
        <v>10</v>
      </c>
      <c r="B86" s="44" t="s">
        <v>496</v>
      </c>
      <c r="C86" s="44" t="s">
        <v>41</v>
      </c>
      <c r="D86" s="44">
        <v>5626009250</v>
      </c>
      <c r="E86" s="44">
        <v>349876</v>
      </c>
      <c r="F86" s="87">
        <v>7237</v>
      </c>
      <c r="G86" s="56">
        <v>46029</v>
      </c>
    </row>
    <row r="87" spans="1:7" hidden="1" x14ac:dyDescent="0.3">
      <c r="A87" s="42" t="s">
        <v>10</v>
      </c>
      <c r="B87" s="42" t="s">
        <v>496</v>
      </c>
      <c r="C87" s="42" t="s">
        <v>41</v>
      </c>
      <c r="D87" s="42">
        <v>5626009250</v>
      </c>
      <c r="E87" s="42">
        <v>301354</v>
      </c>
      <c r="F87" s="86">
        <v>828</v>
      </c>
      <c r="G87" s="55">
        <v>46029</v>
      </c>
    </row>
    <row r="88" spans="1:7" s="42" customFormat="1" hidden="1" x14ac:dyDescent="0.3">
      <c r="A88" s="44" t="s">
        <v>10</v>
      </c>
      <c r="B88" s="44" t="s">
        <v>504</v>
      </c>
      <c r="C88" s="44" t="s">
        <v>237</v>
      </c>
      <c r="D88" s="44">
        <v>5634489738</v>
      </c>
      <c r="E88" s="44">
        <v>295716</v>
      </c>
      <c r="F88" s="87">
        <v>3930</v>
      </c>
      <c r="G88" s="56">
        <v>46029</v>
      </c>
    </row>
    <row r="89" spans="1:7" hidden="1" x14ac:dyDescent="0.3">
      <c r="A89" s="42" t="s">
        <v>17</v>
      </c>
      <c r="B89" s="42" t="s">
        <v>488</v>
      </c>
      <c r="C89" s="42" t="s">
        <v>201</v>
      </c>
      <c r="D89" s="42">
        <v>5520900916</v>
      </c>
      <c r="E89" s="42">
        <v>179963</v>
      </c>
      <c r="F89" s="86">
        <v>4456</v>
      </c>
      <c r="G89" s="55">
        <v>46029</v>
      </c>
    </row>
    <row r="90" spans="1:7" s="42" customFormat="1" hidden="1" x14ac:dyDescent="0.3">
      <c r="A90" s="42" t="s">
        <v>17</v>
      </c>
      <c r="B90" s="42" t="s">
        <v>491</v>
      </c>
      <c r="C90" s="42" t="s">
        <v>74</v>
      </c>
      <c r="D90" s="42">
        <v>5540443958</v>
      </c>
      <c r="E90" s="42">
        <v>295659</v>
      </c>
      <c r="F90" s="86">
        <v>22615</v>
      </c>
      <c r="G90" s="55">
        <v>46029</v>
      </c>
    </row>
    <row r="91" spans="1:7" hidden="1" x14ac:dyDescent="0.3">
      <c r="A91" s="44" t="s">
        <v>17</v>
      </c>
      <c r="B91" s="44" t="s">
        <v>489</v>
      </c>
      <c r="C91" s="44" t="s">
        <v>490</v>
      </c>
      <c r="D91" s="44">
        <v>5540964748</v>
      </c>
      <c r="E91" s="44">
        <v>295590</v>
      </c>
      <c r="F91" s="87">
        <v>5695.99</v>
      </c>
      <c r="G91" s="56">
        <v>46029</v>
      </c>
    </row>
    <row r="92" spans="1:7" hidden="1" x14ac:dyDescent="0.3">
      <c r="A92" s="42" t="s">
        <v>17</v>
      </c>
      <c r="B92" s="42" t="s">
        <v>492</v>
      </c>
      <c r="C92" s="42" t="s">
        <v>493</v>
      </c>
      <c r="D92" s="42">
        <v>5544728797</v>
      </c>
      <c r="E92" s="42">
        <v>179732</v>
      </c>
      <c r="F92" s="86">
        <v>2620</v>
      </c>
      <c r="G92" s="55">
        <v>46029</v>
      </c>
    </row>
    <row r="93" spans="1:7" s="42" customFormat="1" hidden="1" x14ac:dyDescent="0.3">
      <c r="A93" s="44" t="s">
        <v>17</v>
      </c>
      <c r="B93" s="44" t="s">
        <v>494</v>
      </c>
      <c r="C93" s="44" t="s">
        <v>495</v>
      </c>
      <c r="D93" s="44">
        <v>5575130865</v>
      </c>
      <c r="E93" s="44">
        <v>295669</v>
      </c>
      <c r="F93" s="87">
        <v>3150</v>
      </c>
      <c r="G93" s="56">
        <v>46029</v>
      </c>
    </row>
    <row r="94" spans="1:7" s="42" customFormat="1" hidden="1" x14ac:dyDescent="0.3">
      <c r="A94" s="42" t="s">
        <v>11</v>
      </c>
      <c r="B94" s="42" t="s">
        <v>498</v>
      </c>
      <c r="C94" s="42" t="s">
        <v>41</v>
      </c>
      <c r="D94" s="42">
        <v>5518666206</v>
      </c>
      <c r="E94" s="42">
        <v>31594</v>
      </c>
      <c r="F94" s="86">
        <v>1396</v>
      </c>
      <c r="G94" s="55">
        <v>46029</v>
      </c>
    </row>
    <row r="95" spans="1:7" s="42" customFormat="1" hidden="1" x14ac:dyDescent="0.3">
      <c r="A95" s="44" t="s">
        <v>11</v>
      </c>
      <c r="B95" s="44" t="s">
        <v>498</v>
      </c>
      <c r="C95" s="44" t="s">
        <v>41</v>
      </c>
      <c r="D95" s="44">
        <v>5518666206</v>
      </c>
      <c r="E95" s="44">
        <v>179333</v>
      </c>
      <c r="F95" s="87">
        <v>16122.98</v>
      </c>
      <c r="G95" s="56">
        <v>46029</v>
      </c>
    </row>
    <row r="96" spans="1:7" hidden="1" x14ac:dyDescent="0.3">
      <c r="A96" s="42" t="s">
        <v>11</v>
      </c>
      <c r="B96" s="42" t="s">
        <v>499</v>
      </c>
      <c r="C96" s="42" t="s">
        <v>500</v>
      </c>
      <c r="D96" s="42">
        <v>5611618387</v>
      </c>
      <c r="E96" s="42">
        <v>180070</v>
      </c>
      <c r="F96" s="86">
        <v>500</v>
      </c>
      <c r="G96" s="55">
        <v>46029</v>
      </c>
    </row>
    <row r="97" spans="1:7" s="42" customFormat="1" hidden="1" x14ac:dyDescent="0.3">
      <c r="A97" s="44" t="s">
        <v>11</v>
      </c>
      <c r="B97" s="44" t="s">
        <v>499</v>
      </c>
      <c r="C97" s="44" t="s">
        <v>500</v>
      </c>
      <c r="D97" s="44">
        <v>5611618387</v>
      </c>
      <c r="E97" s="44">
        <v>349751</v>
      </c>
      <c r="F97" s="87">
        <v>6359</v>
      </c>
      <c r="G97" s="56">
        <v>46029</v>
      </c>
    </row>
    <row r="98" spans="1:7" hidden="1" x14ac:dyDescent="0.3">
      <c r="A98" s="44" t="s">
        <v>47</v>
      </c>
      <c r="B98" s="44" t="s">
        <v>224</v>
      </c>
      <c r="C98" s="44" t="s">
        <v>480</v>
      </c>
      <c r="D98" s="44">
        <v>5539564988</v>
      </c>
      <c r="E98" s="44">
        <v>295700</v>
      </c>
      <c r="F98" s="87">
        <v>5329.19</v>
      </c>
      <c r="G98" s="46">
        <v>46030</v>
      </c>
    </row>
    <row r="99" spans="1:7" s="57" customFormat="1" hidden="1" x14ac:dyDescent="0.3">
      <c r="A99" s="57" t="s">
        <v>47</v>
      </c>
      <c r="B99" s="57" t="s">
        <v>262</v>
      </c>
      <c r="C99" s="57" t="s">
        <v>511</v>
      </c>
      <c r="D99" s="57">
        <v>5547956325</v>
      </c>
      <c r="E99" s="57">
        <v>179886</v>
      </c>
      <c r="F99" s="90">
        <v>2470.04</v>
      </c>
      <c r="G99" s="58">
        <v>46030</v>
      </c>
    </row>
    <row r="100" spans="1:7" hidden="1" x14ac:dyDescent="0.3">
      <c r="A100" s="44" t="s">
        <v>47</v>
      </c>
      <c r="B100" s="44" t="s">
        <v>262</v>
      </c>
      <c r="C100" s="44" t="s">
        <v>511</v>
      </c>
      <c r="D100" s="44">
        <v>5547956325</v>
      </c>
      <c r="E100" s="44">
        <v>179885</v>
      </c>
      <c r="F100" s="87">
        <v>3864</v>
      </c>
      <c r="G100" s="46">
        <v>46030</v>
      </c>
    </row>
    <row r="101" spans="1:7" s="57" customFormat="1" hidden="1" x14ac:dyDescent="0.3">
      <c r="A101" s="57" t="s">
        <v>47</v>
      </c>
      <c r="B101" s="57" t="s">
        <v>512</v>
      </c>
      <c r="C101" s="57" t="s">
        <v>153</v>
      </c>
      <c r="D101" s="57">
        <v>5557554633</v>
      </c>
      <c r="E101" s="57">
        <v>180024</v>
      </c>
      <c r="F101" s="90">
        <v>2792</v>
      </c>
      <c r="G101" s="58">
        <v>46030</v>
      </c>
    </row>
    <row r="102" spans="1:7" hidden="1" x14ac:dyDescent="0.3">
      <c r="A102" s="44" t="s">
        <v>47</v>
      </c>
      <c r="B102" s="44" t="s">
        <v>512</v>
      </c>
      <c r="C102" s="44" t="s">
        <v>153</v>
      </c>
      <c r="D102" s="44">
        <v>5557554633</v>
      </c>
      <c r="E102" s="44">
        <v>32518</v>
      </c>
      <c r="F102" s="87">
        <v>360</v>
      </c>
      <c r="G102" s="46">
        <v>46030</v>
      </c>
    </row>
    <row r="103" spans="1:7" s="57" customFormat="1" hidden="1" x14ac:dyDescent="0.3">
      <c r="A103" s="44" t="s">
        <v>47</v>
      </c>
      <c r="B103" s="44" t="s">
        <v>513</v>
      </c>
      <c r="C103" s="44" t="s">
        <v>46</v>
      </c>
      <c r="D103" s="44">
        <v>5565868897</v>
      </c>
      <c r="E103" s="44">
        <v>295635</v>
      </c>
      <c r="F103" s="87">
        <v>4424.55</v>
      </c>
      <c r="G103" s="46">
        <v>46030</v>
      </c>
    </row>
    <row r="104" spans="1:7" hidden="1" x14ac:dyDescent="0.3">
      <c r="A104" s="57" t="s">
        <v>47</v>
      </c>
      <c r="B104" s="57" t="s">
        <v>510</v>
      </c>
      <c r="C104" s="57" t="s">
        <v>46</v>
      </c>
      <c r="D104" s="57">
        <v>5577352063</v>
      </c>
      <c r="E104" s="57">
        <v>179868</v>
      </c>
      <c r="F104" s="90">
        <v>9861.99</v>
      </c>
      <c r="G104" s="58">
        <v>46030</v>
      </c>
    </row>
    <row r="105" spans="1:7" s="57" customFormat="1" hidden="1" x14ac:dyDescent="0.3">
      <c r="A105" s="44" t="s">
        <v>10</v>
      </c>
      <c r="B105" s="44" t="s">
        <v>516</v>
      </c>
      <c r="C105" s="44" t="s">
        <v>16</v>
      </c>
      <c r="D105" s="44">
        <v>5514614910</v>
      </c>
      <c r="E105" s="44">
        <v>179909</v>
      </c>
      <c r="F105" s="87">
        <v>2461.04</v>
      </c>
      <c r="G105" s="46">
        <v>46030</v>
      </c>
    </row>
    <row r="106" spans="1:7" hidden="1" x14ac:dyDescent="0.3">
      <c r="A106" s="57" t="s">
        <v>10</v>
      </c>
      <c r="B106" s="59" t="s">
        <v>516</v>
      </c>
      <c r="C106" s="59" t="s">
        <v>16</v>
      </c>
      <c r="D106" s="59">
        <v>5514614910</v>
      </c>
      <c r="E106" s="57">
        <v>179908</v>
      </c>
      <c r="F106" s="90">
        <v>7440.07</v>
      </c>
      <c r="G106" s="58">
        <v>46030</v>
      </c>
    </row>
    <row r="107" spans="1:7" s="57" customFormat="1" hidden="1" x14ac:dyDescent="0.3">
      <c r="A107" s="57" t="s">
        <v>10</v>
      </c>
      <c r="B107" s="57" t="s">
        <v>515</v>
      </c>
      <c r="C107" s="57" t="s">
        <v>514</v>
      </c>
      <c r="D107" s="57">
        <v>5517483758</v>
      </c>
      <c r="E107" s="57">
        <v>349860</v>
      </c>
      <c r="F107" s="90">
        <v>1492</v>
      </c>
      <c r="G107" s="58">
        <v>46030</v>
      </c>
    </row>
    <row r="108" spans="1:7" hidden="1" x14ac:dyDescent="0.3">
      <c r="A108" s="44" t="s">
        <v>10</v>
      </c>
      <c r="B108" s="44" t="s">
        <v>517</v>
      </c>
      <c r="C108" s="44" t="s">
        <v>518</v>
      </c>
      <c r="D108" s="44">
        <v>5569318105</v>
      </c>
      <c r="E108" s="44">
        <v>295573</v>
      </c>
      <c r="F108" s="87">
        <v>19190.32</v>
      </c>
      <c r="G108" s="46">
        <v>46030</v>
      </c>
    </row>
    <row r="109" spans="1:7" s="57" customFormat="1" hidden="1" x14ac:dyDescent="0.3">
      <c r="A109" s="44" t="s">
        <v>17</v>
      </c>
      <c r="B109" s="44" t="s">
        <v>521</v>
      </c>
      <c r="C109" s="44" t="s">
        <v>161</v>
      </c>
      <c r="D109" s="44">
        <v>5528013590</v>
      </c>
      <c r="E109" s="44">
        <v>180088</v>
      </c>
      <c r="F109" s="87">
        <v>1980.68</v>
      </c>
      <c r="G109" s="46">
        <v>46030</v>
      </c>
    </row>
    <row r="110" spans="1:7" hidden="1" x14ac:dyDescent="0.3">
      <c r="A110" s="57" t="s">
        <v>17</v>
      </c>
      <c r="B110" s="57" t="s">
        <v>231</v>
      </c>
      <c r="C110" s="57" t="s">
        <v>28</v>
      </c>
      <c r="D110" s="57">
        <v>5528186245</v>
      </c>
      <c r="E110" s="57">
        <v>180090</v>
      </c>
      <c r="F110" s="90">
        <v>4735</v>
      </c>
      <c r="G110" s="58">
        <v>46030</v>
      </c>
    </row>
    <row r="111" spans="1:7" s="57" customFormat="1" hidden="1" x14ac:dyDescent="0.3">
      <c r="A111" s="57" t="s">
        <v>17</v>
      </c>
      <c r="B111" s="57" t="s">
        <v>519</v>
      </c>
      <c r="C111" s="57" t="s">
        <v>520</v>
      </c>
      <c r="D111" s="57">
        <v>5531001281</v>
      </c>
      <c r="E111" s="57">
        <v>180038</v>
      </c>
      <c r="F111" s="90">
        <v>8145.99</v>
      </c>
      <c r="G111" s="58">
        <v>46030</v>
      </c>
    </row>
    <row r="112" spans="1:7" hidden="1" x14ac:dyDescent="0.3">
      <c r="A112" s="57" t="s">
        <v>17</v>
      </c>
      <c r="B112" s="57" t="s">
        <v>475</v>
      </c>
      <c r="C112" s="57" t="s">
        <v>474</v>
      </c>
      <c r="D112" s="57">
        <v>5580868743</v>
      </c>
      <c r="E112" s="57">
        <v>180041</v>
      </c>
      <c r="F112" s="90">
        <v>1957.04</v>
      </c>
      <c r="G112" s="58">
        <v>46030</v>
      </c>
    </row>
    <row r="113" spans="1:7" s="57" customFormat="1" hidden="1" x14ac:dyDescent="0.3">
      <c r="A113" s="44" t="s">
        <v>17</v>
      </c>
      <c r="B113" s="44" t="s">
        <v>522</v>
      </c>
      <c r="C113" s="44" t="s">
        <v>465</v>
      </c>
      <c r="D113" s="44">
        <v>5635031347</v>
      </c>
      <c r="E113" s="44">
        <v>179822</v>
      </c>
      <c r="F113" s="87">
        <v>1300</v>
      </c>
      <c r="G113" s="46">
        <v>46030</v>
      </c>
    </row>
    <row r="114" spans="1:7" hidden="1" x14ac:dyDescent="0.3">
      <c r="A114" s="44" t="s">
        <v>11</v>
      </c>
      <c r="B114" s="44" t="s">
        <v>509</v>
      </c>
      <c r="C114" s="44" t="s">
        <v>425</v>
      </c>
      <c r="D114" s="44">
        <v>5518145994</v>
      </c>
      <c r="E114" s="44">
        <v>295634</v>
      </c>
      <c r="F114" s="87">
        <v>1987</v>
      </c>
      <c r="G114" s="46">
        <v>46030</v>
      </c>
    </row>
    <row r="115" spans="1:7" s="57" customFormat="1" hidden="1" x14ac:dyDescent="0.3">
      <c r="A115" s="44" t="s">
        <v>11</v>
      </c>
      <c r="B115" s="44" t="s">
        <v>505</v>
      </c>
      <c r="C115" s="44" t="s">
        <v>506</v>
      </c>
      <c r="D115" s="44">
        <v>5526798693</v>
      </c>
      <c r="E115" s="44">
        <v>295309</v>
      </c>
      <c r="F115" s="87">
        <v>34869.19</v>
      </c>
      <c r="G115" s="46">
        <v>46030</v>
      </c>
    </row>
    <row r="116" spans="1:7" hidden="1" x14ac:dyDescent="0.3">
      <c r="A116" s="57" t="s">
        <v>11</v>
      </c>
      <c r="B116" s="57" t="s">
        <v>240</v>
      </c>
      <c r="C116" s="57" t="s">
        <v>379</v>
      </c>
      <c r="D116" s="57">
        <v>5538109222</v>
      </c>
      <c r="E116" s="57">
        <v>179806</v>
      </c>
      <c r="F116" s="90">
        <v>14928.99</v>
      </c>
      <c r="G116" s="58">
        <v>46030</v>
      </c>
    </row>
    <row r="117" spans="1:7" s="57" customFormat="1" hidden="1" x14ac:dyDescent="0.3">
      <c r="A117" s="57" t="s">
        <v>11</v>
      </c>
      <c r="B117" s="57" t="s">
        <v>508</v>
      </c>
      <c r="C117" s="57" t="s">
        <v>14</v>
      </c>
      <c r="D117" s="57">
        <v>5577340401</v>
      </c>
      <c r="E117" s="57">
        <v>179915</v>
      </c>
      <c r="F117" s="90">
        <v>6263</v>
      </c>
      <c r="G117" s="58">
        <v>46030</v>
      </c>
    </row>
    <row r="118" spans="1:7" hidden="1" x14ac:dyDescent="0.3">
      <c r="A118" s="44" t="s">
        <v>11</v>
      </c>
      <c r="B118" s="44" t="s">
        <v>507</v>
      </c>
      <c r="C118" s="44" t="s">
        <v>425</v>
      </c>
      <c r="D118" s="44">
        <v>5664328489</v>
      </c>
      <c r="E118" s="44">
        <v>180186</v>
      </c>
      <c r="F118" s="87">
        <v>3650</v>
      </c>
      <c r="G118" s="46">
        <v>46030</v>
      </c>
    </row>
    <row r="119" spans="1:7" s="57" customFormat="1" hidden="1" x14ac:dyDescent="0.3">
      <c r="A119" s="57" t="s">
        <v>11</v>
      </c>
      <c r="B119" s="57" t="s">
        <v>476</v>
      </c>
      <c r="C119" s="57" t="s">
        <v>425</v>
      </c>
      <c r="D119" s="57" t="s">
        <v>146</v>
      </c>
      <c r="E119" s="57">
        <v>179386</v>
      </c>
      <c r="F119" s="90">
        <v>3901.04</v>
      </c>
      <c r="G119" s="58">
        <v>46030</v>
      </c>
    </row>
    <row r="120" spans="1:7" hidden="1" x14ac:dyDescent="0.3">
      <c r="A120" s="60" t="s">
        <v>10</v>
      </c>
      <c r="B120" s="60" t="s">
        <v>529</v>
      </c>
      <c r="C120" s="60" t="s">
        <v>514</v>
      </c>
      <c r="D120" s="60">
        <v>5529662811</v>
      </c>
      <c r="E120" s="60">
        <v>180215</v>
      </c>
      <c r="F120" s="79">
        <v>8584.99</v>
      </c>
      <c r="G120" s="62">
        <v>46031</v>
      </c>
    </row>
    <row r="121" spans="1:7" s="60" customFormat="1" hidden="1" x14ac:dyDescent="0.3">
      <c r="A121" s="44" t="s">
        <v>10</v>
      </c>
      <c r="B121" s="44" t="s">
        <v>529</v>
      </c>
      <c r="C121" s="44" t="s">
        <v>514</v>
      </c>
      <c r="D121" s="44">
        <v>5529662811</v>
      </c>
      <c r="E121" s="44">
        <v>32548</v>
      </c>
      <c r="F121" s="87">
        <v>1146</v>
      </c>
      <c r="G121" s="56">
        <v>46031</v>
      </c>
    </row>
    <row r="122" spans="1:7" hidden="1" x14ac:dyDescent="0.3">
      <c r="A122" s="60" t="s">
        <v>10</v>
      </c>
      <c r="B122" s="60" t="s">
        <v>530</v>
      </c>
      <c r="C122" s="60" t="s">
        <v>252</v>
      </c>
      <c r="D122" s="60">
        <v>5554704647</v>
      </c>
      <c r="E122" s="60">
        <v>295770</v>
      </c>
      <c r="F122" s="79">
        <v>3253.92</v>
      </c>
      <c r="G122" s="62">
        <v>46031</v>
      </c>
    </row>
    <row r="123" spans="1:7" s="60" customFormat="1" hidden="1" x14ac:dyDescent="0.3">
      <c r="A123" s="44" t="s">
        <v>10</v>
      </c>
      <c r="B123" s="44" t="s">
        <v>530</v>
      </c>
      <c r="C123" s="44" t="s">
        <v>252</v>
      </c>
      <c r="D123" s="44">
        <v>5554704647</v>
      </c>
      <c r="E123" s="44">
        <v>295771</v>
      </c>
      <c r="F123" s="87">
        <v>11057.35</v>
      </c>
      <c r="G123" s="56">
        <v>46031</v>
      </c>
    </row>
    <row r="124" spans="1:7" hidden="1" x14ac:dyDescent="0.3">
      <c r="A124" s="44" t="s">
        <v>17</v>
      </c>
      <c r="B124" s="44" t="s">
        <v>526</v>
      </c>
      <c r="C124" s="44" t="s">
        <v>63</v>
      </c>
      <c r="D124" s="44">
        <v>5514407771</v>
      </c>
      <c r="E124" s="44">
        <v>180246</v>
      </c>
      <c r="F124" s="87">
        <v>1950</v>
      </c>
      <c r="G124" s="56">
        <v>46031</v>
      </c>
    </row>
    <row r="125" spans="1:7" s="60" customFormat="1" hidden="1" x14ac:dyDescent="0.3">
      <c r="A125" s="60" t="s">
        <v>17</v>
      </c>
      <c r="B125" s="60" t="s">
        <v>131</v>
      </c>
      <c r="C125" s="60" t="s">
        <v>119</v>
      </c>
      <c r="D125" s="60">
        <v>5551141444</v>
      </c>
      <c r="E125" s="60">
        <v>180354</v>
      </c>
      <c r="F125" s="79">
        <v>1275</v>
      </c>
      <c r="G125" s="62">
        <v>46031</v>
      </c>
    </row>
    <row r="126" spans="1:7" hidden="1" x14ac:dyDescent="0.3">
      <c r="A126" s="44" t="s">
        <v>17</v>
      </c>
      <c r="B126" s="44" t="s">
        <v>525</v>
      </c>
      <c r="C126" s="44" t="s">
        <v>425</v>
      </c>
      <c r="D126" s="44">
        <v>5578369465</v>
      </c>
      <c r="E126" s="44">
        <v>349960</v>
      </c>
      <c r="F126" s="87">
        <v>1760</v>
      </c>
      <c r="G126" s="56">
        <v>46031</v>
      </c>
    </row>
    <row r="127" spans="1:7" s="60" customFormat="1" hidden="1" x14ac:dyDescent="0.3">
      <c r="A127" s="60" t="s">
        <v>17</v>
      </c>
      <c r="B127" s="60" t="s">
        <v>525</v>
      </c>
      <c r="C127" s="60" t="s">
        <v>425</v>
      </c>
      <c r="D127" s="60">
        <v>5578369465</v>
      </c>
      <c r="E127" s="60">
        <v>301367</v>
      </c>
      <c r="F127" s="79">
        <v>222</v>
      </c>
      <c r="G127" s="62">
        <v>46031</v>
      </c>
    </row>
    <row r="128" spans="1:7" hidden="1" x14ac:dyDescent="0.3">
      <c r="A128" s="44" t="s">
        <v>17</v>
      </c>
      <c r="B128" s="44" t="s">
        <v>523</v>
      </c>
      <c r="C128" s="44" t="s">
        <v>458</v>
      </c>
      <c r="D128" s="44">
        <v>5613536877</v>
      </c>
      <c r="E128" s="44">
        <v>180332</v>
      </c>
      <c r="F128" s="87">
        <v>4272</v>
      </c>
      <c r="G128" s="56">
        <v>46031</v>
      </c>
    </row>
    <row r="129" spans="1:7" s="60" customFormat="1" hidden="1" x14ac:dyDescent="0.3">
      <c r="A129" s="44" t="s">
        <v>17</v>
      </c>
      <c r="B129" s="44" t="s">
        <v>524</v>
      </c>
      <c r="C129" s="44" t="s">
        <v>339</v>
      </c>
      <c r="D129" s="44">
        <v>5621208844</v>
      </c>
      <c r="E129" s="44">
        <v>179747</v>
      </c>
      <c r="F129" s="87">
        <v>514</v>
      </c>
      <c r="G129" s="56">
        <v>46031</v>
      </c>
    </row>
    <row r="130" spans="1:7" hidden="1" x14ac:dyDescent="0.3">
      <c r="A130" s="60" t="s">
        <v>17</v>
      </c>
      <c r="B130" s="60" t="s">
        <v>524</v>
      </c>
      <c r="C130" s="60" t="s">
        <v>339</v>
      </c>
      <c r="D130" s="60">
        <v>5621208844</v>
      </c>
      <c r="E130" s="60">
        <v>349922</v>
      </c>
      <c r="F130" s="79">
        <v>659.28</v>
      </c>
      <c r="G130" s="62">
        <v>46031</v>
      </c>
    </row>
    <row r="131" spans="1:7" s="60" customFormat="1" hidden="1" x14ac:dyDescent="0.3">
      <c r="A131" s="60" t="s">
        <v>11</v>
      </c>
      <c r="B131" s="60" t="s">
        <v>527</v>
      </c>
      <c r="C131" s="60" t="s">
        <v>90</v>
      </c>
      <c r="D131" s="60">
        <v>5513656850</v>
      </c>
      <c r="E131" s="60">
        <v>180382</v>
      </c>
      <c r="F131" s="79">
        <v>3446</v>
      </c>
      <c r="G131" s="62">
        <v>46031</v>
      </c>
    </row>
    <row r="132" spans="1:7" x14ac:dyDescent="0.3">
      <c r="A132" s="44" t="s">
        <v>11</v>
      </c>
      <c r="B132" s="44" t="s">
        <v>528</v>
      </c>
      <c r="C132" s="44" t="s">
        <v>0</v>
      </c>
      <c r="D132" s="44">
        <v>5513760260</v>
      </c>
      <c r="E132" s="44">
        <v>295648</v>
      </c>
      <c r="F132" s="87">
        <v>7474.92</v>
      </c>
      <c r="G132" s="56">
        <v>46031</v>
      </c>
    </row>
    <row r="133" spans="1:7" s="51" customFormat="1" hidden="1" x14ac:dyDescent="0.3">
      <c r="A133" s="44" t="s">
        <v>47</v>
      </c>
      <c r="B133" s="44" t="s">
        <v>224</v>
      </c>
      <c r="C133" s="44" t="s">
        <v>480</v>
      </c>
      <c r="D133" s="44">
        <v>5539564988</v>
      </c>
      <c r="E133" s="44">
        <v>295782</v>
      </c>
      <c r="F133" s="87">
        <v>5161.2</v>
      </c>
      <c r="G133" s="46">
        <v>46032</v>
      </c>
    </row>
    <row r="134" spans="1:7" hidden="1" x14ac:dyDescent="0.3">
      <c r="A134" s="51" t="s">
        <v>47</v>
      </c>
      <c r="B134" s="51" t="s">
        <v>537</v>
      </c>
      <c r="C134" s="51" t="s">
        <v>538</v>
      </c>
      <c r="D134" s="51">
        <v>5541813683</v>
      </c>
      <c r="E134" s="51">
        <v>179123</v>
      </c>
      <c r="F134" s="68">
        <v>1100</v>
      </c>
      <c r="G134" s="52">
        <v>46032</v>
      </c>
    </row>
    <row r="135" spans="1:7" s="51" customFormat="1" hidden="1" x14ac:dyDescent="0.3">
      <c r="A135" s="44" t="s">
        <v>47</v>
      </c>
      <c r="B135" s="44" t="s">
        <v>539</v>
      </c>
      <c r="C135" s="44" t="s">
        <v>540</v>
      </c>
      <c r="D135" s="44">
        <v>5561088792</v>
      </c>
      <c r="E135" s="44">
        <v>180213</v>
      </c>
      <c r="F135" s="87">
        <v>4699.75</v>
      </c>
      <c r="G135" s="46">
        <v>46032</v>
      </c>
    </row>
    <row r="136" spans="1:7" hidden="1" x14ac:dyDescent="0.3">
      <c r="A136" s="51" t="s">
        <v>47</v>
      </c>
      <c r="B136" s="51" t="s">
        <v>59</v>
      </c>
      <c r="C136" s="51" t="s">
        <v>541</v>
      </c>
      <c r="D136" s="51">
        <v>5631653944</v>
      </c>
      <c r="E136" s="51">
        <v>301355</v>
      </c>
      <c r="F136" s="68">
        <v>1130</v>
      </c>
      <c r="G136" s="52">
        <v>46032</v>
      </c>
    </row>
    <row r="137" spans="1:7" s="51" customFormat="1" hidden="1" x14ac:dyDescent="0.3">
      <c r="A137" s="51" t="s">
        <v>10</v>
      </c>
      <c r="B137" s="51" t="s">
        <v>533</v>
      </c>
      <c r="C137" s="51" t="s">
        <v>218</v>
      </c>
      <c r="D137" s="51">
        <v>4686896870</v>
      </c>
      <c r="E137" s="51">
        <v>295888</v>
      </c>
      <c r="F137" s="68">
        <v>16445</v>
      </c>
      <c r="G137" s="52">
        <v>46032</v>
      </c>
    </row>
    <row r="138" spans="1:7" hidden="1" x14ac:dyDescent="0.3">
      <c r="A138" s="44" t="s">
        <v>10</v>
      </c>
      <c r="B138" s="44" t="s">
        <v>532</v>
      </c>
      <c r="C138" s="44" t="s">
        <v>208</v>
      </c>
      <c r="D138" s="44">
        <v>5535537817</v>
      </c>
      <c r="E138" s="44">
        <v>295837</v>
      </c>
      <c r="F138" s="87">
        <v>15031.76</v>
      </c>
      <c r="G138" s="46">
        <v>46032</v>
      </c>
    </row>
    <row r="139" spans="1:7" s="51" customFormat="1" hidden="1" x14ac:dyDescent="0.3">
      <c r="A139" s="44" t="s">
        <v>10</v>
      </c>
      <c r="B139" s="44" t="s">
        <v>534</v>
      </c>
      <c r="C139" s="44" t="s">
        <v>425</v>
      </c>
      <c r="D139" s="44">
        <v>5544889671</v>
      </c>
      <c r="E139" s="44">
        <v>349942</v>
      </c>
      <c r="F139" s="87">
        <v>650</v>
      </c>
      <c r="G139" s="46">
        <v>46032</v>
      </c>
    </row>
    <row r="140" spans="1:7" hidden="1" x14ac:dyDescent="0.3">
      <c r="A140" s="51" t="s">
        <v>10</v>
      </c>
      <c r="B140" s="51" t="s">
        <v>432</v>
      </c>
      <c r="C140" s="51" t="s">
        <v>531</v>
      </c>
      <c r="D140" s="51">
        <v>5614639380</v>
      </c>
      <c r="E140" s="51">
        <v>180168</v>
      </c>
      <c r="F140" s="68">
        <v>2956</v>
      </c>
      <c r="G140" s="52">
        <v>46032</v>
      </c>
    </row>
    <row r="141" spans="1:7" s="51" customFormat="1" hidden="1" x14ac:dyDescent="0.3">
      <c r="A141" s="44" t="s">
        <v>17</v>
      </c>
      <c r="B141" s="44" t="s">
        <v>546</v>
      </c>
      <c r="C141" s="44" t="s">
        <v>336</v>
      </c>
      <c r="D141" s="44">
        <v>5527577305</v>
      </c>
      <c r="E141" s="44">
        <v>350059</v>
      </c>
      <c r="F141" s="87">
        <v>1241.8</v>
      </c>
      <c r="G141" s="46">
        <v>46032</v>
      </c>
    </row>
    <row r="142" spans="1:7" hidden="1" x14ac:dyDescent="0.3">
      <c r="A142" s="51" t="s">
        <v>17</v>
      </c>
      <c r="B142" s="51" t="s">
        <v>547</v>
      </c>
      <c r="C142" s="51" t="s">
        <v>548</v>
      </c>
      <c r="D142" s="51">
        <v>5543479679</v>
      </c>
      <c r="E142" s="51">
        <v>349985</v>
      </c>
      <c r="F142" s="68">
        <v>3241.64</v>
      </c>
      <c r="G142" s="52">
        <v>46032</v>
      </c>
    </row>
    <row r="143" spans="1:7" s="51" customFormat="1" hidden="1" x14ac:dyDescent="0.3">
      <c r="A143" s="44" t="s">
        <v>17</v>
      </c>
      <c r="B143" s="44" t="s">
        <v>542</v>
      </c>
      <c r="C143" s="44" t="s">
        <v>543</v>
      </c>
      <c r="D143" s="44">
        <v>5548815048</v>
      </c>
      <c r="E143" s="44">
        <v>180439</v>
      </c>
      <c r="F143" s="87">
        <v>3250</v>
      </c>
      <c r="G143" s="46">
        <v>46032</v>
      </c>
    </row>
    <row r="144" spans="1:7" hidden="1" x14ac:dyDescent="0.3">
      <c r="A144" s="44" t="s">
        <v>17</v>
      </c>
      <c r="B144" s="44" t="s">
        <v>549</v>
      </c>
      <c r="C144" s="44" t="s">
        <v>550</v>
      </c>
      <c r="D144" s="44">
        <v>5580885800</v>
      </c>
      <c r="E144" s="44">
        <v>180317</v>
      </c>
      <c r="F144" s="87">
        <v>7765.67</v>
      </c>
      <c r="G144" s="46">
        <v>46032</v>
      </c>
    </row>
    <row r="145" spans="1:7" s="51" customFormat="1" hidden="1" x14ac:dyDescent="0.3">
      <c r="A145" s="51" t="s">
        <v>17</v>
      </c>
      <c r="B145" s="51" t="s">
        <v>544</v>
      </c>
      <c r="C145" s="51" t="s">
        <v>545</v>
      </c>
      <c r="D145" s="51">
        <v>5611721511</v>
      </c>
      <c r="E145" s="51">
        <v>180418</v>
      </c>
      <c r="F145" s="68">
        <v>1147.96</v>
      </c>
      <c r="G145" s="52">
        <v>46032</v>
      </c>
    </row>
    <row r="146" spans="1:7" hidden="1" x14ac:dyDescent="0.3">
      <c r="A146" s="51" t="s">
        <v>11</v>
      </c>
      <c r="B146" s="51" t="s">
        <v>535</v>
      </c>
      <c r="C146" s="51" t="s">
        <v>536</v>
      </c>
      <c r="D146" s="51">
        <v>5621395439</v>
      </c>
      <c r="E146" s="51">
        <v>350091</v>
      </c>
      <c r="F146" s="68">
        <v>22950</v>
      </c>
      <c r="G146" s="52">
        <v>46032</v>
      </c>
    </row>
    <row r="147" spans="1:7" s="48" customFormat="1" hidden="1" x14ac:dyDescent="0.3">
      <c r="A147" s="48" t="s">
        <v>47</v>
      </c>
      <c r="B147" s="48" t="s">
        <v>551</v>
      </c>
      <c r="C147" s="48" t="s">
        <v>147</v>
      </c>
      <c r="D147" s="48">
        <v>5565742938</v>
      </c>
      <c r="E147" s="48">
        <v>295680</v>
      </c>
      <c r="F147" s="88">
        <v>23914.77</v>
      </c>
      <c r="G147" s="63">
        <v>46034</v>
      </c>
    </row>
    <row r="148" spans="1:7" hidden="1" x14ac:dyDescent="0.3">
      <c r="A148" s="44" t="s">
        <v>10</v>
      </c>
      <c r="B148" s="44" t="s">
        <v>552</v>
      </c>
      <c r="C148" s="44" t="s">
        <v>107</v>
      </c>
      <c r="D148" s="44">
        <v>5514795402</v>
      </c>
      <c r="E148" s="44">
        <v>350058</v>
      </c>
      <c r="F148" s="87">
        <v>3303.86</v>
      </c>
      <c r="G148" s="56">
        <v>46034</v>
      </c>
    </row>
    <row r="149" spans="1:7" s="48" customFormat="1" hidden="1" x14ac:dyDescent="0.3">
      <c r="A149" s="48" t="s">
        <v>10</v>
      </c>
      <c r="B149" s="48" t="s">
        <v>553</v>
      </c>
      <c r="C149" s="48" t="s">
        <v>345</v>
      </c>
      <c r="D149" s="48">
        <v>5523788617</v>
      </c>
      <c r="E149" s="48">
        <v>295599</v>
      </c>
      <c r="F149" s="88">
        <v>2356.0100000000002</v>
      </c>
      <c r="G149" s="63">
        <v>46034</v>
      </c>
    </row>
    <row r="150" spans="1:7" hidden="1" x14ac:dyDescent="0.3">
      <c r="A150" s="44" t="s">
        <v>10</v>
      </c>
      <c r="B150" s="44" t="s">
        <v>554</v>
      </c>
      <c r="C150" s="44" t="s">
        <v>163</v>
      </c>
      <c r="D150" s="44">
        <v>5531441980</v>
      </c>
      <c r="E150" s="44">
        <v>180477</v>
      </c>
      <c r="F150" s="87">
        <v>5928.72</v>
      </c>
      <c r="G150" s="56">
        <v>46034</v>
      </c>
    </row>
    <row r="151" spans="1:7" s="48" customFormat="1" hidden="1" x14ac:dyDescent="0.3">
      <c r="A151" s="48" t="s">
        <v>17</v>
      </c>
      <c r="B151" s="48" t="s">
        <v>275</v>
      </c>
      <c r="C151" s="48" t="s">
        <v>276</v>
      </c>
      <c r="D151" s="48">
        <v>5511246208</v>
      </c>
      <c r="E151" s="48">
        <v>350047</v>
      </c>
      <c r="F151" s="88">
        <v>6664.99</v>
      </c>
      <c r="G151" s="63">
        <v>46034</v>
      </c>
    </row>
    <row r="152" spans="1:7" hidden="1" x14ac:dyDescent="0.3">
      <c r="A152" s="44" t="s">
        <v>17</v>
      </c>
      <c r="B152" s="44" t="s">
        <v>275</v>
      </c>
      <c r="C152" s="44" t="s">
        <v>276</v>
      </c>
      <c r="D152" s="44">
        <v>5511246208</v>
      </c>
      <c r="E152" s="44">
        <v>301380</v>
      </c>
      <c r="F152" s="87">
        <v>1314</v>
      </c>
      <c r="G152" s="56">
        <v>46034</v>
      </c>
    </row>
    <row r="153" spans="1:7" s="48" customFormat="1" hidden="1" x14ac:dyDescent="0.3">
      <c r="A153" s="48" t="s">
        <v>17</v>
      </c>
      <c r="B153" s="48" t="s">
        <v>557</v>
      </c>
      <c r="C153" s="48" t="s">
        <v>558</v>
      </c>
      <c r="D153" s="48">
        <v>5513703531</v>
      </c>
      <c r="E153" s="48">
        <v>180632</v>
      </c>
      <c r="F153" s="88">
        <v>1500</v>
      </c>
      <c r="G153" s="63">
        <v>46034</v>
      </c>
    </row>
    <row r="154" spans="1:7" hidden="1" x14ac:dyDescent="0.3">
      <c r="A154" s="44" t="s">
        <v>17</v>
      </c>
      <c r="B154" s="44" t="s">
        <v>532</v>
      </c>
      <c r="C154" s="44" t="s">
        <v>208</v>
      </c>
      <c r="D154" s="44">
        <v>5535537817</v>
      </c>
      <c r="E154" s="44">
        <v>295837</v>
      </c>
      <c r="F154" s="87">
        <v>1501.78</v>
      </c>
      <c r="G154" s="56">
        <v>46034</v>
      </c>
    </row>
    <row r="155" spans="1:7" s="48" customFormat="1" hidden="1" x14ac:dyDescent="0.3">
      <c r="A155" s="48" t="s">
        <v>17</v>
      </c>
      <c r="B155" s="49" t="s">
        <v>549</v>
      </c>
      <c r="C155" s="48" t="s">
        <v>555</v>
      </c>
      <c r="D155" s="48">
        <v>5580885800</v>
      </c>
      <c r="E155" s="48">
        <v>180317</v>
      </c>
      <c r="F155" s="88">
        <v>7765.67</v>
      </c>
      <c r="G155" s="63">
        <v>46034</v>
      </c>
    </row>
    <row r="156" spans="1:7" hidden="1" x14ac:dyDescent="0.3">
      <c r="A156" s="44" t="s">
        <v>17</v>
      </c>
      <c r="B156" s="44" t="s">
        <v>556</v>
      </c>
      <c r="C156" s="44" t="s">
        <v>561</v>
      </c>
      <c r="D156" s="44">
        <v>5630067875</v>
      </c>
      <c r="E156" s="44">
        <v>350145</v>
      </c>
      <c r="F156" s="87">
        <v>4115</v>
      </c>
      <c r="G156" s="56">
        <v>46034</v>
      </c>
    </row>
    <row r="157" spans="1:7" s="48" customFormat="1" hidden="1" x14ac:dyDescent="0.3">
      <c r="A157" s="48" t="s">
        <v>11</v>
      </c>
      <c r="B157" s="48" t="s">
        <v>2079</v>
      </c>
      <c r="C157" s="48" t="s">
        <v>560</v>
      </c>
      <c r="D157" s="48">
        <v>5578854795</v>
      </c>
      <c r="E157" s="48">
        <v>1645</v>
      </c>
      <c r="F157" s="88">
        <v>56443.6</v>
      </c>
      <c r="G157" s="63">
        <v>46034</v>
      </c>
    </row>
    <row r="158" spans="1:7" hidden="1" x14ac:dyDescent="0.3">
      <c r="A158" s="44" t="s">
        <v>11</v>
      </c>
      <c r="B158" s="44" t="s">
        <v>2079</v>
      </c>
      <c r="C158" s="44" t="s">
        <v>560</v>
      </c>
      <c r="D158" s="44">
        <v>5578854795</v>
      </c>
      <c r="E158" s="44">
        <v>1644</v>
      </c>
      <c r="F158" s="87">
        <v>92257.56</v>
      </c>
      <c r="G158" s="56">
        <v>46034</v>
      </c>
    </row>
    <row r="159" spans="1:7" s="48" customFormat="1" hidden="1" x14ac:dyDescent="0.3">
      <c r="A159" s="48" t="s">
        <v>11</v>
      </c>
      <c r="B159" s="48" t="s">
        <v>2079</v>
      </c>
      <c r="C159" s="48" t="s">
        <v>560</v>
      </c>
      <c r="D159" s="48">
        <v>5578854795</v>
      </c>
      <c r="E159" s="48">
        <v>1647</v>
      </c>
      <c r="F159" s="88">
        <v>31009.05</v>
      </c>
      <c r="G159" s="63">
        <v>46034</v>
      </c>
    </row>
    <row r="160" spans="1:7" x14ac:dyDescent="0.3">
      <c r="A160" s="42" t="s">
        <v>10</v>
      </c>
      <c r="B160" s="42" t="s">
        <v>570</v>
      </c>
      <c r="C160" s="42" t="s">
        <v>161</v>
      </c>
      <c r="D160" s="42">
        <v>5512477942</v>
      </c>
      <c r="E160" s="42">
        <v>180817</v>
      </c>
      <c r="F160" s="86">
        <v>1886</v>
      </c>
      <c r="G160" s="43">
        <v>46035</v>
      </c>
    </row>
    <row r="161" spans="1:7" s="42" customFormat="1" hidden="1" x14ac:dyDescent="0.3">
      <c r="A161" s="44" t="s">
        <v>10</v>
      </c>
      <c r="B161" s="44" t="s">
        <v>569</v>
      </c>
      <c r="C161" s="44" t="s">
        <v>306</v>
      </c>
      <c r="D161" s="44">
        <v>5513776404</v>
      </c>
      <c r="E161" s="44">
        <v>350014</v>
      </c>
      <c r="F161" s="87">
        <v>573.20000000000005</v>
      </c>
      <c r="G161" s="46">
        <v>46035</v>
      </c>
    </row>
    <row r="162" spans="1:7" s="42" customFormat="1" hidden="1" x14ac:dyDescent="0.3">
      <c r="A162" s="42" t="s">
        <v>10</v>
      </c>
      <c r="B162" s="42" t="s">
        <v>568</v>
      </c>
      <c r="C162" s="42" t="s">
        <v>123</v>
      </c>
      <c r="D162" s="42">
        <v>5528929533</v>
      </c>
      <c r="E162" s="42">
        <v>180571</v>
      </c>
      <c r="F162" s="86">
        <v>1822.24</v>
      </c>
      <c r="G162" s="43">
        <v>46035</v>
      </c>
    </row>
    <row r="163" spans="1:7" s="42" customFormat="1" hidden="1" x14ac:dyDescent="0.3">
      <c r="A163" s="44" t="s">
        <v>10</v>
      </c>
      <c r="B163" s="44" t="s">
        <v>574</v>
      </c>
      <c r="C163" s="44" t="s">
        <v>575</v>
      </c>
      <c r="D163" s="44">
        <v>5557904336</v>
      </c>
      <c r="E163" s="44">
        <v>180813</v>
      </c>
      <c r="F163" s="87">
        <v>595</v>
      </c>
      <c r="G163" s="46">
        <v>46035</v>
      </c>
    </row>
    <row r="164" spans="1:7" hidden="1" x14ac:dyDescent="0.3">
      <c r="A164" s="42" t="s">
        <v>10</v>
      </c>
      <c r="B164" s="42" t="s">
        <v>573</v>
      </c>
      <c r="C164" s="42" t="s">
        <v>480</v>
      </c>
      <c r="D164" s="42">
        <v>5566293855</v>
      </c>
      <c r="E164" s="42">
        <v>350242</v>
      </c>
      <c r="F164" s="86">
        <v>7754</v>
      </c>
      <c r="G164" s="43">
        <v>46035</v>
      </c>
    </row>
    <row r="165" spans="1:7" s="42" customFormat="1" hidden="1" x14ac:dyDescent="0.3">
      <c r="A165" s="44" t="s">
        <v>10</v>
      </c>
      <c r="B165" s="44" t="s">
        <v>571</v>
      </c>
      <c r="C165" s="44" t="s">
        <v>572</v>
      </c>
      <c r="D165" s="44">
        <v>5574395989</v>
      </c>
      <c r="E165" s="44">
        <v>296037</v>
      </c>
      <c r="F165" s="87">
        <v>1950</v>
      </c>
      <c r="G165" s="46">
        <v>46035</v>
      </c>
    </row>
    <row r="166" spans="1:7" s="42" customFormat="1" hidden="1" x14ac:dyDescent="0.3">
      <c r="A166" s="42" t="s">
        <v>10</v>
      </c>
      <c r="B166" s="42" t="s">
        <v>146</v>
      </c>
      <c r="C166" s="42" t="s">
        <v>41</v>
      </c>
      <c r="D166" s="42">
        <v>5623922891</v>
      </c>
      <c r="E166" s="42">
        <v>180791</v>
      </c>
      <c r="F166" s="86">
        <v>735</v>
      </c>
      <c r="G166" s="43">
        <v>46035</v>
      </c>
    </row>
    <row r="167" spans="1:7" hidden="1" x14ac:dyDescent="0.3">
      <c r="A167" s="42" t="s">
        <v>10</v>
      </c>
      <c r="B167" s="42" t="s">
        <v>567</v>
      </c>
      <c r="C167" s="42" t="s">
        <v>576</v>
      </c>
      <c r="D167" s="42">
        <v>5644827929</v>
      </c>
      <c r="E167" s="42">
        <v>295867</v>
      </c>
      <c r="F167" s="86">
        <v>4553.59</v>
      </c>
      <c r="G167" s="43">
        <v>46035</v>
      </c>
    </row>
    <row r="168" spans="1:7" s="42" customFormat="1" hidden="1" x14ac:dyDescent="0.3">
      <c r="A168" s="44" t="s">
        <v>17</v>
      </c>
      <c r="B168" s="44" t="s">
        <v>563</v>
      </c>
      <c r="C168" s="44" t="s">
        <v>564</v>
      </c>
      <c r="D168" s="44">
        <v>4423392533</v>
      </c>
      <c r="E168" s="44">
        <v>350177</v>
      </c>
      <c r="F168" s="87">
        <v>74.959999999999994</v>
      </c>
      <c r="G168" s="46">
        <v>46035</v>
      </c>
    </row>
    <row r="169" spans="1:7" hidden="1" x14ac:dyDescent="0.3">
      <c r="A169" s="42" t="s">
        <v>17</v>
      </c>
      <c r="B169" s="42" t="s">
        <v>566</v>
      </c>
      <c r="C169" s="42" t="s">
        <v>54</v>
      </c>
      <c r="D169" s="42">
        <v>5533096013</v>
      </c>
      <c r="E169" s="42">
        <v>350179</v>
      </c>
      <c r="F169" s="86">
        <v>3054</v>
      </c>
      <c r="G169" s="43">
        <v>46035</v>
      </c>
    </row>
    <row r="170" spans="1:7" s="42" customFormat="1" hidden="1" x14ac:dyDescent="0.3">
      <c r="A170" s="42" t="s">
        <v>17</v>
      </c>
      <c r="B170" s="42" t="s">
        <v>565</v>
      </c>
      <c r="C170" s="42" t="s">
        <v>465</v>
      </c>
      <c r="D170" s="42">
        <v>5559307944</v>
      </c>
      <c r="E170" s="42">
        <v>180548</v>
      </c>
      <c r="F170" s="86">
        <v>5384</v>
      </c>
      <c r="G170" s="43">
        <v>46035</v>
      </c>
    </row>
    <row r="171" spans="1:7" hidden="1" x14ac:dyDescent="0.3">
      <c r="A171" s="44" t="s">
        <v>17</v>
      </c>
      <c r="B171" s="44" t="s">
        <v>158</v>
      </c>
      <c r="C171" s="44" t="s">
        <v>159</v>
      </c>
      <c r="D171" s="44">
        <v>5570826626</v>
      </c>
      <c r="E171" s="44">
        <v>350018</v>
      </c>
      <c r="F171" s="87">
        <v>6233.04</v>
      </c>
      <c r="G171" s="46">
        <v>46035</v>
      </c>
    </row>
    <row r="172" spans="1:7" s="42" customFormat="1" hidden="1" x14ac:dyDescent="0.3">
      <c r="A172" s="42" t="s">
        <v>17</v>
      </c>
      <c r="B172" s="42" t="s">
        <v>562</v>
      </c>
      <c r="C172" s="42" t="s">
        <v>297</v>
      </c>
      <c r="D172" s="42">
        <v>5584978785</v>
      </c>
      <c r="E172" s="42">
        <v>296026</v>
      </c>
      <c r="F172" s="86">
        <v>603</v>
      </c>
      <c r="G172" s="43">
        <v>46035</v>
      </c>
    </row>
    <row r="173" spans="1:7" hidden="1" x14ac:dyDescent="0.3">
      <c r="A173" s="44" t="s">
        <v>17</v>
      </c>
      <c r="B173" s="44" t="s">
        <v>186</v>
      </c>
      <c r="C173" s="44" t="s">
        <v>187</v>
      </c>
      <c r="D173" s="44">
        <v>5610944519</v>
      </c>
      <c r="E173" s="44">
        <v>180563</v>
      </c>
      <c r="F173" s="87">
        <v>9263.99</v>
      </c>
      <c r="G173" s="46">
        <v>46035</v>
      </c>
    </row>
    <row r="174" spans="1:7" s="42" customFormat="1" hidden="1" x14ac:dyDescent="0.3">
      <c r="A174" s="44" t="s">
        <v>11</v>
      </c>
      <c r="B174" s="44" t="s">
        <v>579</v>
      </c>
      <c r="C174" s="44" t="s">
        <v>580</v>
      </c>
      <c r="D174" s="44">
        <v>5515369770</v>
      </c>
      <c r="E174" s="44">
        <v>180199</v>
      </c>
      <c r="F174" s="87">
        <v>6434</v>
      </c>
      <c r="G174" s="46">
        <v>46035</v>
      </c>
    </row>
    <row r="175" spans="1:7" hidden="1" x14ac:dyDescent="0.3">
      <c r="A175" s="42" t="s">
        <v>11</v>
      </c>
      <c r="B175" s="42" t="s">
        <v>577</v>
      </c>
      <c r="C175" s="42" t="s">
        <v>578</v>
      </c>
      <c r="D175" s="42">
        <v>5544489801</v>
      </c>
      <c r="E175" s="42">
        <v>350017</v>
      </c>
      <c r="F175" s="86">
        <v>14107.63</v>
      </c>
      <c r="G175" s="43">
        <v>46035</v>
      </c>
    </row>
    <row r="176" spans="1:7" s="64" customFormat="1" hidden="1" x14ac:dyDescent="0.3">
      <c r="A176" s="44" t="s">
        <v>47</v>
      </c>
      <c r="B176" s="44" t="s">
        <v>364</v>
      </c>
      <c r="C176" s="44" t="s">
        <v>593</v>
      </c>
      <c r="D176" s="44">
        <v>5527842592</v>
      </c>
      <c r="E176" s="44">
        <v>350270</v>
      </c>
      <c r="F176" s="87">
        <v>1739.99</v>
      </c>
      <c r="G176" s="56">
        <v>46036</v>
      </c>
    </row>
    <row r="177" spans="1:7" hidden="1" x14ac:dyDescent="0.3">
      <c r="A177" s="64" t="s">
        <v>47</v>
      </c>
      <c r="B177" s="64" t="s">
        <v>364</v>
      </c>
      <c r="C177" s="64" t="s">
        <v>593</v>
      </c>
      <c r="D177" s="64">
        <v>5527842592</v>
      </c>
      <c r="E177" s="64">
        <v>350121</v>
      </c>
      <c r="F177" s="91">
        <v>2190.0100000000002</v>
      </c>
      <c r="G177" s="65">
        <v>46036</v>
      </c>
    </row>
    <row r="178" spans="1:7" s="64" customFormat="1" hidden="1" x14ac:dyDescent="0.3">
      <c r="A178" s="64" t="s">
        <v>47</v>
      </c>
      <c r="B178" s="64" t="s">
        <v>270</v>
      </c>
      <c r="C178" s="64" t="s">
        <v>478</v>
      </c>
      <c r="D178" s="64">
        <v>5527842592</v>
      </c>
      <c r="E178" s="64">
        <v>180677</v>
      </c>
      <c r="F178" s="91">
        <v>3513.32</v>
      </c>
      <c r="G178" s="65">
        <v>46036</v>
      </c>
    </row>
    <row r="179" spans="1:7" s="64" customFormat="1" hidden="1" x14ac:dyDescent="0.3">
      <c r="A179" s="44" t="s">
        <v>10</v>
      </c>
      <c r="B179" s="44" t="s">
        <v>588</v>
      </c>
      <c r="C179" s="44" t="s">
        <v>56</v>
      </c>
      <c r="D179" s="44">
        <v>5523625972</v>
      </c>
      <c r="E179" s="44">
        <v>180877</v>
      </c>
      <c r="F179" s="87">
        <v>3904.4</v>
      </c>
      <c r="G179" s="56">
        <v>46036</v>
      </c>
    </row>
    <row r="180" spans="1:7" x14ac:dyDescent="0.3">
      <c r="A180" s="44" t="s">
        <v>10</v>
      </c>
      <c r="B180" s="44" t="s">
        <v>590</v>
      </c>
      <c r="C180" s="44" t="s">
        <v>123</v>
      </c>
      <c r="D180" s="44">
        <v>5582333678</v>
      </c>
      <c r="E180" s="44">
        <v>350138</v>
      </c>
      <c r="F180" s="87">
        <v>2128</v>
      </c>
      <c r="G180" s="56">
        <v>46036</v>
      </c>
    </row>
    <row r="181" spans="1:7" s="64" customFormat="1" hidden="1" x14ac:dyDescent="0.3">
      <c r="A181" s="64" t="s">
        <v>10</v>
      </c>
      <c r="B181" s="64" t="s">
        <v>589</v>
      </c>
      <c r="C181" s="64" t="s">
        <v>56</v>
      </c>
      <c r="D181" s="64">
        <v>5593072105</v>
      </c>
      <c r="E181" s="64">
        <v>177889</v>
      </c>
      <c r="F181" s="91">
        <v>982.96</v>
      </c>
      <c r="G181" s="65">
        <v>46036</v>
      </c>
    </row>
    <row r="182" spans="1:7" hidden="1" x14ac:dyDescent="0.3">
      <c r="A182" s="44" t="s">
        <v>10</v>
      </c>
      <c r="B182" s="44" t="s">
        <v>603</v>
      </c>
      <c r="C182" s="44" t="s">
        <v>60</v>
      </c>
      <c r="D182" s="44">
        <v>5596903852</v>
      </c>
      <c r="E182" s="44">
        <v>350216</v>
      </c>
      <c r="F182" s="87">
        <v>1700</v>
      </c>
      <c r="G182" s="56">
        <v>46036</v>
      </c>
    </row>
    <row r="183" spans="1:7" hidden="1" x14ac:dyDescent="0.3">
      <c r="A183" s="64" t="s">
        <v>10</v>
      </c>
      <c r="B183" s="64" t="s">
        <v>604</v>
      </c>
      <c r="C183" s="64" t="s">
        <v>161</v>
      </c>
      <c r="D183" s="64">
        <v>5614193660</v>
      </c>
      <c r="E183" s="64">
        <v>350184</v>
      </c>
      <c r="F183" s="91">
        <v>9645.99</v>
      </c>
      <c r="G183" s="65">
        <v>46036</v>
      </c>
    </row>
    <row r="184" spans="1:7" s="64" customFormat="1" hidden="1" x14ac:dyDescent="0.3">
      <c r="A184" s="44" t="s">
        <v>17</v>
      </c>
      <c r="B184" s="44" t="s">
        <v>587</v>
      </c>
      <c r="C184" s="44" t="s">
        <v>43</v>
      </c>
      <c r="D184" s="44">
        <v>5531646109</v>
      </c>
      <c r="E184" s="44">
        <v>350172</v>
      </c>
      <c r="F184" s="87">
        <v>748.24</v>
      </c>
      <c r="G184" s="56">
        <v>46036</v>
      </c>
    </row>
    <row r="185" spans="1:7" hidden="1" x14ac:dyDescent="0.3">
      <c r="A185" s="64" t="s">
        <v>17</v>
      </c>
      <c r="B185" s="64" t="s">
        <v>583</v>
      </c>
      <c r="C185" s="64" t="s">
        <v>425</v>
      </c>
      <c r="D185" s="64">
        <v>5541424331</v>
      </c>
      <c r="E185" s="64">
        <v>650256</v>
      </c>
      <c r="F185" s="91">
        <v>4272</v>
      </c>
      <c r="G185" s="65">
        <v>46036</v>
      </c>
    </row>
    <row r="186" spans="1:7" s="64" customFormat="1" hidden="1" x14ac:dyDescent="0.3">
      <c r="A186" s="44" t="s">
        <v>17</v>
      </c>
      <c r="B186" s="44" t="s">
        <v>585</v>
      </c>
      <c r="C186" s="44" t="s">
        <v>586</v>
      </c>
      <c r="D186" s="44">
        <v>5542503443</v>
      </c>
      <c r="E186" s="44">
        <v>180972</v>
      </c>
      <c r="F186" s="87">
        <v>1206</v>
      </c>
      <c r="G186" s="56">
        <v>46036</v>
      </c>
    </row>
    <row r="187" spans="1:7" hidden="1" x14ac:dyDescent="0.3">
      <c r="A187" s="64" t="s">
        <v>17</v>
      </c>
      <c r="B187" s="64" t="s">
        <v>584</v>
      </c>
      <c r="C187" s="64" t="s">
        <v>324</v>
      </c>
      <c r="D187" s="64">
        <v>5544419441</v>
      </c>
      <c r="E187" s="64">
        <v>180946</v>
      </c>
      <c r="F187" s="91">
        <v>2274</v>
      </c>
      <c r="G187" s="65">
        <v>46036</v>
      </c>
    </row>
    <row r="188" spans="1:7" s="64" customFormat="1" hidden="1" x14ac:dyDescent="0.3">
      <c r="A188" s="64" t="s">
        <v>17</v>
      </c>
      <c r="B188" s="64" t="s">
        <v>534</v>
      </c>
      <c r="C188" s="64" t="s">
        <v>425</v>
      </c>
      <c r="D188" s="64">
        <v>5544889071</v>
      </c>
      <c r="E188" s="64">
        <v>180390</v>
      </c>
      <c r="F188" s="91">
        <v>650</v>
      </c>
      <c r="G188" s="65">
        <v>46036</v>
      </c>
    </row>
    <row r="189" spans="1:7" hidden="1" x14ac:dyDescent="0.3">
      <c r="A189" s="44" t="s">
        <v>17</v>
      </c>
      <c r="B189" s="44" t="s">
        <v>581</v>
      </c>
      <c r="C189" s="44" t="s">
        <v>582</v>
      </c>
      <c r="D189" s="44">
        <v>5578754494</v>
      </c>
      <c r="E189" s="44">
        <v>301420</v>
      </c>
      <c r="F189" s="87">
        <v>6480</v>
      </c>
      <c r="G189" s="56">
        <v>46036</v>
      </c>
    </row>
    <row r="190" spans="1:7" s="64" customFormat="1" hidden="1" x14ac:dyDescent="0.3">
      <c r="A190" s="64" t="s">
        <v>17</v>
      </c>
      <c r="B190" s="64" t="s">
        <v>108</v>
      </c>
      <c r="C190" s="64" t="s">
        <v>345</v>
      </c>
      <c r="D190" s="64">
        <v>5617630065</v>
      </c>
      <c r="E190" s="64">
        <v>295885</v>
      </c>
      <c r="F190" s="91">
        <v>2760</v>
      </c>
      <c r="G190" s="65">
        <v>46036</v>
      </c>
    </row>
    <row r="191" spans="1:7" hidden="1" x14ac:dyDescent="0.3">
      <c r="A191" s="64" t="s">
        <v>11</v>
      </c>
      <c r="B191" s="64" t="s">
        <v>594</v>
      </c>
      <c r="C191" s="64" t="s">
        <v>54</v>
      </c>
      <c r="D191" s="64">
        <v>5538830394</v>
      </c>
      <c r="E191" s="64">
        <v>296114</v>
      </c>
      <c r="F191" s="91">
        <v>1300</v>
      </c>
      <c r="G191" s="65">
        <v>46036</v>
      </c>
    </row>
    <row r="192" spans="1:7" s="64" customFormat="1" hidden="1" x14ac:dyDescent="0.3">
      <c r="A192" s="44" t="s">
        <v>11</v>
      </c>
      <c r="B192" s="44" t="s">
        <v>592</v>
      </c>
      <c r="C192" s="44" t="s">
        <v>592</v>
      </c>
      <c r="D192" s="44">
        <v>5542991429</v>
      </c>
      <c r="E192" s="44">
        <v>296105</v>
      </c>
      <c r="F192" s="87">
        <v>1882</v>
      </c>
      <c r="G192" s="56">
        <v>46036</v>
      </c>
    </row>
    <row r="193" spans="1:7" hidden="1" x14ac:dyDescent="0.3">
      <c r="A193" s="64" t="s">
        <v>11</v>
      </c>
      <c r="B193" s="64" t="s">
        <v>298</v>
      </c>
      <c r="C193" s="64" t="s">
        <v>591</v>
      </c>
      <c r="D193" s="64">
        <v>5591940032</v>
      </c>
      <c r="E193" s="64">
        <v>295967</v>
      </c>
      <c r="F193" s="91">
        <v>8352.31</v>
      </c>
      <c r="G193" s="65">
        <v>46036</v>
      </c>
    </row>
    <row r="194" spans="1:7" s="64" customFormat="1" hidden="1" x14ac:dyDescent="0.3">
      <c r="A194" s="44" t="s">
        <v>11</v>
      </c>
      <c r="B194" s="44" t="s">
        <v>298</v>
      </c>
      <c r="C194" s="44" t="s">
        <v>591</v>
      </c>
      <c r="D194" s="44">
        <v>5591940032</v>
      </c>
      <c r="E194" s="44">
        <v>295965</v>
      </c>
      <c r="F194" s="87">
        <v>2225.9899999999998</v>
      </c>
      <c r="G194" s="56">
        <v>46036</v>
      </c>
    </row>
    <row r="195" spans="1:7" hidden="1" x14ac:dyDescent="0.3">
      <c r="A195" s="44" t="s">
        <v>10</v>
      </c>
      <c r="B195" s="44" t="s">
        <v>608</v>
      </c>
      <c r="C195" s="44" t="s">
        <v>297</v>
      </c>
      <c r="D195" s="44">
        <v>5525689508</v>
      </c>
      <c r="E195" s="44">
        <v>296114</v>
      </c>
      <c r="F195" s="87">
        <v>14434</v>
      </c>
      <c r="G195" s="46">
        <v>46037</v>
      </c>
    </row>
    <row r="196" spans="1:7" s="66" customFormat="1" hidden="1" x14ac:dyDescent="0.3">
      <c r="A196" s="66" t="s">
        <v>10</v>
      </c>
      <c r="B196" s="66" t="s">
        <v>606</v>
      </c>
      <c r="C196" s="66" t="s">
        <v>336</v>
      </c>
      <c r="D196" s="66">
        <v>5527577305</v>
      </c>
      <c r="E196" s="66">
        <v>296162</v>
      </c>
      <c r="F196" s="92">
        <v>1695.84</v>
      </c>
      <c r="G196" s="67">
        <v>46037</v>
      </c>
    </row>
    <row r="197" spans="1:7" hidden="1" x14ac:dyDescent="0.3">
      <c r="A197" s="66" t="s">
        <v>10</v>
      </c>
      <c r="B197" s="66" t="s">
        <v>224</v>
      </c>
      <c r="C197" s="66" t="s">
        <v>480</v>
      </c>
      <c r="D197" s="66">
        <v>5539564988</v>
      </c>
      <c r="E197" s="66">
        <v>296036</v>
      </c>
      <c r="F197" s="92">
        <v>5175.1899999999996</v>
      </c>
      <c r="G197" s="67">
        <v>46037</v>
      </c>
    </row>
    <row r="198" spans="1:7" s="66" customFormat="1" hidden="1" x14ac:dyDescent="0.3">
      <c r="A198" s="44" t="s">
        <v>10</v>
      </c>
      <c r="B198" s="44" t="s">
        <v>605</v>
      </c>
      <c r="C198" s="44" t="s">
        <v>152</v>
      </c>
      <c r="D198" s="44">
        <v>5540562652</v>
      </c>
      <c r="E198" s="44">
        <v>181111</v>
      </c>
      <c r="F198" s="87">
        <v>9380</v>
      </c>
      <c r="G198" s="46">
        <v>46037</v>
      </c>
    </row>
    <row r="199" spans="1:7" hidden="1" x14ac:dyDescent="0.3">
      <c r="A199" s="44" t="s">
        <v>10</v>
      </c>
      <c r="B199" s="44" t="s">
        <v>607</v>
      </c>
      <c r="C199" s="44" t="s">
        <v>204</v>
      </c>
      <c r="D199" s="44">
        <v>5570265288</v>
      </c>
      <c r="E199" s="44">
        <v>180849</v>
      </c>
      <c r="F199" s="87">
        <v>5749</v>
      </c>
      <c r="G199" s="46">
        <v>46037</v>
      </c>
    </row>
    <row r="200" spans="1:7" s="66" customFormat="1" hidden="1" x14ac:dyDescent="0.3">
      <c r="A200" s="66" t="s">
        <v>10</v>
      </c>
      <c r="B200" s="66" t="s">
        <v>609</v>
      </c>
      <c r="C200" s="66" t="s">
        <v>480</v>
      </c>
      <c r="D200" s="66">
        <v>5578808418</v>
      </c>
      <c r="E200" s="66">
        <v>296016</v>
      </c>
      <c r="F200" s="92">
        <v>1948.72</v>
      </c>
      <c r="G200" s="67">
        <v>46037</v>
      </c>
    </row>
    <row r="201" spans="1:7" s="66" customFormat="1" hidden="1" x14ac:dyDescent="0.3">
      <c r="A201" s="66" t="s">
        <v>17</v>
      </c>
      <c r="B201" s="66" t="s">
        <v>271</v>
      </c>
      <c r="C201" s="66" t="s">
        <v>616</v>
      </c>
      <c r="D201" s="66">
        <v>5535892760</v>
      </c>
      <c r="E201" s="66">
        <v>180616</v>
      </c>
      <c r="F201" s="92">
        <v>5999.99</v>
      </c>
      <c r="G201" s="67">
        <v>46037</v>
      </c>
    </row>
    <row r="202" spans="1:7" hidden="1" x14ac:dyDescent="0.3">
      <c r="A202" s="44" t="s">
        <v>17</v>
      </c>
      <c r="B202" s="44" t="s">
        <v>314</v>
      </c>
      <c r="C202" s="44" t="s">
        <v>43</v>
      </c>
      <c r="D202" s="44">
        <v>5544844808</v>
      </c>
      <c r="E202" s="44">
        <v>180724</v>
      </c>
      <c r="F202" s="87">
        <v>2177.36</v>
      </c>
      <c r="G202" s="46">
        <v>46037</v>
      </c>
    </row>
    <row r="203" spans="1:7" s="66" customFormat="1" hidden="1" x14ac:dyDescent="0.3">
      <c r="A203" s="66" t="s">
        <v>17</v>
      </c>
      <c r="B203" s="66" t="s">
        <v>613</v>
      </c>
      <c r="C203" s="66" t="s">
        <v>4</v>
      </c>
      <c r="D203" s="66">
        <v>5548544917</v>
      </c>
      <c r="E203" s="66">
        <v>350261</v>
      </c>
      <c r="F203" s="92">
        <v>2310</v>
      </c>
      <c r="G203" s="67">
        <v>46037</v>
      </c>
    </row>
    <row r="204" spans="1:7" hidden="1" x14ac:dyDescent="0.3">
      <c r="A204" s="44" t="s">
        <v>17</v>
      </c>
      <c r="B204" s="44" t="s">
        <v>428</v>
      </c>
      <c r="C204" s="44" t="s">
        <v>425</v>
      </c>
      <c r="D204" s="44">
        <v>5571687373</v>
      </c>
      <c r="E204" s="44">
        <v>181083</v>
      </c>
      <c r="F204" s="87">
        <v>1870</v>
      </c>
      <c r="G204" s="46">
        <v>46037</v>
      </c>
    </row>
    <row r="205" spans="1:7" s="66" customFormat="1" hidden="1" x14ac:dyDescent="0.3">
      <c r="A205" s="44" t="s">
        <v>17</v>
      </c>
      <c r="B205" s="44" t="s">
        <v>615</v>
      </c>
      <c r="C205" s="44" t="s">
        <v>4</v>
      </c>
      <c r="D205" s="44">
        <v>5630057041</v>
      </c>
      <c r="E205" s="44">
        <v>350212</v>
      </c>
      <c r="F205" s="87">
        <v>9540.99</v>
      </c>
      <c r="G205" s="46">
        <v>46037</v>
      </c>
    </row>
    <row r="206" spans="1:7" hidden="1" x14ac:dyDescent="0.3">
      <c r="A206" s="44" t="s">
        <v>11</v>
      </c>
      <c r="B206" s="44" t="s">
        <v>310</v>
      </c>
      <c r="C206" s="44" t="s">
        <v>16</v>
      </c>
      <c r="D206" s="44">
        <v>5514614910</v>
      </c>
      <c r="E206" s="44">
        <v>180788</v>
      </c>
      <c r="F206" s="87">
        <v>3843</v>
      </c>
      <c r="G206" s="46">
        <v>46037</v>
      </c>
    </row>
    <row r="207" spans="1:7" s="66" customFormat="1" hidden="1" x14ac:dyDescent="0.3">
      <c r="A207" s="66" t="s">
        <v>11</v>
      </c>
      <c r="B207" s="66" t="s">
        <v>310</v>
      </c>
      <c r="C207" s="66" t="s">
        <v>16</v>
      </c>
      <c r="D207" s="66">
        <v>5514614910</v>
      </c>
      <c r="E207" s="66">
        <v>32634</v>
      </c>
      <c r="F207" s="92">
        <v>11595.99</v>
      </c>
      <c r="G207" s="67">
        <v>46037</v>
      </c>
    </row>
    <row r="208" spans="1:7" s="66" customFormat="1" hidden="1" x14ac:dyDescent="0.3">
      <c r="A208" s="66" t="s">
        <v>11</v>
      </c>
      <c r="B208" s="66" t="s">
        <v>254</v>
      </c>
      <c r="C208" s="66" t="s">
        <v>58</v>
      </c>
      <c r="D208" s="66">
        <v>5554550976</v>
      </c>
      <c r="E208" s="66">
        <v>296153</v>
      </c>
      <c r="F208" s="92">
        <v>4077.92</v>
      </c>
      <c r="G208" s="67">
        <v>46037</v>
      </c>
    </row>
    <row r="209" spans="1:7" s="66" customFormat="1" hidden="1" x14ac:dyDescent="0.3">
      <c r="A209" s="44" t="s">
        <v>11</v>
      </c>
      <c r="B209" s="44" t="s">
        <v>612</v>
      </c>
      <c r="C209" s="44" t="s">
        <v>138</v>
      </c>
      <c r="D209" s="44">
        <v>5573589145</v>
      </c>
      <c r="E209" s="44">
        <v>350211</v>
      </c>
      <c r="F209" s="87">
        <v>20647</v>
      </c>
      <c r="G209" s="46">
        <v>46037</v>
      </c>
    </row>
    <row r="210" spans="1:7" hidden="1" x14ac:dyDescent="0.3">
      <c r="A210" s="44" t="s">
        <v>11</v>
      </c>
      <c r="B210" s="44" t="s">
        <v>610</v>
      </c>
      <c r="C210" s="44" t="s">
        <v>611</v>
      </c>
      <c r="D210" s="44">
        <v>5582860407</v>
      </c>
      <c r="E210" s="44">
        <v>295913</v>
      </c>
      <c r="F210" s="87">
        <v>15786.96</v>
      </c>
      <c r="G210" s="46">
        <v>46037</v>
      </c>
    </row>
    <row r="211" spans="1:7" s="60" customFormat="1" hidden="1" x14ac:dyDescent="0.3">
      <c r="A211" s="60" t="s">
        <v>10</v>
      </c>
      <c r="B211" s="60" t="s">
        <v>619</v>
      </c>
      <c r="C211" s="60" t="s">
        <v>41</v>
      </c>
      <c r="D211" s="60">
        <v>5527288634</v>
      </c>
      <c r="E211" s="60">
        <v>181190</v>
      </c>
      <c r="F211" s="79">
        <v>2083.9899999999998</v>
      </c>
      <c r="G211" s="62">
        <v>46038</v>
      </c>
    </row>
    <row r="212" spans="1:7" hidden="1" x14ac:dyDescent="0.3">
      <c r="A212" s="44" t="s">
        <v>10</v>
      </c>
      <c r="B212" s="44" t="s">
        <v>623</v>
      </c>
      <c r="C212" s="44" t="s">
        <v>624</v>
      </c>
      <c r="D212" s="44">
        <v>5528831545</v>
      </c>
      <c r="E212" s="44">
        <v>180845</v>
      </c>
      <c r="F212" s="87">
        <v>9018</v>
      </c>
      <c r="G212" s="56">
        <v>46038</v>
      </c>
    </row>
    <row r="213" spans="1:7" s="60" customFormat="1" hidden="1" x14ac:dyDescent="0.3">
      <c r="A213" s="44" t="s">
        <v>10</v>
      </c>
      <c r="B213" s="44" t="s">
        <v>620</v>
      </c>
      <c r="C213" s="44" t="s">
        <v>123</v>
      </c>
      <c r="D213" s="44">
        <v>5539252389</v>
      </c>
      <c r="E213" s="44">
        <v>350414</v>
      </c>
      <c r="F213" s="87">
        <v>2388</v>
      </c>
      <c r="G213" s="56">
        <v>46038</v>
      </c>
    </row>
    <row r="214" spans="1:7" s="60" customFormat="1" hidden="1" x14ac:dyDescent="0.3">
      <c r="A214" s="60" t="s">
        <v>10</v>
      </c>
      <c r="B214" s="60" t="s">
        <v>617</v>
      </c>
      <c r="C214" s="60" t="s">
        <v>1998</v>
      </c>
      <c r="D214" s="60">
        <v>5578042002</v>
      </c>
      <c r="E214" s="60">
        <v>181002</v>
      </c>
      <c r="F214" s="79">
        <v>1682.04</v>
      </c>
      <c r="G214" s="62">
        <v>46038</v>
      </c>
    </row>
    <row r="215" spans="1:7" s="60" customFormat="1" hidden="1" x14ac:dyDescent="0.3">
      <c r="A215" s="60" t="s">
        <v>10</v>
      </c>
      <c r="B215" s="60" t="s">
        <v>621</v>
      </c>
      <c r="C215" s="60" t="s">
        <v>622</v>
      </c>
      <c r="D215" s="60">
        <v>5610070561</v>
      </c>
      <c r="E215" s="60">
        <v>296135</v>
      </c>
      <c r="F215" s="79">
        <v>5922</v>
      </c>
      <c r="G215" s="62">
        <v>46038</v>
      </c>
    </row>
    <row r="216" spans="1:7" hidden="1" x14ac:dyDescent="0.3">
      <c r="A216" s="44" t="s">
        <v>10</v>
      </c>
      <c r="B216" s="44" t="s">
        <v>618</v>
      </c>
      <c r="C216" s="44" t="s">
        <v>373</v>
      </c>
      <c r="D216" s="44">
        <v>5621347476</v>
      </c>
      <c r="E216" s="44">
        <v>181176</v>
      </c>
      <c r="F216" s="87">
        <v>2175</v>
      </c>
      <c r="G216" s="56">
        <v>46038</v>
      </c>
    </row>
    <row r="217" spans="1:7" s="60" customFormat="1" hidden="1" x14ac:dyDescent="0.3">
      <c r="A217" s="44" t="s">
        <v>17</v>
      </c>
      <c r="B217" s="44" t="s">
        <v>628</v>
      </c>
      <c r="C217" s="44" t="s">
        <v>629</v>
      </c>
      <c r="D217" s="44">
        <v>5516841620</v>
      </c>
      <c r="E217" s="44">
        <v>350474</v>
      </c>
      <c r="F217" s="87">
        <v>12320</v>
      </c>
      <c r="G217" s="56">
        <v>46038</v>
      </c>
    </row>
    <row r="218" spans="1:7" hidden="1" x14ac:dyDescent="0.3">
      <c r="A218" s="60" t="s">
        <v>17</v>
      </c>
      <c r="B218" s="60" t="s">
        <v>630</v>
      </c>
      <c r="C218" s="60" t="s">
        <v>631</v>
      </c>
      <c r="D218" s="60">
        <v>5517957453</v>
      </c>
      <c r="E218" s="60">
        <v>350322</v>
      </c>
      <c r="F218" s="79">
        <v>2052.1999999999998</v>
      </c>
      <c r="G218" s="62">
        <v>46038</v>
      </c>
    </row>
    <row r="219" spans="1:7" s="60" customFormat="1" hidden="1" x14ac:dyDescent="0.3">
      <c r="A219" s="44" t="s">
        <v>17</v>
      </c>
      <c r="B219" s="44" t="s">
        <v>258</v>
      </c>
      <c r="C219" s="44" t="s">
        <v>74</v>
      </c>
      <c r="D219" s="44">
        <v>5534755530</v>
      </c>
      <c r="E219" s="44">
        <v>180835</v>
      </c>
      <c r="F219" s="87">
        <v>1460</v>
      </c>
      <c r="G219" s="56">
        <v>46038</v>
      </c>
    </row>
    <row r="220" spans="1:7" hidden="1" x14ac:dyDescent="0.3">
      <c r="A220" s="60" t="s">
        <v>17</v>
      </c>
      <c r="B220" s="60" t="s">
        <v>632</v>
      </c>
      <c r="C220" s="60" t="s">
        <v>274</v>
      </c>
      <c r="D220" s="60">
        <v>5539075497</v>
      </c>
      <c r="E220" s="60">
        <v>296298</v>
      </c>
      <c r="F220" s="79">
        <v>10115</v>
      </c>
      <c r="G220" s="62">
        <v>46038</v>
      </c>
    </row>
    <row r="221" spans="1:7" s="60" customFormat="1" hidden="1" x14ac:dyDescent="0.3">
      <c r="A221" s="60" t="s">
        <v>17</v>
      </c>
      <c r="B221" s="60" t="s">
        <v>627</v>
      </c>
      <c r="C221" s="60" t="s">
        <v>68</v>
      </c>
      <c r="D221" s="60">
        <v>5539114957</v>
      </c>
      <c r="E221" s="60">
        <v>32699</v>
      </c>
      <c r="F221" s="79">
        <v>528</v>
      </c>
      <c r="G221" s="62">
        <v>46038</v>
      </c>
    </row>
    <row r="222" spans="1:7" hidden="1" x14ac:dyDescent="0.3">
      <c r="A222" s="44" t="s">
        <v>17</v>
      </c>
      <c r="B222" s="44" t="s">
        <v>633</v>
      </c>
      <c r="C222" s="44" t="s">
        <v>548</v>
      </c>
      <c r="D222" s="44">
        <v>5543730332</v>
      </c>
      <c r="E222" s="44">
        <v>296127</v>
      </c>
      <c r="F222" s="87">
        <v>5740.8</v>
      </c>
      <c r="G222" s="56">
        <v>46038</v>
      </c>
    </row>
    <row r="223" spans="1:7" s="60" customFormat="1" hidden="1" x14ac:dyDescent="0.3">
      <c r="A223" s="60" t="s">
        <v>17</v>
      </c>
      <c r="B223" s="60" t="s">
        <v>321</v>
      </c>
      <c r="C223" s="60" t="s">
        <v>293</v>
      </c>
      <c r="D223" s="60">
        <v>5547890823</v>
      </c>
      <c r="E223" s="60">
        <v>180843</v>
      </c>
      <c r="F223" s="79">
        <v>1300</v>
      </c>
      <c r="G223" s="62">
        <v>46038</v>
      </c>
    </row>
    <row r="224" spans="1:7" hidden="1" x14ac:dyDescent="0.3">
      <c r="A224" s="44" t="s">
        <v>17</v>
      </c>
      <c r="B224" s="44" t="s">
        <v>625</v>
      </c>
      <c r="C224" s="44" t="s">
        <v>626</v>
      </c>
      <c r="D224" s="44">
        <v>5578992575</v>
      </c>
      <c r="E224" s="44">
        <v>181202</v>
      </c>
      <c r="F224" s="87">
        <v>8494</v>
      </c>
      <c r="G224" s="56">
        <v>46038</v>
      </c>
    </row>
    <row r="225" spans="1:7" s="60" customFormat="1" hidden="1" x14ac:dyDescent="0.3">
      <c r="A225" s="44" t="s">
        <v>11</v>
      </c>
      <c r="B225" s="44" t="s">
        <v>634</v>
      </c>
      <c r="C225" s="44" t="s">
        <v>635</v>
      </c>
      <c r="D225" s="44">
        <v>4773993291</v>
      </c>
      <c r="E225" s="44">
        <v>181162</v>
      </c>
      <c r="F225" s="87">
        <v>9677</v>
      </c>
      <c r="G225" s="56">
        <v>46038</v>
      </c>
    </row>
    <row r="226" spans="1:7" hidden="1" x14ac:dyDescent="0.3">
      <c r="A226" s="60" t="s">
        <v>11</v>
      </c>
      <c r="B226" s="60" t="s">
        <v>11</v>
      </c>
      <c r="C226" s="60" t="s">
        <v>143</v>
      </c>
      <c r="D226" s="60">
        <v>5518666206</v>
      </c>
      <c r="E226" s="60">
        <v>180683</v>
      </c>
      <c r="F226" s="79">
        <v>32688.41</v>
      </c>
      <c r="G226" s="62">
        <v>46038</v>
      </c>
    </row>
    <row r="227" spans="1:7" s="60" customFormat="1" hidden="1" x14ac:dyDescent="0.3">
      <c r="A227" s="60" t="s">
        <v>11</v>
      </c>
      <c r="B227" s="60" t="s">
        <v>398</v>
      </c>
      <c r="C227" s="60" t="s">
        <v>253</v>
      </c>
      <c r="D227" s="60">
        <v>5535173661</v>
      </c>
      <c r="E227" s="60">
        <v>180959</v>
      </c>
      <c r="F227" s="79">
        <v>2126</v>
      </c>
      <c r="G227" s="62">
        <v>46038</v>
      </c>
    </row>
    <row r="228" spans="1:7" hidden="1" x14ac:dyDescent="0.3">
      <c r="A228" s="60" t="s">
        <v>11</v>
      </c>
      <c r="B228" s="60" t="s">
        <v>249</v>
      </c>
      <c r="C228" s="60" t="s">
        <v>250</v>
      </c>
      <c r="D228" s="60">
        <v>5535334019</v>
      </c>
      <c r="E228" s="60">
        <v>350030</v>
      </c>
      <c r="F228" s="79">
        <v>1180</v>
      </c>
      <c r="G228" s="62">
        <v>46038</v>
      </c>
    </row>
    <row r="229" spans="1:7" s="60" customFormat="1" hidden="1" x14ac:dyDescent="0.3">
      <c r="A229" s="44" t="s">
        <v>11</v>
      </c>
      <c r="B229" s="44" t="s">
        <v>636</v>
      </c>
      <c r="C229" s="44" t="s">
        <v>637</v>
      </c>
      <c r="D229" s="44">
        <v>5637294747</v>
      </c>
      <c r="E229" s="44">
        <v>296313</v>
      </c>
      <c r="F229" s="87">
        <v>9323.32</v>
      </c>
      <c r="G229" s="56">
        <v>46038</v>
      </c>
    </row>
    <row r="230" spans="1:7" hidden="1" x14ac:dyDescent="0.3">
      <c r="A230" s="44" t="s">
        <v>10</v>
      </c>
      <c r="B230" s="44" t="s">
        <v>638</v>
      </c>
      <c r="C230" s="44" t="s">
        <v>6</v>
      </c>
      <c r="D230" s="44">
        <v>5519234967</v>
      </c>
      <c r="E230" s="44">
        <v>350243</v>
      </c>
      <c r="F230" s="87">
        <v>1748</v>
      </c>
      <c r="G230" s="46">
        <v>46039</v>
      </c>
    </row>
    <row r="231" spans="1:7" hidden="1" x14ac:dyDescent="0.3">
      <c r="A231" s="51" t="s">
        <v>10</v>
      </c>
      <c r="B231" s="51" t="s">
        <v>639</v>
      </c>
      <c r="C231" s="51" t="s">
        <v>640</v>
      </c>
      <c r="D231" s="51">
        <v>5583085008</v>
      </c>
      <c r="E231" s="51">
        <v>350344</v>
      </c>
      <c r="F231" s="68">
        <v>3900</v>
      </c>
      <c r="G231" s="52">
        <v>46039</v>
      </c>
    </row>
    <row r="232" spans="1:7" s="51" customFormat="1" hidden="1" x14ac:dyDescent="0.3">
      <c r="A232" s="51" t="s">
        <v>17</v>
      </c>
      <c r="B232" s="51" t="s">
        <v>642</v>
      </c>
      <c r="C232" s="51" t="s">
        <v>478</v>
      </c>
      <c r="D232" s="51">
        <v>5512491180</v>
      </c>
      <c r="E232" s="51">
        <v>181403</v>
      </c>
      <c r="F232" s="68">
        <v>297</v>
      </c>
      <c r="G232" s="52">
        <v>46039</v>
      </c>
    </row>
    <row r="233" spans="1:7" hidden="1" x14ac:dyDescent="0.3">
      <c r="A233" s="44" t="s">
        <v>17</v>
      </c>
      <c r="B233" s="44" t="s">
        <v>644</v>
      </c>
      <c r="C233" s="44" t="s">
        <v>458</v>
      </c>
      <c r="D233" s="44">
        <v>5514476029</v>
      </c>
      <c r="E233" s="44">
        <v>350392</v>
      </c>
      <c r="F233" s="87">
        <v>4881.96</v>
      </c>
      <c r="G233" s="46">
        <v>46039</v>
      </c>
    </row>
    <row r="234" spans="1:7" s="51" customFormat="1" hidden="1" x14ac:dyDescent="0.3">
      <c r="A234" s="51" t="s">
        <v>17</v>
      </c>
      <c r="B234" s="51" t="s">
        <v>643</v>
      </c>
      <c r="C234" s="51" t="s">
        <v>626</v>
      </c>
      <c r="D234" s="51">
        <v>5538191584</v>
      </c>
      <c r="E234" s="51">
        <v>181256</v>
      </c>
      <c r="F234" s="68">
        <v>1907</v>
      </c>
      <c r="G234" s="52">
        <v>46039</v>
      </c>
    </row>
    <row r="235" spans="1:7" hidden="1" x14ac:dyDescent="0.3">
      <c r="A235" s="44" t="s">
        <v>17</v>
      </c>
      <c r="B235" s="44" t="s">
        <v>636</v>
      </c>
      <c r="C235" s="44" t="s">
        <v>637</v>
      </c>
      <c r="D235" s="44">
        <v>5637294747</v>
      </c>
      <c r="E235" s="44">
        <v>296313</v>
      </c>
      <c r="F235" s="87">
        <v>9323.32</v>
      </c>
      <c r="G235" s="46">
        <v>46039</v>
      </c>
    </row>
    <row r="236" spans="1:7" hidden="1" x14ac:dyDescent="0.3">
      <c r="A236" s="44" t="s">
        <v>11</v>
      </c>
      <c r="B236" s="44" t="s">
        <v>143</v>
      </c>
      <c r="C236" s="44" t="s">
        <v>41</v>
      </c>
      <c r="D236" s="44">
        <v>5518666206</v>
      </c>
      <c r="E236" s="44">
        <v>181051</v>
      </c>
      <c r="F236" s="87">
        <v>1785</v>
      </c>
      <c r="G236" s="46">
        <v>46039</v>
      </c>
    </row>
    <row r="237" spans="1:7" s="51" customFormat="1" hidden="1" x14ac:dyDescent="0.3">
      <c r="A237" s="51" t="s">
        <v>11</v>
      </c>
      <c r="B237" s="51" t="s">
        <v>143</v>
      </c>
      <c r="C237" s="51" t="s">
        <v>41</v>
      </c>
      <c r="D237" s="51">
        <v>5518666206</v>
      </c>
      <c r="E237" s="51">
        <v>180683</v>
      </c>
      <c r="F237" s="68">
        <v>32688.41</v>
      </c>
      <c r="G237" s="52">
        <v>46039</v>
      </c>
    </row>
    <row r="238" spans="1:7" hidden="1" x14ac:dyDescent="0.3">
      <c r="A238" s="44" t="s">
        <v>47</v>
      </c>
      <c r="B238" s="44" t="s">
        <v>360</v>
      </c>
      <c r="C238" s="44" t="s">
        <v>654</v>
      </c>
      <c r="D238" s="44" t="s">
        <v>146</v>
      </c>
      <c r="E238" s="44">
        <v>180754</v>
      </c>
      <c r="F238" s="85">
        <v>17066.98</v>
      </c>
      <c r="G238" s="56">
        <v>46041</v>
      </c>
    </row>
    <row r="239" spans="1:7" s="60" customFormat="1" hidden="1" x14ac:dyDescent="0.3">
      <c r="A239" s="60" t="s">
        <v>10</v>
      </c>
      <c r="B239" s="60" t="s">
        <v>657</v>
      </c>
      <c r="C239" s="60" t="s">
        <v>658</v>
      </c>
      <c r="D239" s="60">
        <v>5527372432</v>
      </c>
      <c r="E239" s="60">
        <v>296360</v>
      </c>
      <c r="F239" s="79">
        <v>4007.82</v>
      </c>
      <c r="G239" s="62">
        <v>46041</v>
      </c>
    </row>
    <row r="240" spans="1:7" hidden="1" x14ac:dyDescent="0.3">
      <c r="A240" s="44" t="s">
        <v>10</v>
      </c>
      <c r="B240" s="44" t="s">
        <v>660</v>
      </c>
      <c r="C240" s="44" t="s">
        <v>336</v>
      </c>
      <c r="D240" s="44">
        <v>5547402145</v>
      </c>
      <c r="E240" s="44">
        <v>296333</v>
      </c>
      <c r="F240" s="87">
        <v>15076.75</v>
      </c>
      <c r="G240" s="56">
        <v>46041</v>
      </c>
    </row>
    <row r="241" spans="1:7" s="60" customFormat="1" hidden="1" x14ac:dyDescent="0.3">
      <c r="A241" s="60" t="s">
        <v>10</v>
      </c>
      <c r="B241" s="60" t="s">
        <v>565</v>
      </c>
      <c r="C241" s="60" t="s">
        <v>465</v>
      </c>
      <c r="D241" s="60">
        <v>5559307944</v>
      </c>
      <c r="E241" s="60">
        <v>181049</v>
      </c>
      <c r="F241" s="79">
        <v>2136</v>
      </c>
      <c r="G241" s="62">
        <v>46041</v>
      </c>
    </row>
    <row r="242" spans="1:7" hidden="1" x14ac:dyDescent="0.3">
      <c r="A242" s="60" t="s">
        <v>10</v>
      </c>
      <c r="B242" s="60"/>
      <c r="C242" s="60" t="s">
        <v>661</v>
      </c>
      <c r="D242" s="60">
        <v>5569711887</v>
      </c>
      <c r="E242" s="60">
        <v>181295</v>
      </c>
      <c r="F242" s="79">
        <v>1678.16</v>
      </c>
      <c r="G242" s="62">
        <v>46041</v>
      </c>
    </row>
    <row r="243" spans="1:7" s="60" customFormat="1" hidden="1" x14ac:dyDescent="0.3">
      <c r="A243" s="44" t="s">
        <v>10</v>
      </c>
      <c r="B243" s="44" t="s">
        <v>662</v>
      </c>
      <c r="C243" s="44" t="s">
        <v>663</v>
      </c>
      <c r="D243" s="44">
        <v>5570730112</v>
      </c>
      <c r="E243" s="44">
        <v>180999</v>
      </c>
      <c r="F243" s="87">
        <v>13218.6</v>
      </c>
      <c r="G243" s="56">
        <v>46041</v>
      </c>
    </row>
    <row r="244" spans="1:7" hidden="1" x14ac:dyDescent="0.3">
      <c r="A244" s="60" t="s">
        <v>10</v>
      </c>
      <c r="B244" s="60" t="s">
        <v>655</v>
      </c>
      <c r="C244" s="60" t="s">
        <v>656</v>
      </c>
      <c r="D244" s="60">
        <v>5577549766</v>
      </c>
      <c r="E244" s="60">
        <v>296257</v>
      </c>
      <c r="F244" s="79">
        <v>10239.52</v>
      </c>
      <c r="G244" s="62">
        <v>46041</v>
      </c>
    </row>
    <row r="245" spans="1:7" s="60" customFormat="1" hidden="1" x14ac:dyDescent="0.3">
      <c r="A245" s="44" t="s">
        <v>10</v>
      </c>
      <c r="B245" s="44" t="s">
        <v>186</v>
      </c>
      <c r="C245" s="44" t="s">
        <v>187</v>
      </c>
      <c r="D245" s="44">
        <v>5610944519</v>
      </c>
      <c r="E245" s="44">
        <v>350591</v>
      </c>
      <c r="F245" s="87">
        <v>2600</v>
      </c>
      <c r="G245" s="56">
        <v>46041</v>
      </c>
    </row>
    <row r="246" spans="1:7" ht="17.25" hidden="1" customHeight="1" x14ac:dyDescent="0.3">
      <c r="A246" s="60" t="s">
        <v>10</v>
      </c>
      <c r="B246" s="60" t="s">
        <v>664</v>
      </c>
      <c r="C246" s="60" t="s">
        <v>665</v>
      </c>
      <c r="D246" s="60">
        <v>5627230201</v>
      </c>
      <c r="E246" s="60">
        <v>181053</v>
      </c>
      <c r="F246" s="79">
        <v>4030</v>
      </c>
      <c r="G246" s="62">
        <v>46041</v>
      </c>
    </row>
    <row r="247" spans="1:7" s="60" customFormat="1" hidden="1" x14ac:dyDescent="0.3">
      <c r="A247" s="60" t="s">
        <v>10</v>
      </c>
      <c r="B247" s="60" t="s">
        <v>659</v>
      </c>
      <c r="C247" s="60" t="s">
        <v>480</v>
      </c>
      <c r="D247" s="60">
        <v>5636102900</v>
      </c>
      <c r="E247" s="60">
        <v>350419</v>
      </c>
      <c r="F247" s="79">
        <v>694</v>
      </c>
      <c r="G247" s="62">
        <v>46041</v>
      </c>
    </row>
    <row r="248" spans="1:7" hidden="1" x14ac:dyDescent="0.3">
      <c r="A248" s="60" t="s">
        <v>17</v>
      </c>
      <c r="B248" s="60" t="s">
        <v>452</v>
      </c>
      <c r="C248" s="60" t="s">
        <v>649</v>
      </c>
      <c r="D248" s="60">
        <v>5614731053</v>
      </c>
      <c r="E248" s="60">
        <v>350181</v>
      </c>
      <c r="F248" s="79">
        <v>4485</v>
      </c>
      <c r="G248" s="62">
        <v>46041</v>
      </c>
    </row>
    <row r="249" spans="1:7" s="60" customFormat="1" hidden="1" x14ac:dyDescent="0.3">
      <c r="A249" s="44" t="s">
        <v>17</v>
      </c>
      <c r="B249" s="44" t="s">
        <v>452</v>
      </c>
      <c r="C249" s="44" t="s">
        <v>649</v>
      </c>
      <c r="D249" s="44">
        <v>5614731053</v>
      </c>
      <c r="E249" s="44">
        <v>350182</v>
      </c>
      <c r="F249" s="87">
        <v>20245.740000000002</v>
      </c>
      <c r="G249" s="56">
        <v>46041</v>
      </c>
    </row>
    <row r="250" spans="1:7" hidden="1" x14ac:dyDescent="0.3">
      <c r="A250" s="60" t="s">
        <v>17</v>
      </c>
      <c r="B250" s="60" t="s">
        <v>650</v>
      </c>
      <c r="C250" s="60" t="s">
        <v>653</v>
      </c>
      <c r="D250" s="60">
        <v>5640045103</v>
      </c>
      <c r="E250" s="60">
        <v>350293</v>
      </c>
      <c r="F250" s="79">
        <v>8486.99</v>
      </c>
      <c r="G250" s="62">
        <v>46041</v>
      </c>
    </row>
    <row r="251" spans="1:7" s="60" customFormat="1" hidden="1" x14ac:dyDescent="0.3">
      <c r="A251" s="44" t="s">
        <v>11</v>
      </c>
      <c r="B251" s="44" t="s">
        <v>579</v>
      </c>
      <c r="C251" s="44" t="s">
        <v>580</v>
      </c>
      <c r="D251" s="44">
        <v>5515369770</v>
      </c>
      <c r="E251" s="44">
        <v>181026</v>
      </c>
      <c r="F251" s="87">
        <v>2722</v>
      </c>
      <c r="G251" s="56">
        <v>46041</v>
      </c>
    </row>
    <row r="252" spans="1:7" hidden="1" x14ac:dyDescent="0.3">
      <c r="A252" s="60" t="s">
        <v>11</v>
      </c>
      <c r="B252" s="60" t="s">
        <v>647</v>
      </c>
      <c r="C252" s="60" t="s">
        <v>648</v>
      </c>
      <c r="D252" s="60">
        <v>5531175650</v>
      </c>
      <c r="E252" s="60">
        <v>350287</v>
      </c>
      <c r="F252" s="79">
        <v>4506.2</v>
      </c>
      <c r="G252" s="62">
        <v>46041</v>
      </c>
    </row>
    <row r="253" spans="1:7" s="60" customFormat="1" hidden="1" x14ac:dyDescent="0.3">
      <c r="A253" s="44" t="s">
        <v>11</v>
      </c>
      <c r="B253" s="44" t="s">
        <v>651</v>
      </c>
      <c r="C253" s="44" t="s">
        <v>652</v>
      </c>
      <c r="D253" s="44">
        <v>5578854795</v>
      </c>
      <c r="E253" s="44">
        <v>181349</v>
      </c>
      <c r="F253" s="87">
        <v>31202</v>
      </c>
      <c r="G253" s="56">
        <v>46041</v>
      </c>
    </row>
    <row r="254" spans="1:7" hidden="1" x14ac:dyDescent="0.3">
      <c r="A254" s="51" t="s">
        <v>47</v>
      </c>
      <c r="B254" s="51" t="s">
        <v>680</v>
      </c>
      <c r="C254" s="51" t="s">
        <v>679</v>
      </c>
      <c r="D254" s="51">
        <v>5514418521</v>
      </c>
      <c r="E254" s="51">
        <v>181550</v>
      </c>
      <c r="F254" s="68">
        <v>2228</v>
      </c>
      <c r="G254" s="52">
        <v>46042</v>
      </c>
    </row>
    <row r="255" spans="1:7" s="51" customFormat="1" hidden="1" x14ac:dyDescent="0.3">
      <c r="A255" s="44" t="s">
        <v>47</v>
      </c>
      <c r="B255" s="44" t="s">
        <v>683</v>
      </c>
      <c r="C255" s="44" t="s">
        <v>41</v>
      </c>
      <c r="D255" s="44">
        <v>5535078507</v>
      </c>
      <c r="E255" s="44">
        <v>296335</v>
      </c>
      <c r="F255" s="87">
        <v>4160</v>
      </c>
      <c r="G255" s="46">
        <v>46042</v>
      </c>
    </row>
    <row r="256" spans="1:7" hidden="1" x14ac:dyDescent="0.3">
      <c r="A256" s="51" t="s">
        <v>47</v>
      </c>
      <c r="B256" s="51" t="s">
        <v>682</v>
      </c>
      <c r="C256" s="51" t="s">
        <v>41</v>
      </c>
      <c r="D256" s="51">
        <v>5569331404</v>
      </c>
      <c r="E256" s="51">
        <v>181603</v>
      </c>
      <c r="F256" s="68">
        <v>1848</v>
      </c>
      <c r="G256" s="52">
        <v>46042</v>
      </c>
    </row>
    <row r="257" spans="1:7" hidden="1" x14ac:dyDescent="0.3">
      <c r="A257" s="44" t="s">
        <v>47</v>
      </c>
      <c r="B257" s="44" t="s">
        <v>681</v>
      </c>
      <c r="C257" s="44" t="s">
        <v>41</v>
      </c>
      <c r="D257" s="44">
        <v>5581066482</v>
      </c>
      <c r="E257" s="44">
        <v>180838</v>
      </c>
      <c r="F257" s="85">
        <v>1190</v>
      </c>
      <c r="G257" s="46">
        <v>46042</v>
      </c>
    </row>
    <row r="258" spans="1:7" s="51" customFormat="1" hidden="1" x14ac:dyDescent="0.3">
      <c r="A258" s="51" t="s">
        <v>10</v>
      </c>
      <c r="B258" s="51" t="s">
        <v>526</v>
      </c>
      <c r="C258" s="51" t="s">
        <v>63</v>
      </c>
      <c r="D258" s="51">
        <v>5514407771</v>
      </c>
      <c r="E258" s="51">
        <v>181207</v>
      </c>
      <c r="F258" s="68">
        <v>650</v>
      </c>
      <c r="G258" s="52">
        <v>46042</v>
      </c>
    </row>
    <row r="259" spans="1:7" hidden="1" x14ac:dyDescent="0.3">
      <c r="A259" s="44" t="s">
        <v>10</v>
      </c>
      <c r="B259" s="44" t="s">
        <v>668</v>
      </c>
      <c r="C259" s="44" t="s">
        <v>138</v>
      </c>
      <c r="D259" s="44">
        <v>5528872468</v>
      </c>
      <c r="E259" s="44">
        <v>296527</v>
      </c>
      <c r="F259" s="85">
        <v>3590</v>
      </c>
      <c r="G259" s="46">
        <v>46042</v>
      </c>
    </row>
    <row r="260" spans="1:7" hidden="1" x14ac:dyDescent="0.3">
      <c r="A260" s="44" t="s">
        <v>10</v>
      </c>
      <c r="B260" s="44" t="s">
        <v>666</v>
      </c>
      <c r="C260" s="44" t="s">
        <v>297</v>
      </c>
      <c r="D260" s="44">
        <v>5532476516</v>
      </c>
      <c r="E260" s="44">
        <v>296114</v>
      </c>
      <c r="F260" s="87">
        <v>14434</v>
      </c>
      <c r="G260" s="46">
        <v>46042</v>
      </c>
    </row>
    <row r="261" spans="1:7" s="51" customFormat="1" hidden="1" x14ac:dyDescent="0.3">
      <c r="A261" s="51" t="s">
        <v>10</v>
      </c>
      <c r="B261" s="51" t="s">
        <v>667</v>
      </c>
      <c r="C261" s="51" t="s">
        <v>208</v>
      </c>
      <c r="D261" s="51">
        <v>5541320075</v>
      </c>
      <c r="E261" s="51">
        <v>181555</v>
      </c>
      <c r="F261" s="68">
        <v>1784</v>
      </c>
      <c r="G261" s="52">
        <v>46042</v>
      </c>
    </row>
    <row r="262" spans="1:7" hidden="1" x14ac:dyDescent="0.3">
      <c r="A262" s="44" t="s">
        <v>10</v>
      </c>
      <c r="B262" s="44" t="s">
        <v>671</v>
      </c>
      <c r="C262" s="44" t="s">
        <v>68</v>
      </c>
      <c r="D262" s="44">
        <v>5575130865</v>
      </c>
      <c r="E262" s="44">
        <v>296365</v>
      </c>
      <c r="F262" s="87">
        <v>6104.56</v>
      </c>
      <c r="G262" s="46">
        <v>46042</v>
      </c>
    </row>
    <row r="263" spans="1:7" s="51" customFormat="1" hidden="1" x14ac:dyDescent="0.3">
      <c r="A263" s="51" t="s">
        <v>10</v>
      </c>
      <c r="B263" s="51" t="s">
        <v>669</v>
      </c>
      <c r="C263" s="51" t="s">
        <v>167</v>
      </c>
      <c r="D263" s="51">
        <v>5616065307</v>
      </c>
      <c r="E263" s="51">
        <v>181599</v>
      </c>
      <c r="F263" s="68">
        <v>6050</v>
      </c>
      <c r="G263" s="52">
        <v>46042</v>
      </c>
    </row>
    <row r="264" spans="1:7" hidden="1" x14ac:dyDescent="0.3">
      <c r="A264" s="44" t="s">
        <v>10</v>
      </c>
      <c r="B264" s="44" t="s">
        <v>207</v>
      </c>
      <c r="C264" s="44" t="s">
        <v>670</v>
      </c>
      <c r="D264" s="44">
        <v>5617501876</v>
      </c>
      <c r="E264" s="44">
        <v>181080</v>
      </c>
      <c r="F264" s="85">
        <v>5991.79</v>
      </c>
      <c r="G264" s="46">
        <v>46042</v>
      </c>
    </row>
    <row r="265" spans="1:7" s="51" customFormat="1" hidden="1" x14ac:dyDescent="0.3">
      <c r="A265" s="51" t="s">
        <v>10</v>
      </c>
      <c r="B265" s="51" t="s">
        <v>664</v>
      </c>
      <c r="C265" s="51" t="s">
        <v>1218</v>
      </c>
      <c r="D265" s="51">
        <v>5627230201</v>
      </c>
      <c r="E265" s="51">
        <v>181053</v>
      </c>
      <c r="F265" s="68">
        <v>4030</v>
      </c>
      <c r="G265" s="52">
        <v>46042</v>
      </c>
    </row>
    <row r="266" spans="1:7" hidden="1" x14ac:dyDescent="0.3">
      <c r="A266" s="44" t="s">
        <v>17</v>
      </c>
      <c r="B266" s="44" t="s">
        <v>675</v>
      </c>
      <c r="C266" s="44" t="s">
        <v>674</v>
      </c>
      <c r="D266" s="44">
        <v>5563285106</v>
      </c>
      <c r="E266" s="44">
        <v>350335</v>
      </c>
      <c r="F266" s="85">
        <v>2069.9899999999998</v>
      </c>
      <c r="G266" s="46">
        <v>46042</v>
      </c>
    </row>
    <row r="267" spans="1:7" s="51" customFormat="1" hidden="1" x14ac:dyDescent="0.3">
      <c r="A267" s="51" t="s">
        <v>17</v>
      </c>
      <c r="B267" s="51" t="s">
        <v>673</v>
      </c>
      <c r="C267" s="51" t="s">
        <v>674</v>
      </c>
      <c r="D267" s="51">
        <v>5563285106</v>
      </c>
      <c r="E267" s="51">
        <v>350672</v>
      </c>
      <c r="F267" s="68">
        <v>2350</v>
      </c>
      <c r="G267" s="52">
        <v>46042</v>
      </c>
    </row>
    <row r="268" spans="1:7" hidden="1" x14ac:dyDescent="0.3">
      <c r="A268" s="44" t="s">
        <v>17</v>
      </c>
      <c r="B268" s="44" t="s">
        <v>108</v>
      </c>
      <c r="C268" s="44" t="s">
        <v>214</v>
      </c>
      <c r="D268" s="44">
        <v>5573263874</v>
      </c>
      <c r="E268" s="44">
        <v>350378</v>
      </c>
      <c r="F268" s="87">
        <v>3663.88</v>
      </c>
      <c r="G268" s="46">
        <v>46042</v>
      </c>
    </row>
    <row r="269" spans="1:7" s="51" customFormat="1" hidden="1" x14ac:dyDescent="0.3">
      <c r="A269" s="44" t="s">
        <v>17</v>
      </c>
      <c r="B269" s="44" t="s">
        <v>55</v>
      </c>
      <c r="C269" s="44" t="s">
        <v>56</v>
      </c>
      <c r="D269" s="44">
        <v>5620807201</v>
      </c>
      <c r="E269" s="44">
        <v>180822</v>
      </c>
      <c r="F269" s="87">
        <v>12989.99</v>
      </c>
      <c r="G269" s="46">
        <v>46042</v>
      </c>
    </row>
    <row r="270" spans="1:7" hidden="1" x14ac:dyDescent="0.3">
      <c r="A270" s="51" t="s">
        <v>17</v>
      </c>
      <c r="B270" s="51" t="s">
        <v>676</v>
      </c>
      <c r="C270" s="51" t="s">
        <v>56</v>
      </c>
      <c r="D270" s="51">
        <v>55367913698</v>
      </c>
      <c r="E270" s="51">
        <v>296195</v>
      </c>
      <c r="F270" s="68">
        <v>8097.8</v>
      </c>
      <c r="G270" s="52">
        <v>46042</v>
      </c>
    </row>
    <row r="271" spans="1:7" s="51" customFormat="1" hidden="1" x14ac:dyDescent="0.3">
      <c r="A271" s="44" t="s">
        <v>11</v>
      </c>
      <c r="B271" s="44" t="s">
        <v>677</v>
      </c>
      <c r="C271" s="44" t="s">
        <v>292</v>
      </c>
      <c r="D271" s="44">
        <v>3221115096</v>
      </c>
      <c r="E271" s="44">
        <v>296098</v>
      </c>
      <c r="F271" s="87">
        <v>26783.41</v>
      </c>
      <c r="G271" s="46">
        <v>46042</v>
      </c>
    </row>
    <row r="272" spans="1:7" hidden="1" x14ac:dyDescent="0.3">
      <c r="A272" s="51" t="s">
        <v>11</v>
      </c>
      <c r="B272" s="51" t="s">
        <v>684</v>
      </c>
      <c r="C272" s="51" t="s">
        <v>138</v>
      </c>
      <c r="D272" s="51">
        <v>3524382300</v>
      </c>
      <c r="E272" s="51">
        <v>350400</v>
      </c>
      <c r="F272" s="68">
        <v>7095.43</v>
      </c>
      <c r="G272" s="52">
        <v>46042</v>
      </c>
    </row>
    <row r="273" spans="1:7" s="51" customFormat="1" hidden="1" x14ac:dyDescent="0.3">
      <c r="A273" s="44" t="s">
        <v>11</v>
      </c>
      <c r="B273" s="44" t="s">
        <v>678</v>
      </c>
      <c r="C273" s="44" t="s">
        <v>138</v>
      </c>
      <c r="D273" s="44">
        <v>5558383479</v>
      </c>
      <c r="E273" s="44">
        <v>296485</v>
      </c>
      <c r="F273" s="87">
        <v>6437</v>
      </c>
      <c r="G273" s="46">
        <v>46042</v>
      </c>
    </row>
    <row r="274" spans="1:7" s="51" customFormat="1" x14ac:dyDescent="0.3">
      <c r="A274" s="51" t="s">
        <v>11</v>
      </c>
      <c r="B274" s="51" t="s">
        <v>528</v>
      </c>
      <c r="C274" s="51" t="s">
        <v>0</v>
      </c>
      <c r="D274" s="51">
        <v>5551905191</v>
      </c>
      <c r="E274" s="51">
        <v>296164</v>
      </c>
      <c r="F274" s="68">
        <v>2313.1999999999998</v>
      </c>
      <c r="G274" s="52">
        <v>46042</v>
      </c>
    </row>
    <row r="275" spans="1:7" x14ac:dyDescent="0.3">
      <c r="A275" s="44" t="s">
        <v>11</v>
      </c>
      <c r="B275" s="44" t="s">
        <v>528</v>
      </c>
      <c r="C275" s="44" t="s">
        <v>0</v>
      </c>
      <c r="D275" s="44">
        <v>5551905191</v>
      </c>
      <c r="E275" s="44">
        <v>296163</v>
      </c>
      <c r="F275" s="85">
        <v>4759.8</v>
      </c>
      <c r="G275" s="46">
        <v>46042</v>
      </c>
    </row>
    <row r="276" spans="1:7" s="51" customFormat="1" x14ac:dyDescent="0.3">
      <c r="A276" s="51" t="s">
        <v>11</v>
      </c>
      <c r="B276" s="51" t="s">
        <v>528</v>
      </c>
      <c r="C276" s="51" t="s">
        <v>0</v>
      </c>
      <c r="D276" s="51">
        <v>5551905191</v>
      </c>
      <c r="E276" s="51">
        <v>296260</v>
      </c>
      <c r="F276" s="68">
        <v>7961.02</v>
      </c>
      <c r="G276" s="52">
        <v>46042</v>
      </c>
    </row>
    <row r="277" spans="1:7" s="60" customFormat="1" hidden="1" x14ac:dyDescent="0.3">
      <c r="A277" s="60" t="s">
        <v>47</v>
      </c>
      <c r="B277" s="60" t="s">
        <v>701</v>
      </c>
      <c r="C277" s="60" t="s">
        <v>702</v>
      </c>
      <c r="D277" s="60">
        <v>5523769704</v>
      </c>
      <c r="E277" s="60">
        <v>295930</v>
      </c>
      <c r="F277" s="79">
        <v>2593.35</v>
      </c>
      <c r="G277" s="69">
        <v>46043</v>
      </c>
    </row>
    <row r="278" spans="1:7" hidden="1" x14ac:dyDescent="0.3">
      <c r="A278" s="44" t="s">
        <v>47</v>
      </c>
      <c r="B278" s="44" t="s">
        <v>701</v>
      </c>
      <c r="C278" s="44" t="s">
        <v>702</v>
      </c>
      <c r="D278" s="44">
        <v>5523769704</v>
      </c>
      <c r="E278" s="44">
        <v>295931</v>
      </c>
      <c r="F278" s="87">
        <v>3751.01</v>
      </c>
      <c r="G278" s="46">
        <v>46043</v>
      </c>
    </row>
    <row r="279" spans="1:7" s="60" customFormat="1" hidden="1" x14ac:dyDescent="0.3">
      <c r="A279" s="60" t="s">
        <v>47</v>
      </c>
      <c r="B279" s="60" t="s">
        <v>700</v>
      </c>
      <c r="C279" s="60" t="s">
        <v>252</v>
      </c>
      <c r="D279" s="60">
        <v>5534704647</v>
      </c>
      <c r="E279" s="60">
        <v>296248</v>
      </c>
      <c r="F279" s="79">
        <v>6245.83</v>
      </c>
      <c r="G279" s="69">
        <v>46043</v>
      </c>
    </row>
    <row r="280" spans="1:7" hidden="1" x14ac:dyDescent="0.3">
      <c r="A280" s="44" t="s">
        <v>47</v>
      </c>
      <c r="B280" s="45" t="s">
        <v>57</v>
      </c>
      <c r="C280" s="44" t="s">
        <v>58</v>
      </c>
      <c r="D280" s="44">
        <v>5554550976</v>
      </c>
      <c r="E280" s="44">
        <v>296155</v>
      </c>
      <c r="F280" s="85">
        <v>11133.4</v>
      </c>
      <c r="G280" s="46">
        <v>46043</v>
      </c>
    </row>
    <row r="281" spans="1:7" s="60" customFormat="1" hidden="1" x14ac:dyDescent="0.3">
      <c r="A281" s="60" t="s">
        <v>47</v>
      </c>
      <c r="B281" s="61" t="s">
        <v>57</v>
      </c>
      <c r="C281" s="60" t="s">
        <v>699</v>
      </c>
      <c r="D281" s="48">
        <v>5554550976</v>
      </c>
      <c r="E281" s="60">
        <v>296156</v>
      </c>
      <c r="F281" s="79">
        <v>17012.990000000002</v>
      </c>
      <c r="G281" s="69">
        <v>46043</v>
      </c>
    </row>
    <row r="282" spans="1:7" hidden="1" x14ac:dyDescent="0.3">
      <c r="A282" s="44" t="s">
        <v>47</v>
      </c>
      <c r="B282" s="44" t="s">
        <v>389</v>
      </c>
      <c r="C282" s="44" t="s">
        <v>514</v>
      </c>
      <c r="D282" s="44">
        <v>5631061983</v>
      </c>
      <c r="E282" s="44">
        <v>181552</v>
      </c>
      <c r="F282" s="87">
        <v>500</v>
      </c>
      <c r="G282" s="46">
        <v>46043</v>
      </c>
    </row>
    <row r="283" spans="1:7" s="60" customFormat="1" hidden="1" x14ac:dyDescent="0.3">
      <c r="A283" s="60" t="s">
        <v>47</v>
      </c>
      <c r="B283" s="60" t="s">
        <v>389</v>
      </c>
      <c r="C283" s="60" t="s">
        <v>514</v>
      </c>
      <c r="D283" s="60">
        <v>5631061983</v>
      </c>
      <c r="E283" s="60">
        <v>181551</v>
      </c>
      <c r="F283" s="79">
        <v>1300</v>
      </c>
      <c r="G283" s="69">
        <v>46043</v>
      </c>
    </row>
    <row r="284" spans="1:7" hidden="1" x14ac:dyDescent="0.3">
      <c r="A284" s="44" t="s">
        <v>10</v>
      </c>
      <c r="B284" s="44" t="s">
        <v>696</v>
      </c>
      <c r="C284" s="44" t="s">
        <v>88</v>
      </c>
      <c r="D284" s="44">
        <v>5529570508</v>
      </c>
      <c r="E284" s="44">
        <v>181359</v>
      </c>
      <c r="F284" s="87">
        <v>10029.99</v>
      </c>
      <c r="G284" s="46">
        <v>46043</v>
      </c>
    </row>
    <row r="285" spans="1:7" s="60" customFormat="1" hidden="1" x14ac:dyDescent="0.3">
      <c r="A285" s="60" t="s">
        <v>10</v>
      </c>
      <c r="B285" s="60" t="s">
        <v>693</v>
      </c>
      <c r="C285" s="60" t="s">
        <v>695</v>
      </c>
      <c r="D285" s="60">
        <v>5530262395</v>
      </c>
      <c r="E285" s="60">
        <v>296607</v>
      </c>
      <c r="F285" s="79">
        <v>6255</v>
      </c>
      <c r="G285" s="69">
        <v>46043</v>
      </c>
    </row>
    <row r="286" spans="1:7" hidden="1" x14ac:dyDescent="0.3">
      <c r="A286" s="60" t="s">
        <v>10</v>
      </c>
      <c r="B286" s="60" t="s">
        <v>697</v>
      </c>
      <c r="C286" s="60" t="s">
        <v>698</v>
      </c>
      <c r="D286" s="60">
        <v>5536807808</v>
      </c>
      <c r="E286" s="60">
        <v>350380</v>
      </c>
      <c r="F286" s="79">
        <v>3773.04</v>
      </c>
      <c r="G286" s="69">
        <v>46043</v>
      </c>
    </row>
    <row r="287" spans="1:7" s="60" customFormat="1" hidden="1" x14ac:dyDescent="0.3">
      <c r="A287" s="44" t="s">
        <v>10</v>
      </c>
      <c r="B287" s="44" t="s">
        <v>697</v>
      </c>
      <c r="C287" s="44" t="s">
        <v>698</v>
      </c>
      <c r="D287" s="44">
        <v>5536807808</v>
      </c>
      <c r="E287" s="47">
        <v>350381</v>
      </c>
      <c r="F287" s="70">
        <v>1250</v>
      </c>
      <c r="G287" s="46">
        <v>46043</v>
      </c>
    </row>
    <row r="288" spans="1:7" hidden="1" x14ac:dyDescent="0.3">
      <c r="A288" s="60" t="s">
        <v>10</v>
      </c>
      <c r="B288" s="60" t="s">
        <v>121</v>
      </c>
      <c r="C288" s="60" t="s">
        <v>129</v>
      </c>
      <c r="D288" s="60">
        <v>5612852406</v>
      </c>
      <c r="E288" s="60">
        <v>350547</v>
      </c>
      <c r="F288" s="79">
        <v>2166</v>
      </c>
      <c r="G288" s="69">
        <v>46043</v>
      </c>
    </row>
    <row r="289" spans="1:7" s="60" customFormat="1" hidden="1" x14ac:dyDescent="0.3">
      <c r="A289" s="44" t="s">
        <v>10</v>
      </c>
      <c r="B289" s="44" t="s">
        <v>121</v>
      </c>
      <c r="C289" s="44" t="s">
        <v>129</v>
      </c>
      <c r="D289" s="44">
        <v>5612852406</v>
      </c>
      <c r="E289" s="44">
        <v>350548</v>
      </c>
      <c r="F289" s="87">
        <v>7930</v>
      </c>
      <c r="G289" s="46">
        <v>46043</v>
      </c>
    </row>
    <row r="290" spans="1:7" hidden="1" x14ac:dyDescent="0.3">
      <c r="A290" s="60" t="s">
        <v>10</v>
      </c>
      <c r="B290" s="60" t="s">
        <v>121</v>
      </c>
      <c r="C290" s="60" t="s">
        <v>129</v>
      </c>
      <c r="D290" s="60">
        <v>5612852406</v>
      </c>
      <c r="E290" s="60">
        <v>350548</v>
      </c>
      <c r="F290" s="79">
        <v>7930</v>
      </c>
      <c r="G290" s="69">
        <v>46043</v>
      </c>
    </row>
    <row r="291" spans="1:7" s="60" customFormat="1" hidden="1" x14ac:dyDescent="0.3">
      <c r="A291" s="44" t="s">
        <v>17</v>
      </c>
      <c r="B291" s="44" t="s">
        <v>686</v>
      </c>
      <c r="C291" s="44" t="s">
        <v>687</v>
      </c>
      <c r="D291" s="44">
        <v>5526596510</v>
      </c>
      <c r="E291" s="44">
        <v>181757</v>
      </c>
      <c r="F291" s="87">
        <v>6486</v>
      </c>
      <c r="G291" s="46">
        <v>46043</v>
      </c>
    </row>
    <row r="292" spans="1:7" hidden="1" x14ac:dyDescent="0.3">
      <c r="A292" s="60" t="s">
        <v>17</v>
      </c>
      <c r="B292" s="60" t="s">
        <v>691</v>
      </c>
      <c r="C292" s="60" t="s">
        <v>72</v>
      </c>
      <c r="D292" s="60">
        <v>5532346493</v>
      </c>
      <c r="E292" s="60">
        <v>181371</v>
      </c>
      <c r="F292" s="79">
        <v>8256</v>
      </c>
      <c r="G292" s="69">
        <v>46043</v>
      </c>
    </row>
    <row r="293" spans="1:7" s="60" customFormat="1" hidden="1" x14ac:dyDescent="0.3">
      <c r="A293" s="44" t="s">
        <v>17</v>
      </c>
      <c r="B293" s="44" t="s">
        <v>692</v>
      </c>
      <c r="C293" s="44" t="s">
        <v>694</v>
      </c>
      <c r="D293" s="44">
        <v>5539486141</v>
      </c>
      <c r="E293" s="44">
        <v>296231</v>
      </c>
      <c r="F293" s="87">
        <v>4316</v>
      </c>
      <c r="G293" s="46">
        <v>46043</v>
      </c>
    </row>
    <row r="294" spans="1:7" hidden="1" x14ac:dyDescent="0.3">
      <c r="A294" s="60" t="s">
        <v>17</v>
      </c>
      <c r="B294" s="60" t="s">
        <v>667</v>
      </c>
      <c r="C294" s="60" t="s">
        <v>208</v>
      </c>
      <c r="D294" s="60">
        <v>5541320075</v>
      </c>
      <c r="E294" s="60">
        <v>181555</v>
      </c>
      <c r="F294" s="79">
        <v>1784</v>
      </c>
      <c r="G294" s="69">
        <v>46043</v>
      </c>
    </row>
    <row r="295" spans="1:7" s="60" customFormat="1" hidden="1" x14ac:dyDescent="0.3">
      <c r="A295" s="44" t="s">
        <v>17</v>
      </c>
      <c r="B295" s="44" t="s">
        <v>184</v>
      </c>
      <c r="C295" s="44" t="s">
        <v>688</v>
      </c>
      <c r="D295" s="44">
        <v>5572111897</v>
      </c>
      <c r="E295" s="44">
        <v>181775</v>
      </c>
      <c r="F295" s="87">
        <v>5587</v>
      </c>
      <c r="G295" s="46">
        <v>46043</v>
      </c>
    </row>
    <row r="296" spans="1:7" hidden="1" x14ac:dyDescent="0.3">
      <c r="A296" s="60" t="s">
        <v>17</v>
      </c>
      <c r="B296" s="60" t="s">
        <v>689</v>
      </c>
      <c r="C296" s="60" t="s">
        <v>70</v>
      </c>
      <c r="D296" s="60">
        <v>5573090751</v>
      </c>
      <c r="E296" s="60">
        <v>181776</v>
      </c>
      <c r="F296" s="79">
        <v>815</v>
      </c>
      <c r="G296" s="69">
        <v>46043</v>
      </c>
    </row>
    <row r="297" spans="1:7" s="60" customFormat="1" hidden="1" x14ac:dyDescent="0.3">
      <c r="A297" s="60" t="s">
        <v>17</v>
      </c>
      <c r="B297" s="60" t="s">
        <v>685</v>
      </c>
      <c r="C297" s="60" t="s">
        <v>159</v>
      </c>
      <c r="D297" s="60">
        <v>5573743760</v>
      </c>
      <c r="E297" s="60">
        <v>181503</v>
      </c>
      <c r="F297" s="79">
        <v>3504</v>
      </c>
      <c r="G297" s="69">
        <v>46043</v>
      </c>
    </row>
    <row r="298" spans="1:7" hidden="1" x14ac:dyDescent="0.3">
      <c r="A298" s="44" t="s">
        <v>17</v>
      </c>
      <c r="B298" s="44" t="s">
        <v>690</v>
      </c>
      <c r="C298" s="44" t="s">
        <v>115</v>
      </c>
      <c r="D298" s="44">
        <v>5593899825</v>
      </c>
      <c r="E298" s="44">
        <v>350720</v>
      </c>
      <c r="F298" s="87">
        <v>2510</v>
      </c>
      <c r="G298" s="46">
        <v>46043</v>
      </c>
    </row>
    <row r="299" spans="1:7" s="60" customFormat="1" hidden="1" x14ac:dyDescent="0.3">
      <c r="A299" s="60" t="s">
        <v>11</v>
      </c>
      <c r="B299" s="60" t="s">
        <v>684</v>
      </c>
      <c r="C299" s="60" t="s">
        <v>138</v>
      </c>
      <c r="D299" s="60">
        <v>3524382300</v>
      </c>
      <c r="E299" s="60">
        <v>350400</v>
      </c>
      <c r="F299" s="79">
        <v>7035.43</v>
      </c>
      <c r="G299" s="69">
        <v>46043</v>
      </c>
    </row>
    <row r="300" spans="1:7" hidden="1" x14ac:dyDescent="0.3">
      <c r="A300" s="44" t="s">
        <v>11</v>
      </c>
      <c r="B300" s="44" t="s">
        <v>241</v>
      </c>
      <c r="C300" s="44" t="s">
        <v>138</v>
      </c>
      <c r="D300" s="44">
        <v>5581262737</v>
      </c>
      <c r="E300" s="44">
        <v>181811</v>
      </c>
      <c r="F300" s="87">
        <v>6123</v>
      </c>
      <c r="G300" s="46">
        <v>46043</v>
      </c>
    </row>
    <row r="301" spans="1:7" s="51" customFormat="1" hidden="1" x14ac:dyDescent="0.3">
      <c r="A301" s="44" t="s">
        <v>47</v>
      </c>
      <c r="B301" s="44" t="s">
        <v>710</v>
      </c>
      <c r="C301" s="44" t="s">
        <v>206</v>
      </c>
      <c r="D301" s="44">
        <v>5528872468</v>
      </c>
      <c r="E301" s="44">
        <v>296746</v>
      </c>
      <c r="F301" s="87">
        <v>1630</v>
      </c>
      <c r="G301" s="46">
        <v>46044</v>
      </c>
    </row>
    <row r="302" spans="1:7" hidden="1" x14ac:dyDescent="0.3">
      <c r="A302" s="51" t="s">
        <v>47</v>
      </c>
      <c r="B302" s="51" t="s">
        <v>711</v>
      </c>
      <c r="C302" s="51" t="s">
        <v>712</v>
      </c>
      <c r="D302" s="51">
        <v>5544902932</v>
      </c>
      <c r="E302" s="51">
        <v>181621</v>
      </c>
      <c r="F302" s="68">
        <v>2439</v>
      </c>
      <c r="G302" s="52">
        <v>46044</v>
      </c>
    </row>
    <row r="303" spans="1:7" s="51" customFormat="1" hidden="1" x14ac:dyDescent="0.3">
      <c r="A303" s="44" t="s">
        <v>47</v>
      </c>
      <c r="B303" s="44" t="s">
        <v>711</v>
      </c>
      <c r="C303" s="44" t="s">
        <v>712</v>
      </c>
      <c r="D303" s="44">
        <v>5544902933</v>
      </c>
      <c r="E303" s="44">
        <v>32775</v>
      </c>
      <c r="F303" s="87">
        <v>422</v>
      </c>
      <c r="G303" s="46">
        <v>46044</v>
      </c>
    </row>
    <row r="304" spans="1:7" hidden="1" x14ac:dyDescent="0.3">
      <c r="A304" s="51" t="s">
        <v>47</v>
      </c>
      <c r="B304" s="51" t="s">
        <v>713</v>
      </c>
      <c r="C304" s="51" t="s">
        <v>714</v>
      </c>
      <c r="D304" s="51">
        <v>5554098239</v>
      </c>
      <c r="E304" s="51">
        <v>296511</v>
      </c>
      <c r="F304" s="68">
        <v>3773.88</v>
      </c>
      <c r="G304" s="52">
        <v>46044</v>
      </c>
    </row>
    <row r="305" spans="1:7" s="51" customFormat="1" hidden="1" x14ac:dyDescent="0.3">
      <c r="A305" s="51" t="s">
        <v>47</v>
      </c>
      <c r="B305" s="51" t="s">
        <v>184</v>
      </c>
      <c r="C305" s="51" t="s">
        <v>688</v>
      </c>
      <c r="D305" s="51">
        <v>5572111897</v>
      </c>
      <c r="E305" s="51">
        <v>181775</v>
      </c>
      <c r="F305" s="68">
        <v>5587</v>
      </c>
      <c r="G305" s="52">
        <v>46044</v>
      </c>
    </row>
    <row r="306" spans="1:7" hidden="1" x14ac:dyDescent="0.3">
      <c r="A306" s="44" t="s">
        <v>10</v>
      </c>
      <c r="B306" s="44" t="s">
        <v>704</v>
      </c>
      <c r="C306" s="44" t="s">
        <v>285</v>
      </c>
      <c r="D306" s="44">
        <v>5523434869</v>
      </c>
      <c r="E306" s="44">
        <v>181702</v>
      </c>
      <c r="F306" s="87">
        <v>1816</v>
      </c>
      <c r="G306" s="46">
        <v>46044</v>
      </c>
    </row>
    <row r="307" spans="1:7" s="51" customFormat="1" hidden="1" x14ac:dyDescent="0.3">
      <c r="A307" s="51" t="s">
        <v>10</v>
      </c>
      <c r="B307" s="51" t="s">
        <v>270</v>
      </c>
      <c r="C307" s="51" t="s">
        <v>478</v>
      </c>
      <c r="D307" s="51">
        <v>5527842592</v>
      </c>
      <c r="E307" s="51">
        <v>181586</v>
      </c>
      <c r="F307" s="68">
        <v>710.32</v>
      </c>
      <c r="G307" s="52">
        <v>46044</v>
      </c>
    </row>
    <row r="308" spans="1:7" hidden="1" x14ac:dyDescent="0.3">
      <c r="A308" s="44" t="s">
        <v>10</v>
      </c>
      <c r="B308" s="44" t="s">
        <v>289</v>
      </c>
      <c r="C308" s="44" t="s">
        <v>345</v>
      </c>
      <c r="D308" s="44">
        <v>5528522239</v>
      </c>
      <c r="E308" s="44">
        <v>181519</v>
      </c>
      <c r="F308" s="87">
        <v>2269.36</v>
      </c>
      <c r="G308" s="46">
        <v>46044</v>
      </c>
    </row>
    <row r="309" spans="1:7" s="51" customFormat="1" hidden="1" x14ac:dyDescent="0.3">
      <c r="A309" s="44" t="s">
        <v>10</v>
      </c>
      <c r="B309" s="44" t="s">
        <v>568</v>
      </c>
      <c r="C309" s="44" t="s">
        <v>123</v>
      </c>
      <c r="D309" s="44">
        <v>5528929533</v>
      </c>
      <c r="E309" s="44">
        <v>181659</v>
      </c>
      <c r="F309" s="87">
        <v>2721.36</v>
      </c>
      <c r="G309" s="46">
        <v>46044</v>
      </c>
    </row>
    <row r="310" spans="1:7" hidden="1" x14ac:dyDescent="0.3">
      <c r="A310" s="51" t="s">
        <v>10</v>
      </c>
      <c r="B310" s="51" t="s">
        <v>448</v>
      </c>
      <c r="C310" s="51" t="s">
        <v>218</v>
      </c>
      <c r="D310" s="51">
        <v>5539511994</v>
      </c>
      <c r="E310" s="51">
        <v>296695</v>
      </c>
      <c r="F310" s="68">
        <v>2835</v>
      </c>
      <c r="G310" s="52">
        <v>46044</v>
      </c>
    </row>
    <row r="311" spans="1:7" s="51" customFormat="1" hidden="1" x14ac:dyDescent="0.3">
      <c r="A311" s="51" t="s">
        <v>10</v>
      </c>
      <c r="B311" s="51" t="s">
        <v>224</v>
      </c>
      <c r="C311" s="51" t="s">
        <v>480</v>
      </c>
      <c r="D311" s="51">
        <v>5539564988</v>
      </c>
      <c r="E311" s="51">
        <v>296419</v>
      </c>
      <c r="F311" s="68">
        <v>4154.16</v>
      </c>
      <c r="G311" s="52">
        <v>46044</v>
      </c>
    </row>
    <row r="312" spans="1:7" hidden="1" x14ac:dyDescent="0.3">
      <c r="A312" s="44" t="s">
        <v>10</v>
      </c>
      <c r="B312" s="44" t="s">
        <v>224</v>
      </c>
      <c r="C312" s="44" t="s">
        <v>480</v>
      </c>
      <c r="D312" s="44">
        <v>5539564988</v>
      </c>
      <c r="E312" s="44">
        <v>296495</v>
      </c>
      <c r="F312" s="87">
        <v>5235.1899999999996</v>
      </c>
      <c r="G312" s="46">
        <v>46044</v>
      </c>
    </row>
    <row r="313" spans="1:7" s="51" customFormat="1" hidden="1" x14ac:dyDescent="0.3">
      <c r="A313" s="51" t="s">
        <v>10</v>
      </c>
      <c r="B313" s="51" t="s">
        <v>314</v>
      </c>
      <c r="C313" s="51" t="s">
        <v>88</v>
      </c>
      <c r="D313" s="51">
        <v>5544844808</v>
      </c>
      <c r="E313" s="51">
        <v>350834</v>
      </c>
      <c r="F313" s="68">
        <v>1938</v>
      </c>
      <c r="G313" s="52">
        <v>46044</v>
      </c>
    </row>
    <row r="314" spans="1:7" hidden="1" x14ac:dyDescent="0.3">
      <c r="A314" s="51" t="s">
        <v>10</v>
      </c>
      <c r="B314" s="51" t="s">
        <v>298</v>
      </c>
      <c r="C314" s="51" t="s">
        <v>356</v>
      </c>
      <c r="D314" s="51">
        <v>5591940032</v>
      </c>
      <c r="E314" s="51">
        <v>294551</v>
      </c>
      <c r="F314" s="68">
        <v>3487</v>
      </c>
      <c r="G314" s="52">
        <v>46044</v>
      </c>
    </row>
    <row r="315" spans="1:7" s="51" customFormat="1" hidden="1" x14ac:dyDescent="0.3">
      <c r="A315" s="44" t="s">
        <v>10</v>
      </c>
      <c r="B315" s="44" t="s">
        <v>715</v>
      </c>
      <c r="C315" s="44" t="s">
        <v>161</v>
      </c>
      <c r="D315" s="44">
        <v>5616522274</v>
      </c>
      <c r="E315" s="44">
        <v>181860</v>
      </c>
      <c r="F315" s="87">
        <v>964.99</v>
      </c>
      <c r="G315" s="46">
        <v>46044</v>
      </c>
    </row>
    <row r="316" spans="1:7" hidden="1" x14ac:dyDescent="0.3">
      <c r="A316" s="44" t="s">
        <v>17</v>
      </c>
      <c r="B316" s="44" t="s">
        <v>706</v>
      </c>
      <c r="C316" s="44" t="s">
        <v>707</v>
      </c>
      <c r="D316" s="44">
        <v>5518104007</v>
      </c>
      <c r="E316" s="44">
        <v>295531</v>
      </c>
      <c r="F316" s="87">
        <v>11304.32</v>
      </c>
      <c r="G316" s="46">
        <v>46044</v>
      </c>
    </row>
    <row r="317" spans="1:7" s="51" customFormat="1" hidden="1" x14ac:dyDescent="0.3">
      <c r="A317" s="51" t="s">
        <v>17</v>
      </c>
      <c r="B317" s="51" t="s">
        <v>364</v>
      </c>
      <c r="C317" s="51" t="s">
        <v>593</v>
      </c>
      <c r="D317" s="51">
        <v>5540809412</v>
      </c>
      <c r="E317" s="51">
        <v>32762</v>
      </c>
      <c r="F317" s="68">
        <v>2844</v>
      </c>
      <c r="G317" s="52">
        <v>46044</v>
      </c>
    </row>
    <row r="318" spans="1:7" hidden="1" x14ac:dyDescent="0.3">
      <c r="A318" s="44" t="s">
        <v>17</v>
      </c>
      <c r="B318" s="44" t="s">
        <v>705</v>
      </c>
      <c r="C318" s="44" t="s">
        <v>6</v>
      </c>
      <c r="D318" s="44">
        <v>5549432984</v>
      </c>
      <c r="E318" s="44">
        <v>181902</v>
      </c>
      <c r="F318" s="87">
        <v>3004</v>
      </c>
      <c r="G318" s="46">
        <v>46044</v>
      </c>
    </row>
    <row r="319" spans="1:7" s="51" customFormat="1" hidden="1" x14ac:dyDescent="0.3">
      <c r="A319" s="51" t="s">
        <v>17</v>
      </c>
      <c r="B319" s="51" t="s">
        <v>708</v>
      </c>
      <c r="C319" s="51" t="s">
        <v>88</v>
      </c>
      <c r="D319" s="51">
        <v>5613221228</v>
      </c>
      <c r="E319" s="51">
        <v>295727</v>
      </c>
      <c r="F319" s="68">
        <v>2290</v>
      </c>
      <c r="G319" s="52">
        <v>46044</v>
      </c>
    </row>
    <row r="320" spans="1:7" hidden="1" x14ac:dyDescent="0.3">
      <c r="A320" s="44" t="s">
        <v>11</v>
      </c>
      <c r="B320" s="44" t="s">
        <v>709</v>
      </c>
      <c r="C320" s="44" t="s">
        <v>560</v>
      </c>
      <c r="D320" s="44">
        <v>5578854795</v>
      </c>
      <c r="E320" s="44">
        <v>1655</v>
      </c>
      <c r="F320" s="87">
        <v>56392.75</v>
      </c>
      <c r="G320" s="46">
        <v>46044</v>
      </c>
    </row>
    <row r="321" spans="1:7" s="51" customFormat="1" hidden="1" x14ac:dyDescent="0.3">
      <c r="A321" s="51" t="s">
        <v>11</v>
      </c>
      <c r="B321" s="51" t="s">
        <v>709</v>
      </c>
      <c r="C321" s="51" t="s">
        <v>560</v>
      </c>
      <c r="D321" s="51">
        <v>5578854795</v>
      </c>
      <c r="E321" s="51">
        <v>1656</v>
      </c>
      <c r="F321" s="68">
        <v>68201.75</v>
      </c>
      <c r="G321" s="52">
        <v>46044</v>
      </c>
    </row>
    <row r="322" spans="1:7" hidden="1" x14ac:dyDescent="0.3">
      <c r="A322" s="44" t="s">
        <v>11</v>
      </c>
      <c r="B322" s="44" t="s">
        <v>709</v>
      </c>
      <c r="C322" s="44" t="s">
        <v>560</v>
      </c>
      <c r="D322" s="44">
        <v>5578854795</v>
      </c>
      <c r="E322" s="44">
        <v>1650</v>
      </c>
      <c r="F322" s="87">
        <v>71813.960000000006</v>
      </c>
      <c r="G322" s="46">
        <v>46044</v>
      </c>
    </row>
    <row r="323" spans="1:7" s="60" customFormat="1" hidden="1" x14ac:dyDescent="0.3">
      <c r="A323" s="60" t="s">
        <v>47</v>
      </c>
      <c r="B323" s="60" t="s">
        <v>716</v>
      </c>
      <c r="C323" s="60" t="s">
        <v>115</v>
      </c>
      <c r="D323" s="60">
        <v>5541756109</v>
      </c>
      <c r="E323" s="60">
        <v>182020</v>
      </c>
      <c r="F323" s="79">
        <v>5864</v>
      </c>
      <c r="G323" s="69">
        <v>46045</v>
      </c>
    </row>
    <row r="324" spans="1:7" hidden="1" x14ac:dyDescent="0.3">
      <c r="A324" s="44" t="s">
        <v>47</v>
      </c>
      <c r="B324" s="44" t="s">
        <v>703</v>
      </c>
      <c r="C324" s="44" t="s">
        <v>336</v>
      </c>
      <c r="D324" s="44">
        <v>5547402145</v>
      </c>
      <c r="E324" s="44">
        <v>296829</v>
      </c>
      <c r="F324" s="87">
        <v>2400</v>
      </c>
      <c r="G324" s="46">
        <v>46045</v>
      </c>
    </row>
    <row r="325" spans="1:7" s="60" customFormat="1" hidden="1" x14ac:dyDescent="0.3">
      <c r="A325" s="60" t="s">
        <v>10</v>
      </c>
      <c r="B325" s="60" t="s">
        <v>696</v>
      </c>
      <c r="C325" s="60" t="s">
        <v>717</v>
      </c>
      <c r="D325" s="60">
        <v>5529570508</v>
      </c>
      <c r="E325" s="60">
        <v>181359</v>
      </c>
      <c r="F325" s="79">
        <v>1029.99</v>
      </c>
      <c r="G325" s="69">
        <v>46045</v>
      </c>
    </row>
    <row r="326" spans="1:7" hidden="1" x14ac:dyDescent="0.3">
      <c r="A326" s="44" t="s">
        <v>10</v>
      </c>
      <c r="B326" s="44" t="s">
        <v>696</v>
      </c>
      <c r="C326" s="44" t="s">
        <v>717</v>
      </c>
      <c r="D326" s="44">
        <v>5529570508</v>
      </c>
      <c r="E326" s="44">
        <v>181384</v>
      </c>
      <c r="F326" s="87">
        <v>3209</v>
      </c>
      <c r="G326" s="46">
        <v>46045</v>
      </c>
    </row>
    <row r="327" spans="1:7" s="60" customFormat="1" hidden="1" x14ac:dyDescent="0.3">
      <c r="A327" s="60" t="s">
        <v>10</v>
      </c>
      <c r="B327" s="60" t="s">
        <v>696</v>
      </c>
      <c r="C327" s="60" t="s">
        <v>717</v>
      </c>
      <c r="D327" s="60">
        <v>5529570508</v>
      </c>
      <c r="E327" s="60">
        <v>181383</v>
      </c>
      <c r="F327" s="79">
        <v>5989.99</v>
      </c>
      <c r="G327" s="69">
        <v>46045</v>
      </c>
    </row>
    <row r="328" spans="1:7" hidden="1" x14ac:dyDescent="0.3">
      <c r="A328" s="44" t="s">
        <v>10</v>
      </c>
      <c r="B328" s="44" t="s">
        <v>696</v>
      </c>
      <c r="C328" s="44" t="s">
        <v>717</v>
      </c>
      <c r="D328" s="44">
        <v>5529570508</v>
      </c>
      <c r="E328" s="44">
        <v>181382</v>
      </c>
      <c r="F328" s="87">
        <v>4061</v>
      </c>
      <c r="G328" s="46">
        <v>46045</v>
      </c>
    </row>
    <row r="329" spans="1:7" s="60" customFormat="1" hidden="1" x14ac:dyDescent="0.3">
      <c r="A329" s="44" t="s">
        <v>10</v>
      </c>
      <c r="B329" s="44" t="s">
        <v>719</v>
      </c>
      <c r="C329" s="44" t="s">
        <v>165</v>
      </c>
      <c r="D329" s="44">
        <v>5553203522</v>
      </c>
      <c r="E329" s="44">
        <v>350619</v>
      </c>
      <c r="F329" s="87">
        <v>12293.88</v>
      </c>
      <c r="G329" s="46">
        <v>46045</v>
      </c>
    </row>
    <row r="330" spans="1:7" hidden="1" x14ac:dyDescent="0.3">
      <c r="A330" s="60" t="s">
        <v>10</v>
      </c>
      <c r="B330" s="60" t="s">
        <v>718</v>
      </c>
      <c r="C330" s="60" t="s">
        <v>161</v>
      </c>
      <c r="D330" s="60">
        <v>5616522274</v>
      </c>
      <c r="E330" s="60">
        <v>181860</v>
      </c>
      <c r="F330" s="79">
        <v>964.99</v>
      </c>
      <c r="G330" s="69">
        <v>46045</v>
      </c>
    </row>
    <row r="331" spans="1:7" s="60" customFormat="1" hidden="1" x14ac:dyDescent="0.3">
      <c r="A331" s="44" t="s">
        <v>17</v>
      </c>
      <c r="B331" s="44" t="s">
        <v>725</v>
      </c>
      <c r="C331" s="44" t="s">
        <v>724</v>
      </c>
      <c r="D331" s="44">
        <v>5511246208</v>
      </c>
      <c r="E331" s="44">
        <v>181506</v>
      </c>
      <c r="F331" s="87">
        <v>7465.12</v>
      </c>
      <c r="G331" s="46">
        <v>46045</v>
      </c>
    </row>
    <row r="332" spans="1:7" hidden="1" x14ac:dyDescent="0.3">
      <c r="A332" s="60" t="s">
        <v>17</v>
      </c>
      <c r="B332" s="60" t="s">
        <v>728</v>
      </c>
      <c r="C332" s="60" t="s">
        <v>729</v>
      </c>
      <c r="D332" s="60">
        <v>5515712212</v>
      </c>
      <c r="E332" s="60">
        <v>181722</v>
      </c>
      <c r="F332" s="79">
        <v>2776.32</v>
      </c>
      <c r="G332" s="69">
        <v>46045</v>
      </c>
    </row>
    <row r="333" spans="1:7" s="60" customFormat="1" hidden="1" x14ac:dyDescent="0.3">
      <c r="A333" s="44" t="s">
        <v>17</v>
      </c>
      <c r="B333" s="44" t="s">
        <v>730</v>
      </c>
      <c r="C333" s="44" t="s">
        <v>731</v>
      </c>
      <c r="D333" s="44">
        <v>5523322825</v>
      </c>
      <c r="E333" s="44">
        <v>350932</v>
      </c>
      <c r="F333" s="87">
        <v>2808</v>
      </c>
      <c r="G333" s="46">
        <v>46045</v>
      </c>
    </row>
    <row r="334" spans="1:7" hidden="1" x14ac:dyDescent="0.3">
      <c r="A334" s="60" t="s">
        <v>17</v>
      </c>
      <c r="B334" s="60" t="s">
        <v>726</v>
      </c>
      <c r="C334" s="60" t="s">
        <v>465</v>
      </c>
      <c r="D334" s="60">
        <v>5530077745</v>
      </c>
      <c r="E334" s="60">
        <v>181869</v>
      </c>
      <c r="F334" s="79">
        <v>2311.7600000000002</v>
      </c>
      <c r="G334" s="69">
        <v>46045</v>
      </c>
    </row>
    <row r="335" spans="1:7" s="60" customFormat="1" hidden="1" x14ac:dyDescent="0.3">
      <c r="A335" s="44" t="s">
        <v>17</v>
      </c>
      <c r="B335" s="44" t="s">
        <v>723</v>
      </c>
      <c r="C335" s="44" t="s">
        <v>582</v>
      </c>
      <c r="D335" s="44">
        <v>5535358475</v>
      </c>
      <c r="E335" s="44">
        <v>181600</v>
      </c>
      <c r="F335" s="87">
        <v>3647</v>
      </c>
      <c r="G335" s="46">
        <v>46045</v>
      </c>
    </row>
    <row r="336" spans="1:7" hidden="1" x14ac:dyDescent="0.3">
      <c r="A336" s="60" t="s">
        <v>17</v>
      </c>
      <c r="B336" s="60" t="s">
        <v>723</v>
      </c>
      <c r="C336" s="60" t="s">
        <v>582</v>
      </c>
      <c r="D336" s="60">
        <v>5535358476</v>
      </c>
      <c r="E336" s="60">
        <v>32770</v>
      </c>
      <c r="F336" s="79">
        <v>218</v>
      </c>
      <c r="G336" s="69">
        <v>46045</v>
      </c>
    </row>
    <row r="337" spans="1:7" s="60" customFormat="1" hidden="1" x14ac:dyDescent="0.3">
      <c r="A337" s="44" t="s">
        <v>17</v>
      </c>
      <c r="B337" s="44" t="s">
        <v>727</v>
      </c>
      <c r="C337" s="44" t="s">
        <v>68</v>
      </c>
      <c r="D337" s="44">
        <v>5537825635</v>
      </c>
      <c r="E337" s="44">
        <v>182017</v>
      </c>
      <c r="F337" s="87">
        <v>990</v>
      </c>
      <c r="G337" s="46">
        <v>46045</v>
      </c>
    </row>
    <row r="338" spans="1:7" hidden="1" x14ac:dyDescent="0.3">
      <c r="A338" s="60" t="s">
        <v>17</v>
      </c>
      <c r="B338" s="60" t="s">
        <v>732</v>
      </c>
      <c r="C338" s="60" t="s">
        <v>65</v>
      </c>
      <c r="D338" s="60">
        <v>5548617128</v>
      </c>
      <c r="E338" s="60">
        <v>350891</v>
      </c>
      <c r="F338" s="79">
        <v>5690</v>
      </c>
      <c r="G338" s="69">
        <v>46045</v>
      </c>
    </row>
    <row r="339" spans="1:7" s="60" customFormat="1" hidden="1" x14ac:dyDescent="0.3">
      <c r="A339" s="44" t="s">
        <v>17</v>
      </c>
      <c r="B339" s="44" t="s">
        <v>322</v>
      </c>
      <c r="C339" s="44" t="s">
        <v>733</v>
      </c>
      <c r="D339" s="44">
        <v>5667905307</v>
      </c>
      <c r="E339" s="44">
        <v>182022</v>
      </c>
      <c r="F339" s="87">
        <v>1000</v>
      </c>
      <c r="G339" s="46">
        <v>46045</v>
      </c>
    </row>
    <row r="340" spans="1:7" hidden="1" x14ac:dyDescent="0.3">
      <c r="A340" s="60" t="s">
        <v>11</v>
      </c>
      <c r="B340" s="60" t="s">
        <v>722</v>
      </c>
      <c r="C340" s="60" t="s">
        <v>16</v>
      </c>
      <c r="D340" s="60">
        <v>5511166878</v>
      </c>
      <c r="E340" s="60">
        <v>181448</v>
      </c>
      <c r="F340" s="79">
        <v>11625.11</v>
      </c>
      <c r="G340" s="69">
        <v>46045</v>
      </c>
    </row>
    <row r="341" spans="1:7" s="60" customFormat="1" hidden="1" x14ac:dyDescent="0.3">
      <c r="A341" s="60" t="s">
        <v>11</v>
      </c>
      <c r="B341" s="60" t="s">
        <v>720</v>
      </c>
      <c r="C341" s="60" t="s">
        <v>721</v>
      </c>
      <c r="D341" s="60">
        <v>5526907271</v>
      </c>
      <c r="E341" s="60">
        <v>181693</v>
      </c>
      <c r="F341" s="79">
        <v>2117.8000000000002</v>
      </c>
      <c r="G341" s="69">
        <v>46045</v>
      </c>
    </row>
    <row r="342" spans="1:7" hidden="1" x14ac:dyDescent="0.3">
      <c r="A342" s="60" t="s">
        <v>11</v>
      </c>
      <c r="B342" s="60" t="s">
        <v>249</v>
      </c>
      <c r="C342" s="60" t="s">
        <v>250</v>
      </c>
      <c r="D342" s="60">
        <v>5535334019</v>
      </c>
      <c r="E342" s="60">
        <v>181460</v>
      </c>
      <c r="F342" s="79">
        <v>3582</v>
      </c>
      <c r="G342" s="69">
        <v>46045</v>
      </c>
    </row>
    <row r="343" spans="1:7" s="60" customFormat="1" hidden="1" x14ac:dyDescent="0.3">
      <c r="A343" s="44" t="s">
        <v>11</v>
      </c>
      <c r="B343" s="44" t="s">
        <v>249</v>
      </c>
      <c r="C343" s="44" t="s">
        <v>250</v>
      </c>
      <c r="D343" s="44">
        <v>5535334019</v>
      </c>
      <c r="E343" s="44">
        <v>32753</v>
      </c>
      <c r="F343" s="87">
        <v>580</v>
      </c>
      <c r="G343" s="46">
        <v>46045</v>
      </c>
    </row>
    <row r="344" spans="1:7" hidden="1" x14ac:dyDescent="0.3">
      <c r="A344" s="60" t="s">
        <v>11</v>
      </c>
      <c r="B344" s="60" t="s">
        <v>249</v>
      </c>
      <c r="C344" s="60" t="s">
        <v>250</v>
      </c>
      <c r="D344" s="60">
        <v>5535334019</v>
      </c>
      <c r="E344" s="60">
        <v>181582</v>
      </c>
      <c r="F344" s="79">
        <v>3925</v>
      </c>
      <c r="G344" s="69">
        <v>46045</v>
      </c>
    </row>
    <row r="345" spans="1:7" s="60" customFormat="1" hidden="1" x14ac:dyDescent="0.3">
      <c r="A345" s="44" t="s">
        <v>11</v>
      </c>
      <c r="B345" s="44" t="s">
        <v>249</v>
      </c>
      <c r="C345" s="44" t="s">
        <v>250</v>
      </c>
      <c r="D345" s="44">
        <v>5535334019</v>
      </c>
      <c r="E345" s="44">
        <v>32768</v>
      </c>
      <c r="F345" s="87">
        <v>1292</v>
      </c>
      <c r="G345" s="46">
        <v>46045</v>
      </c>
    </row>
    <row r="346" spans="1:7" hidden="1" x14ac:dyDescent="0.3">
      <c r="A346" s="44" t="s">
        <v>11</v>
      </c>
      <c r="B346" s="44" t="s">
        <v>718</v>
      </c>
      <c r="C346" s="44" t="s">
        <v>43</v>
      </c>
      <c r="D346" s="44">
        <v>5544844808</v>
      </c>
      <c r="E346" s="44">
        <v>350834</v>
      </c>
      <c r="F346" s="87">
        <v>1938</v>
      </c>
      <c r="G346" s="46">
        <v>46045</v>
      </c>
    </row>
    <row r="347" spans="1:7" s="60" customFormat="1" x14ac:dyDescent="0.3">
      <c r="A347" s="60" t="s">
        <v>11</v>
      </c>
      <c r="B347" s="60" t="s">
        <v>528</v>
      </c>
      <c r="C347" s="60" t="s">
        <v>0</v>
      </c>
      <c r="D347" s="60">
        <v>5551905191</v>
      </c>
      <c r="E347" s="60">
        <v>296412</v>
      </c>
      <c r="F347" s="79">
        <v>14733.5</v>
      </c>
      <c r="G347" s="69">
        <v>46045</v>
      </c>
    </row>
    <row r="348" spans="1:7" hidden="1" x14ac:dyDescent="0.3">
      <c r="A348" s="44" t="s">
        <v>47</v>
      </c>
      <c r="B348" s="44" t="s">
        <v>748</v>
      </c>
      <c r="C348" s="44" t="s">
        <v>712</v>
      </c>
      <c r="D348" s="44">
        <v>5520900490</v>
      </c>
      <c r="E348" s="44">
        <v>32874</v>
      </c>
      <c r="F348" s="87">
        <v>1836</v>
      </c>
      <c r="G348" s="46">
        <v>46046</v>
      </c>
    </row>
    <row r="349" spans="1:7" s="51" customFormat="1" hidden="1" x14ac:dyDescent="0.3">
      <c r="A349" s="44" t="s">
        <v>47</v>
      </c>
      <c r="B349" s="44" t="s">
        <v>749</v>
      </c>
      <c r="C349" s="44" t="s">
        <v>56</v>
      </c>
      <c r="D349" s="44">
        <v>5538070985</v>
      </c>
      <c r="E349" s="44">
        <v>296502</v>
      </c>
      <c r="F349" s="87">
        <v>8879.0400000000009</v>
      </c>
      <c r="G349" s="46">
        <v>46046</v>
      </c>
    </row>
    <row r="350" spans="1:7" hidden="1" x14ac:dyDescent="0.3">
      <c r="A350" s="51" t="s">
        <v>47</v>
      </c>
      <c r="B350" s="51" t="s">
        <v>749</v>
      </c>
      <c r="C350" s="51" t="s">
        <v>750</v>
      </c>
      <c r="D350" s="51">
        <v>5538070985</v>
      </c>
      <c r="E350" s="51">
        <v>296497</v>
      </c>
      <c r="F350" s="68">
        <v>7861.11</v>
      </c>
      <c r="G350" s="52">
        <v>46046</v>
      </c>
    </row>
    <row r="351" spans="1:7" s="51" customFormat="1" hidden="1" x14ac:dyDescent="0.3">
      <c r="A351" s="44" t="s">
        <v>10</v>
      </c>
      <c r="B351" s="44" t="s">
        <v>744</v>
      </c>
      <c r="C351" s="44" t="s">
        <v>698</v>
      </c>
      <c r="D351" s="44">
        <v>3342915004</v>
      </c>
      <c r="E351" s="44">
        <v>350784</v>
      </c>
      <c r="F351" s="87">
        <v>7116</v>
      </c>
      <c r="G351" s="46">
        <v>46046</v>
      </c>
    </row>
    <row r="352" spans="1:7" hidden="1" x14ac:dyDescent="0.3">
      <c r="A352" s="51" t="s">
        <v>10</v>
      </c>
      <c r="B352" s="51" t="s">
        <v>744</v>
      </c>
      <c r="C352" s="51" t="s">
        <v>698</v>
      </c>
      <c r="D352" s="51">
        <v>3342915004</v>
      </c>
      <c r="E352" s="51">
        <v>350783</v>
      </c>
      <c r="F352" s="68">
        <v>1302</v>
      </c>
      <c r="G352" s="52">
        <v>46046</v>
      </c>
    </row>
    <row r="353" spans="1:7" s="51" customFormat="1" hidden="1" x14ac:dyDescent="0.3">
      <c r="A353" s="44" t="s">
        <v>10</v>
      </c>
      <c r="B353" s="44" t="s">
        <v>742</v>
      </c>
      <c r="C353" s="44" t="s">
        <v>743</v>
      </c>
      <c r="D353" s="44">
        <v>5532623277</v>
      </c>
      <c r="E353" s="44">
        <v>301523</v>
      </c>
      <c r="F353" s="87">
        <v>211</v>
      </c>
      <c r="G353" s="46">
        <v>46046</v>
      </c>
    </row>
    <row r="354" spans="1:7" hidden="1" x14ac:dyDescent="0.3">
      <c r="A354" s="51" t="s">
        <v>10</v>
      </c>
      <c r="B354" s="51" t="s">
        <v>742</v>
      </c>
      <c r="C354" s="51" t="s">
        <v>745</v>
      </c>
      <c r="D354" s="51">
        <v>5532623277</v>
      </c>
      <c r="E354" s="51">
        <v>350918</v>
      </c>
      <c r="F354" s="68">
        <v>813.48</v>
      </c>
      <c r="G354" s="52">
        <v>46046</v>
      </c>
    </row>
    <row r="355" spans="1:7" s="51" customFormat="1" hidden="1" x14ac:dyDescent="0.3">
      <c r="A355" s="44" t="s">
        <v>10</v>
      </c>
      <c r="B355" s="44" t="s">
        <v>740</v>
      </c>
      <c r="C355" s="44" t="s">
        <v>103</v>
      </c>
      <c r="D355" s="44">
        <v>5542220501</v>
      </c>
      <c r="E355" s="44">
        <v>182183</v>
      </c>
      <c r="F355" s="87">
        <v>3759.99</v>
      </c>
      <c r="G355" s="46">
        <v>46046</v>
      </c>
    </row>
    <row r="356" spans="1:7" hidden="1" x14ac:dyDescent="0.3">
      <c r="A356" s="51" t="s">
        <v>10</v>
      </c>
      <c r="B356" s="51" t="s">
        <v>741</v>
      </c>
      <c r="C356" s="51" t="s">
        <v>511</v>
      </c>
      <c r="D356" s="51">
        <v>5547956325</v>
      </c>
      <c r="E356" s="51">
        <v>182192</v>
      </c>
      <c r="F356" s="68">
        <v>2354</v>
      </c>
      <c r="G356" s="52">
        <v>46046</v>
      </c>
    </row>
    <row r="357" spans="1:7" s="51" customFormat="1" hidden="1" x14ac:dyDescent="0.3">
      <c r="A357" s="51" t="s">
        <v>17</v>
      </c>
      <c r="B357" s="51" t="s">
        <v>728</v>
      </c>
      <c r="C357" s="51" t="s">
        <v>729</v>
      </c>
      <c r="D357" s="51">
        <v>5515712212</v>
      </c>
      <c r="E357" s="51">
        <v>181896</v>
      </c>
      <c r="F357" s="68">
        <v>1323.2</v>
      </c>
      <c r="G357" s="52">
        <v>46046</v>
      </c>
    </row>
    <row r="358" spans="1:7" hidden="1" x14ac:dyDescent="0.3">
      <c r="A358" s="51" t="s">
        <v>17</v>
      </c>
      <c r="B358" s="51" t="s">
        <v>738</v>
      </c>
      <c r="C358" s="51" t="s">
        <v>739</v>
      </c>
      <c r="D358" s="51">
        <v>5527567342</v>
      </c>
      <c r="E358" s="51">
        <v>181835</v>
      </c>
      <c r="F358" s="68">
        <v>925</v>
      </c>
      <c r="G358" s="52">
        <v>46046</v>
      </c>
    </row>
    <row r="359" spans="1:7" s="51" customFormat="1" hidden="1" x14ac:dyDescent="0.3">
      <c r="A359" s="44" t="s">
        <v>17</v>
      </c>
      <c r="B359" s="44" t="s">
        <v>738</v>
      </c>
      <c r="C359" s="44" t="s">
        <v>739</v>
      </c>
      <c r="D359" s="44">
        <v>5527567342</v>
      </c>
      <c r="E359" s="44">
        <v>328818</v>
      </c>
      <c r="F359" s="87">
        <v>1688</v>
      </c>
      <c r="G359" s="46">
        <v>46046</v>
      </c>
    </row>
    <row r="360" spans="1:7" hidden="1" x14ac:dyDescent="0.3">
      <c r="A360" s="51" t="s">
        <v>17</v>
      </c>
      <c r="B360" s="51" t="s">
        <v>738</v>
      </c>
      <c r="C360" s="51" t="s">
        <v>739</v>
      </c>
      <c r="D360" s="51">
        <v>5527567342</v>
      </c>
      <c r="E360" s="51">
        <v>181537</v>
      </c>
      <c r="F360" s="68">
        <v>800</v>
      </c>
      <c r="G360" s="52">
        <v>46046</v>
      </c>
    </row>
    <row r="361" spans="1:7" s="51" customFormat="1" hidden="1" x14ac:dyDescent="0.3">
      <c r="A361" s="44" t="s">
        <v>17</v>
      </c>
      <c r="B361" s="44" t="s">
        <v>738</v>
      </c>
      <c r="C361" s="44" t="s">
        <v>739</v>
      </c>
      <c r="D361" s="44">
        <v>5527567342</v>
      </c>
      <c r="E361" s="44">
        <v>181536</v>
      </c>
      <c r="F361" s="87">
        <v>5188</v>
      </c>
      <c r="G361" s="46">
        <v>46046</v>
      </c>
    </row>
    <row r="362" spans="1:7" hidden="1" x14ac:dyDescent="0.3">
      <c r="A362" s="44" t="s">
        <v>17</v>
      </c>
      <c r="B362" s="44" t="s">
        <v>736</v>
      </c>
      <c r="C362" s="44" t="s">
        <v>737</v>
      </c>
      <c r="D362" s="44">
        <v>5530372126</v>
      </c>
      <c r="E362" s="44">
        <v>180098</v>
      </c>
      <c r="F362" s="87">
        <v>3355.68</v>
      </c>
      <c r="G362" s="46">
        <v>46046</v>
      </c>
    </row>
    <row r="363" spans="1:7" s="51" customFormat="1" hidden="1" x14ac:dyDescent="0.3">
      <c r="A363" s="51" t="s">
        <v>17</v>
      </c>
      <c r="B363" s="51" t="s">
        <v>734</v>
      </c>
      <c r="C363" s="51" t="s">
        <v>735</v>
      </c>
      <c r="D363" s="51">
        <v>5636650944</v>
      </c>
      <c r="E363" s="51">
        <v>181685</v>
      </c>
      <c r="F363" s="68">
        <v>8229</v>
      </c>
      <c r="G363" s="52">
        <v>46046</v>
      </c>
    </row>
    <row r="364" spans="1:7" hidden="1" x14ac:dyDescent="0.3">
      <c r="A364" s="51" t="s">
        <v>11</v>
      </c>
      <c r="B364" s="51" t="s">
        <v>751</v>
      </c>
      <c r="C364" s="51" t="s">
        <v>747</v>
      </c>
      <c r="D364" s="51">
        <v>5617630065</v>
      </c>
      <c r="E364" s="51">
        <v>296501</v>
      </c>
      <c r="F364" s="68">
        <v>2760</v>
      </c>
      <c r="G364" s="52">
        <v>46046</v>
      </c>
    </row>
    <row r="365" spans="1:7" s="51" customFormat="1" hidden="1" x14ac:dyDescent="0.3">
      <c r="A365" s="44" t="s">
        <v>11</v>
      </c>
      <c r="B365" s="44" t="s">
        <v>746</v>
      </c>
      <c r="C365" s="44" t="s">
        <v>138</v>
      </c>
      <c r="D365" s="44">
        <v>5620912591</v>
      </c>
      <c r="E365" s="44">
        <v>296486</v>
      </c>
      <c r="F365" s="87">
        <v>1018</v>
      </c>
      <c r="G365" s="46">
        <v>46046</v>
      </c>
    </row>
    <row r="366" spans="1:7" hidden="1" x14ac:dyDescent="0.3">
      <c r="A366" s="51" t="s">
        <v>11</v>
      </c>
      <c r="B366" s="51" t="s">
        <v>143</v>
      </c>
      <c r="C366" s="51" t="s">
        <v>41</v>
      </c>
      <c r="D366" s="51">
        <v>5620912591</v>
      </c>
      <c r="E366" s="51">
        <v>350626</v>
      </c>
      <c r="F366" s="68">
        <v>5175</v>
      </c>
      <c r="G366" s="52">
        <v>46046</v>
      </c>
    </row>
    <row r="367" spans="1:7" s="51" customFormat="1" hidden="1" x14ac:dyDescent="0.3">
      <c r="A367" s="44" t="s">
        <v>11</v>
      </c>
      <c r="B367" s="44" t="s">
        <v>143</v>
      </c>
      <c r="C367" s="44" t="s">
        <v>41</v>
      </c>
      <c r="D367" s="44">
        <v>5620912591</v>
      </c>
      <c r="E367" s="44">
        <v>350627</v>
      </c>
      <c r="F367" s="87">
        <v>5692.99</v>
      </c>
      <c r="G367" s="46">
        <v>46046</v>
      </c>
    </row>
    <row r="368" spans="1:7" hidden="1" x14ac:dyDescent="0.3">
      <c r="A368" s="48" t="s">
        <v>47</v>
      </c>
      <c r="B368" s="48" t="s">
        <v>50</v>
      </c>
      <c r="C368" s="48" t="s">
        <v>456</v>
      </c>
      <c r="D368" s="48">
        <v>5529503930</v>
      </c>
      <c r="E368" s="48">
        <v>296354</v>
      </c>
      <c r="F368" s="88">
        <v>7338.64</v>
      </c>
      <c r="G368" s="50">
        <v>46048</v>
      </c>
    </row>
    <row r="369" spans="1:7" s="48" customFormat="1" hidden="1" x14ac:dyDescent="0.3">
      <c r="A369" s="44" t="s">
        <v>47</v>
      </c>
      <c r="B369" s="44" t="s">
        <v>50</v>
      </c>
      <c r="C369" s="44" t="s">
        <v>456</v>
      </c>
      <c r="D369" s="44">
        <v>5529503931</v>
      </c>
      <c r="E369" s="44">
        <v>296352</v>
      </c>
      <c r="F369" s="87">
        <v>16845.080000000002</v>
      </c>
      <c r="G369" s="46">
        <v>46048</v>
      </c>
    </row>
    <row r="370" spans="1:7" hidden="1" x14ac:dyDescent="0.3">
      <c r="A370" s="44" t="s">
        <v>755</v>
      </c>
      <c r="B370" s="44" t="s">
        <v>364</v>
      </c>
      <c r="C370" s="44" t="s">
        <v>756</v>
      </c>
      <c r="D370" s="44">
        <v>5540809412</v>
      </c>
      <c r="E370" s="44">
        <v>350950</v>
      </c>
      <c r="F370" s="87">
        <v>16200</v>
      </c>
      <c r="G370" s="46">
        <v>46048</v>
      </c>
    </row>
    <row r="371" spans="1:7" s="48" customFormat="1" hidden="1" x14ac:dyDescent="0.3">
      <c r="A371" s="48" t="s">
        <v>755</v>
      </c>
      <c r="B371" s="48" t="s">
        <v>364</v>
      </c>
      <c r="C371" s="48" t="s">
        <v>757</v>
      </c>
      <c r="D371" s="48">
        <v>5588018004</v>
      </c>
      <c r="E371" s="48">
        <v>296363</v>
      </c>
      <c r="F371" s="88">
        <v>66321.56</v>
      </c>
      <c r="G371" s="50">
        <v>46048</v>
      </c>
    </row>
    <row r="372" spans="1:7" hidden="1" x14ac:dyDescent="0.3">
      <c r="A372" s="48" t="s">
        <v>11</v>
      </c>
      <c r="B372" s="48" t="s">
        <v>752</v>
      </c>
      <c r="C372" s="48" t="s">
        <v>753</v>
      </c>
      <c r="D372" s="48">
        <v>5528013590</v>
      </c>
      <c r="E372" s="48">
        <v>296530</v>
      </c>
      <c r="F372" s="88">
        <v>6475.92</v>
      </c>
      <c r="G372" s="50">
        <v>46048</v>
      </c>
    </row>
    <row r="373" spans="1:7" s="48" customFormat="1" hidden="1" x14ac:dyDescent="0.3">
      <c r="A373" s="48" t="s">
        <v>11</v>
      </c>
      <c r="B373" s="48" t="s">
        <v>691</v>
      </c>
      <c r="C373" s="48" t="s">
        <v>117</v>
      </c>
      <c r="D373" s="48">
        <v>5532346493</v>
      </c>
      <c r="E373" s="48">
        <v>181673</v>
      </c>
      <c r="F373" s="88">
        <v>6960</v>
      </c>
      <c r="G373" s="50">
        <v>46048</v>
      </c>
    </row>
    <row r="374" spans="1:7" hidden="1" x14ac:dyDescent="0.3">
      <c r="A374" s="44" t="s">
        <v>11</v>
      </c>
      <c r="B374" s="44" t="s">
        <v>754</v>
      </c>
      <c r="C374" s="44" t="s">
        <v>345</v>
      </c>
      <c r="D374" s="44">
        <v>5617630065</v>
      </c>
      <c r="E374" s="44">
        <v>296501</v>
      </c>
      <c r="F374" s="87">
        <v>2760</v>
      </c>
      <c r="G374" s="46">
        <v>46048</v>
      </c>
    </row>
    <row r="375" spans="1:7" s="48" customFormat="1" hidden="1" x14ac:dyDescent="0.3">
      <c r="A375" s="44" t="s">
        <v>10</v>
      </c>
      <c r="B375" s="44" t="s">
        <v>775</v>
      </c>
      <c r="C375" s="44" t="s">
        <v>60</v>
      </c>
      <c r="D375" s="44">
        <v>5537392857</v>
      </c>
      <c r="E375" s="44">
        <v>350902</v>
      </c>
      <c r="F375" s="87">
        <v>607.91999999999996</v>
      </c>
      <c r="G375" s="46">
        <v>46049</v>
      </c>
    </row>
    <row r="376" spans="1:7" hidden="1" x14ac:dyDescent="0.3">
      <c r="A376" s="51" t="s">
        <v>10</v>
      </c>
      <c r="B376" s="51" t="s">
        <v>776</v>
      </c>
      <c r="C376" s="51" t="s">
        <v>88</v>
      </c>
      <c r="D376" s="51">
        <v>5537672936</v>
      </c>
      <c r="E376" s="78">
        <v>181910</v>
      </c>
      <c r="F376" s="68">
        <v>1019.92</v>
      </c>
      <c r="G376" s="52">
        <v>46049</v>
      </c>
    </row>
    <row r="377" spans="1:7" s="51" customFormat="1" hidden="1" x14ac:dyDescent="0.3">
      <c r="A377" s="44" t="s">
        <v>10</v>
      </c>
      <c r="B377" s="44" t="s">
        <v>773</v>
      </c>
      <c r="C377" s="44" t="s">
        <v>56</v>
      </c>
      <c r="D377" s="44">
        <v>5538949043</v>
      </c>
      <c r="E377" s="44">
        <v>182351</v>
      </c>
      <c r="F377" s="87">
        <v>5872</v>
      </c>
      <c r="G377" s="46">
        <v>46049</v>
      </c>
    </row>
    <row r="378" spans="1:7" hidden="1" x14ac:dyDescent="0.3">
      <c r="A378" s="51" t="s">
        <v>10</v>
      </c>
      <c r="B378" s="51" t="s">
        <v>774</v>
      </c>
      <c r="C378" s="51" t="s">
        <v>41</v>
      </c>
      <c r="D378" s="51">
        <v>5567881356</v>
      </c>
      <c r="E378" s="51">
        <v>182258</v>
      </c>
      <c r="F378" s="68">
        <v>4546</v>
      </c>
      <c r="G378" s="52">
        <v>46049</v>
      </c>
    </row>
    <row r="379" spans="1:7" s="51" customFormat="1" hidden="1" x14ac:dyDescent="0.3">
      <c r="A379" s="51" t="s">
        <v>10</v>
      </c>
      <c r="B379" s="51" t="s">
        <v>298</v>
      </c>
      <c r="C379" s="51" t="str">
        <f>IFERROR(VLOOKUP(B379,Base2026!A:C,2,FALSE),"")</f>
        <v xml:space="preserve">ETEN </v>
      </c>
      <c r="D379" s="51">
        <f>IFERROR(VLOOKUP(C379,Base2026!B:D,2,FALSE),"")</f>
        <v>5591940032</v>
      </c>
      <c r="E379" s="51">
        <v>295551</v>
      </c>
      <c r="F379" s="68">
        <v>3487</v>
      </c>
      <c r="G379" s="52">
        <v>46049</v>
      </c>
    </row>
    <row r="380" spans="1:7" hidden="1" x14ac:dyDescent="0.3">
      <c r="A380" s="51" t="s">
        <v>17</v>
      </c>
      <c r="B380" s="51" t="s">
        <v>770</v>
      </c>
      <c r="C380" s="51" t="s">
        <v>771</v>
      </c>
      <c r="D380" s="51">
        <v>5521749186</v>
      </c>
      <c r="E380" s="51">
        <v>297051</v>
      </c>
      <c r="F380" s="68">
        <v>5608</v>
      </c>
      <c r="G380" s="52">
        <v>46049</v>
      </c>
    </row>
    <row r="381" spans="1:7" s="51" customFormat="1" hidden="1" x14ac:dyDescent="0.3">
      <c r="A381" s="44" t="s">
        <v>17</v>
      </c>
      <c r="B381" s="44" t="s">
        <v>766</v>
      </c>
      <c r="C381" s="44" t="s">
        <v>490</v>
      </c>
      <c r="D381" s="44">
        <f>IFERROR(VLOOKUP(C381,Base2026!B:D,2,FALSE),"")</f>
        <v>5540964748</v>
      </c>
      <c r="E381" s="44">
        <v>181782</v>
      </c>
      <c r="F381" s="87">
        <v>4909.99</v>
      </c>
      <c r="G381" s="46">
        <v>46049</v>
      </c>
    </row>
    <row r="382" spans="1:7" hidden="1" x14ac:dyDescent="0.3">
      <c r="A382" s="44" t="s">
        <v>17</v>
      </c>
      <c r="B382" s="44" t="s">
        <v>772</v>
      </c>
      <c r="C382" s="44" t="s">
        <v>68</v>
      </c>
      <c r="D382" s="44">
        <v>5551013891</v>
      </c>
      <c r="E382" s="44">
        <v>181807</v>
      </c>
      <c r="F382" s="87">
        <v>2192</v>
      </c>
      <c r="G382" s="46">
        <v>46049</v>
      </c>
    </row>
    <row r="383" spans="1:7" s="51" customFormat="1" hidden="1" x14ac:dyDescent="0.3">
      <c r="A383" s="51" t="s">
        <v>17</v>
      </c>
      <c r="B383" s="51" t="s">
        <v>765</v>
      </c>
      <c r="C383" s="51" t="s">
        <v>68</v>
      </c>
      <c r="D383" s="51">
        <v>5569671916</v>
      </c>
      <c r="E383" s="51">
        <v>182329</v>
      </c>
      <c r="F383" s="68">
        <v>5770.99</v>
      </c>
      <c r="G383" s="52">
        <v>46049</v>
      </c>
    </row>
    <row r="384" spans="1:7" hidden="1" x14ac:dyDescent="0.3">
      <c r="A384" s="51" t="s">
        <v>17</v>
      </c>
      <c r="B384" s="51" t="s">
        <v>767</v>
      </c>
      <c r="C384" s="51" t="s">
        <v>117</v>
      </c>
      <c r="D384" s="51">
        <v>5634052929</v>
      </c>
      <c r="E384" s="51">
        <v>297052</v>
      </c>
      <c r="F384" s="68">
        <v>22750</v>
      </c>
      <c r="G384" s="52">
        <v>46049</v>
      </c>
    </row>
    <row r="385" spans="1:7" s="51" customFormat="1" hidden="1" x14ac:dyDescent="0.3">
      <c r="A385" s="44" t="s">
        <v>17</v>
      </c>
      <c r="B385" s="44" t="s">
        <v>768</v>
      </c>
      <c r="C385" s="44" t="s">
        <v>769</v>
      </c>
      <c r="D385" s="44">
        <v>6242171618</v>
      </c>
      <c r="E385" s="44">
        <v>182285</v>
      </c>
      <c r="F385" s="87">
        <v>1259</v>
      </c>
      <c r="G385" s="46">
        <v>46049</v>
      </c>
    </row>
    <row r="386" spans="1:7" hidden="1" x14ac:dyDescent="0.3">
      <c r="A386" s="51" t="s">
        <v>11</v>
      </c>
      <c r="B386" s="51" t="s">
        <v>143</v>
      </c>
      <c r="C386" s="51" t="str">
        <f>IFERROR(VLOOKUP(B386,Base2026!A:C,2,FALSE),"")</f>
        <v>LAZARO CARDENAS</v>
      </c>
      <c r="D386" s="51">
        <f>IFERROR(VLOOKUP(C386,Base2026!B:D,2,FALSE),"")</f>
        <v>5517473496</v>
      </c>
      <c r="E386" s="51">
        <v>850689</v>
      </c>
      <c r="F386" s="68">
        <v>18614.23</v>
      </c>
      <c r="G386" s="52">
        <v>46049</v>
      </c>
    </row>
    <row r="387" spans="1:7" s="51" customFormat="1" hidden="1" x14ac:dyDescent="0.3">
      <c r="A387" s="44" t="s">
        <v>11</v>
      </c>
      <c r="B387" s="44" t="s">
        <v>143</v>
      </c>
      <c r="C387" s="44" t="str">
        <f>IFERROR(VLOOKUP(B387,Base2026!A:C,2,FALSE),"")</f>
        <v>LAZARO CARDENAS</v>
      </c>
      <c r="D387" s="44">
        <f>IFERROR(VLOOKUP(C387,Base2026!B:D,2,FALSE),"")</f>
        <v>5517473496</v>
      </c>
      <c r="E387" s="44">
        <v>301490</v>
      </c>
      <c r="F387" s="87">
        <v>4296</v>
      </c>
      <c r="G387" s="46">
        <v>46049</v>
      </c>
    </row>
    <row r="388" spans="1:7" hidden="1" x14ac:dyDescent="0.3">
      <c r="A388" s="44" t="s">
        <v>11</v>
      </c>
      <c r="B388" s="44" t="s">
        <v>764</v>
      </c>
      <c r="C388" s="44" t="s">
        <v>138</v>
      </c>
      <c r="D388" s="44">
        <v>5529045323</v>
      </c>
      <c r="E388" s="44">
        <v>181870</v>
      </c>
      <c r="F388" s="87">
        <v>1784</v>
      </c>
      <c r="G388" s="46">
        <v>46049</v>
      </c>
    </row>
    <row r="389" spans="1:7" s="51" customFormat="1" hidden="1" x14ac:dyDescent="0.3">
      <c r="A389" s="44" t="s">
        <v>11</v>
      </c>
      <c r="B389" s="44" t="s">
        <v>761</v>
      </c>
      <c r="C389" s="44" t="s">
        <v>41</v>
      </c>
      <c r="D389" s="44">
        <v>5544419441</v>
      </c>
      <c r="E389" s="44">
        <v>182315</v>
      </c>
      <c r="F389" s="87">
        <v>1030</v>
      </c>
      <c r="G389" s="46">
        <v>46049</v>
      </c>
    </row>
    <row r="390" spans="1:7" x14ac:dyDescent="0.3">
      <c r="A390" s="51" t="s">
        <v>11</v>
      </c>
      <c r="B390" s="51" t="s">
        <v>762</v>
      </c>
      <c r="C390" s="51" t="s">
        <v>763</v>
      </c>
      <c r="D390" s="51">
        <v>7296931102</v>
      </c>
      <c r="E390" s="51">
        <v>182296</v>
      </c>
      <c r="F390" s="68">
        <v>3577.99</v>
      </c>
      <c r="G390" s="52">
        <v>46049</v>
      </c>
    </row>
    <row r="391" spans="1:7" s="51" customFormat="1" hidden="1" x14ac:dyDescent="0.3">
      <c r="A391" s="48" t="s">
        <v>47</v>
      </c>
      <c r="B391" s="48" t="s">
        <v>232</v>
      </c>
      <c r="C391" s="48" t="s">
        <v>88</v>
      </c>
      <c r="D391" s="48">
        <v>5529570508</v>
      </c>
      <c r="E391" s="48">
        <v>182400</v>
      </c>
      <c r="F391" s="88">
        <v>10375</v>
      </c>
      <c r="G391" s="50">
        <v>46050</v>
      </c>
    </row>
    <row r="392" spans="1:7" hidden="1" x14ac:dyDescent="0.3">
      <c r="A392" s="44" t="s">
        <v>47</v>
      </c>
      <c r="B392" s="44" t="s">
        <v>784</v>
      </c>
      <c r="C392" s="44" t="s">
        <v>28</v>
      </c>
      <c r="D392" s="44">
        <v>5535948749</v>
      </c>
      <c r="E392" s="44">
        <v>181106</v>
      </c>
      <c r="F392" s="87">
        <v>1908</v>
      </c>
      <c r="G392" s="46">
        <v>46050</v>
      </c>
    </row>
    <row r="393" spans="1:7" s="48" customFormat="1" hidden="1" x14ac:dyDescent="0.3">
      <c r="A393" s="48" t="s">
        <v>47</v>
      </c>
      <c r="B393" s="48" t="s">
        <v>785</v>
      </c>
      <c r="C393" s="48" t="s">
        <v>60</v>
      </c>
      <c r="D393" s="48">
        <v>5574395989</v>
      </c>
      <c r="E393" s="48">
        <v>297081</v>
      </c>
      <c r="F393" s="88">
        <v>1300</v>
      </c>
      <c r="G393" s="50">
        <v>46050</v>
      </c>
    </row>
    <row r="394" spans="1:7" hidden="1" x14ac:dyDescent="0.3">
      <c r="A394" s="44" t="s">
        <v>10</v>
      </c>
      <c r="B394" s="44" t="s">
        <v>781</v>
      </c>
      <c r="C394" s="44" t="s">
        <v>782</v>
      </c>
      <c r="D394" s="44">
        <v>5511607872</v>
      </c>
      <c r="E394" s="44">
        <v>295540</v>
      </c>
      <c r="F394" s="87">
        <v>13305.51</v>
      </c>
      <c r="G394" s="46">
        <v>46050</v>
      </c>
    </row>
    <row r="395" spans="1:7" s="48" customFormat="1" hidden="1" x14ac:dyDescent="0.3">
      <c r="A395" s="48" t="s">
        <v>10</v>
      </c>
      <c r="B395" s="48" t="s">
        <v>121</v>
      </c>
      <c r="C395" s="48" t="s">
        <v>783</v>
      </c>
      <c r="D395" s="48">
        <v>5612852406</v>
      </c>
      <c r="E395" s="48">
        <v>350547</v>
      </c>
      <c r="F395" s="88">
        <v>2166</v>
      </c>
      <c r="G395" s="50">
        <v>46050</v>
      </c>
    </row>
    <row r="396" spans="1:7" hidden="1" x14ac:dyDescent="0.3">
      <c r="A396" s="44" t="s">
        <v>10</v>
      </c>
      <c r="B396" s="44" t="s">
        <v>55</v>
      </c>
      <c r="C396" s="44" t="str">
        <f>IFERROR(VLOOKUP(B396,Base2026!A:C,2,FALSE),"")</f>
        <v>AZCAPOTZALCO</v>
      </c>
      <c r="D396" s="44">
        <v>5620807201</v>
      </c>
      <c r="E396" s="44">
        <v>182202</v>
      </c>
      <c r="F396" s="87">
        <v>12551.99</v>
      </c>
      <c r="G396" s="46">
        <v>46050</v>
      </c>
    </row>
    <row r="397" spans="1:7" s="48" customFormat="1" hidden="1" x14ac:dyDescent="0.3">
      <c r="A397" s="48" t="s">
        <v>17</v>
      </c>
      <c r="B397" s="48" t="s">
        <v>780</v>
      </c>
      <c r="C397" s="48" t="s">
        <v>786</v>
      </c>
      <c r="D397" s="48">
        <v>5529006996</v>
      </c>
      <c r="E397" s="48">
        <v>296520</v>
      </c>
      <c r="F397" s="88">
        <v>22752</v>
      </c>
      <c r="G397" s="50">
        <v>46050</v>
      </c>
    </row>
    <row r="398" spans="1:7" hidden="1" x14ac:dyDescent="0.3">
      <c r="A398" s="44" t="s">
        <v>17</v>
      </c>
      <c r="B398" s="44" t="s">
        <v>779</v>
      </c>
      <c r="C398" s="44" t="s">
        <v>729</v>
      </c>
      <c r="D398" s="44">
        <v>5557800399</v>
      </c>
      <c r="E398" s="44">
        <v>181851</v>
      </c>
      <c r="F398" s="87">
        <v>6839.99</v>
      </c>
      <c r="G398" s="46">
        <v>46050</v>
      </c>
    </row>
    <row r="399" spans="1:7" s="48" customFormat="1" hidden="1" x14ac:dyDescent="0.3">
      <c r="A399" s="48" t="s">
        <v>17</v>
      </c>
      <c r="B399" s="48" t="s">
        <v>158</v>
      </c>
      <c r="C399" s="48" t="str">
        <f>IFERROR(VLOOKUP(B399,Base2026!A:C,2,FALSE),"")</f>
        <v>PLAZAS DE ARAGON</v>
      </c>
      <c r="D399" s="48">
        <f>IFERROR(VLOOKUP(C399,Base2026!B:D,2,FALSE),"")</f>
        <v>5570826626</v>
      </c>
      <c r="E399" s="48">
        <v>181697</v>
      </c>
      <c r="F399" s="88">
        <v>17176.98</v>
      </c>
      <c r="G399" s="50">
        <v>46050</v>
      </c>
    </row>
    <row r="400" spans="1:7" hidden="1" x14ac:dyDescent="0.3">
      <c r="A400" s="44" t="s">
        <v>17</v>
      </c>
      <c r="B400" s="44" t="s">
        <v>777</v>
      </c>
      <c r="C400" s="44" t="s">
        <v>778</v>
      </c>
      <c r="D400" s="44">
        <v>5577612847</v>
      </c>
      <c r="E400" s="44">
        <v>296719</v>
      </c>
      <c r="F400" s="87">
        <v>11338.27</v>
      </c>
      <c r="G400" s="46">
        <v>46050</v>
      </c>
    </row>
    <row r="401" spans="1:7" s="48" customFormat="1" hidden="1" x14ac:dyDescent="0.3">
      <c r="A401" s="48" t="s">
        <v>11</v>
      </c>
      <c r="B401" s="48" t="s">
        <v>310</v>
      </c>
      <c r="C401" s="48" t="str">
        <f>IFERROR(VLOOKUP(B401,Base2026!A:C,2,FALSE),"")</f>
        <v>EJIDOS DE SAN CRISTOBAL</v>
      </c>
      <c r="D401" s="48">
        <v>5525363416</v>
      </c>
      <c r="E401" s="48">
        <v>181622</v>
      </c>
      <c r="F401" s="88">
        <v>14208.14</v>
      </c>
      <c r="G401" s="50">
        <v>46050</v>
      </c>
    </row>
    <row r="402" spans="1:7" x14ac:dyDescent="0.3">
      <c r="A402" s="44" t="s">
        <v>11</v>
      </c>
      <c r="B402" s="44" t="s">
        <v>472</v>
      </c>
      <c r="C402" s="44" t="str">
        <f>IFERROR(VLOOKUP(B402,Base2026!A:C,2,FALSE),"")</f>
        <v>TEXCOCO</v>
      </c>
      <c r="D402" s="44">
        <f>IFERROR(VLOOKUP(C402,Base2026!B:D,2,FALSE),"")</f>
        <v>5536695063</v>
      </c>
      <c r="E402" s="44">
        <v>297075</v>
      </c>
      <c r="F402" s="87">
        <v>850</v>
      </c>
      <c r="G402" s="46">
        <v>46050</v>
      </c>
    </row>
    <row r="403" spans="1:7" s="48" customFormat="1" x14ac:dyDescent="0.3">
      <c r="A403" s="48" t="s">
        <v>11</v>
      </c>
      <c r="B403" s="48" t="s">
        <v>472</v>
      </c>
      <c r="C403" s="48" t="str">
        <f>IFERROR(VLOOKUP(B403,Base2026!A:C,2,FALSE),"")</f>
        <v>TEXCOCO</v>
      </c>
      <c r="D403" s="48">
        <f>IFERROR(VLOOKUP(C403,Base2026!B:D,2,FALSE),"")</f>
        <v>5536695063</v>
      </c>
      <c r="E403" s="48">
        <v>294069</v>
      </c>
      <c r="F403" s="88">
        <v>25773</v>
      </c>
      <c r="G403" s="50">
        <v>46050</v>
      </c>
    </row>
    <row r="404" spans="1:7" x14ac:dyDescent="0.3">
      <c r="A404" s="44" t="s">
        <v>11</v>
      </c>
      <c r="B404" s="44" t="s">
        <v>472</v>
      </c>
      <c r="C404" s="44" t="str">
        <f>IFERROR(VLOOKUP(B404,Base2026!A:C,2,FALSE),"")</f>
        <v>TEXCOCO</v>
      </c>
      <c r="D404" s="44">
        <f>IFERROR(VLOOKUP(C404,Base2026!B:D,2,FALSE),"")</f>
        <v>5536695063</v>
      </c>
      <c r="E404" s="44">
        <v>297073</v>
      </c>
      <c r="F404" s="87">
        <v>13615.95</v>
      </c>
      <c r="G404" s="46">
        <v>46050</v>
      </c>
    </row>
    <row r="405" spans="1:7" s="48" customFormat="1" hidden="1" x14ac:dyDescent="0.3">
      <c r="A405" s="48" t="s">
        <v>11</v>
      </c>
      <c r="B405" s="48" t="s">
        <v>420</v>
      </c>
      <c r="C405" s="48" t="s">
        <v>80</v>
      </c>
      <c r="D405" s="48">
        <v>5542518119</v>
      </c>
      <c r="E405" s="48">
        <v>350777</v>
      </c>
      <c r="F405" s="88">
        <v>3633.36</v>
      </c>
      <c r="G405" s="50">
        <v>46050</v>
      </c>
    </row>
    <row r="406" spans="1:7" hidden="1" x14ac:dyDescent="0.3">
      <c r="A406" s="44" t="s">
        <v>11</v>
      </c>
      <c r="B406" s="44" t="s">
        <v>420</v>
      </c>
      <c r="C406" s="44" t="s">
        <v>80</v>
      </c>
      <c r="D406" s="44">
        <v>5542518120</v>
      </c>
      <c r="E406" s="44">
        <v>349626</v>
      </c>
      <c r="F406" s="87">
        <v>4205.6000000000004</v>
      </c>
      <c r="G406" s="46">
        <v>46050</v>
      </c>
    </row>
    <row r="407" spans="1:7" s="48" customFormat="1" hidden="1" x14ac:dyDescent="0.3">
      <c r="A407" s="44" t="s">
        <v>47</v>
      </c>
      <c r="B407" s="44" t="s">
        <v>803</v>
      </c>
      <c r="C407" s="44" t="s">
        <v>806</v>
      </c>
      <c r="D407" s="44">
        <v>5514902178</v>
      </c>
      <c r="E407" s="44">
        <v>350875</v>
      </c>
      <c r="F407" s="87">
        <v>4032.92</v>
      </c>
      <c r="G407" s="46">
        <v>46051</v>
      </c>
    </row>
    <row r="408" spans="1:7" hidden="1" x14ac:dyDescent="0.3">
      <c r="A408" s="42" t="s">
        <v>47</v>
      </c>
      <c r="B408" s="42" t="s">
        <v>231</v>
      </c>
      <c r="C408" s="42" t="str">
        <f>IFERROR(VLOOKUP(B408,Base2026!A:C,2,FALSE),"")</f>
        <v>SAN JUAN IXHUATEPEC</v>
      </c>
      <c r="D408" s="42">
        <v>5528186245</v>
      </c>
      <c r="E408" s="42">
        <v>351093</v>
      </c>
      <c r="F408" s="86">
        <v>2596</v>
      </c>
      <c r="G408" s="43">
        <v>46051</v>
      </c>
    </row>
    <row r="409" spans="1:7" hidden="1" x14ac:dyDescent="0.3">
      <c r="A409" s="44" t="s">
        <v>47</v>
      </c>
      <c r="B409" s="44" t="s">
        <v>801</v>
      </c>
      <c r="C409" s="44" t="s">
        <v>802</v>
      </c>
      <c r="D409" s="44">
        <v>5543450209</v>
      </c>
      <c r="E409" s="44">
        <v>182396</v>
      </c>
      <c r="F409" s="85">
        <v>8166</v>
      </c>
      <c r="G409" s="46">
        <v>46051</v>
      </c>
    </row>
    <row r="410" spans="1:7" s="42" customFormat="1" hidden="1" x14ac:dyDescent="0.3">
      <c r="A410" s="42" t="s">
        <v>10</v>
      </c>
      <c r="B410" s="42" t="s">
        <v>788</v>
      </c>
      <c r="C410" s="42" t="s">
        <v>6</v>
      </c>
      <c r="D410" s="42">
        <v>5517817365</v>
      </c>
      <c r="E410" s="42">
        <v>296931</v>
      </c>
      <c r="F410" s="86">
        <v>3030.4</v>
      </c>
      <c r="G410" s="43">
        <v>46051</v>
      </c>
    </row>
    <row r="411" spans="1:7" hidden="1" x14ac:dyDescent="0.3">
      <c r="A411" s="44" t="s">
        <v>10</v>
      </c>
      <c r="B411" s="44" t="s">
        <v>700</v>
      </c>
      <c r="C411" s="44" t="str">
        <f>IFERROR(VLOOKUP(B411,Base2026!A:C,2,FALSE),"")</f>
        <v>TULTEPEC</v>
      </c>
      <c r="D411" s="44">
        <v>5534704647</v>
      </c>
      <c r="E411" s="44">
        <v>296249</v>
      </c>
      <c r="F411" s="87">
        <v>29899.279999999999</v>
      </c>
      <c r="G411" s="46">
        <v>46051</v>
      </c>
    </row>
    <row r="412" spans="1:7" s="42" customFormat="1" hidden="1" x14ac:dyDescent="0.3">
      <c r="A412" s="42" t="s">
        <v>10</v>
      </c>
      <c r="B412" s="42" t="s">
        <v>322</v>
      </c>
      <c r="C412" s="42" t="s">
        <v>787</v>
      </c>
      <c r="D412" s="42">
        <v>5611324837</v>
      </c>
      <c r="E412" s="42">
        <v>182490</v>
      </c>
      <c r="F412" s="86">
        <v>3939.2</v>
      </c>
      <c r="G412" s="43">
        <v>46051</v>
      </c>
    </row>
    <row r="413" spans="1:7" hidden="1" x14ac:dyDescent="0.3">
      <c r="A413" s="44" t="s">
        <v>17</v>
      </c>
      <c r="B413" s="44" t="s">
        <v>807</v>
      </c>
      <c r="C413" s="44" t="s">
        <v>808</v>
      </c>
      <c r="D413" s="44">
        <v>5523060582</v>
      </c>
      <c r="E413" s="44">
        <v>182244</v>
      </c>
      <c r="F413" s="87">
        <v>714.08</v>
      </c>
      <c r="G413" s="46">
        <v>46051</v>
      </c>
    </row>
    <row r="414" spans="1:7" s="42" customFormat="1" hidden="1" x14ac:dyDescent="0.3">
      <c r="A414" s="42" t="s">
        <v>17</v>
      </c>
      <c r="B414" s="42" t="s">
        <v>793</v>
      </c>
      <c r="C414" s="42" t="s">
        <v>798</v>
      </c>
      <c r="D414" s="42">
        <v>5523485212</v>
      </c>
      <c r="E414" s="42">
        <v>182035</v>
      </c>
      <c r="F414" s="86">
        <v>5212.99</v>
      </c>
      <c r="G414" s="43">
        <v>46051</v>
      </c>
    </row>
    <row r="415" spans="1:7" hidden="1" x14ac:dyDescent="0.3">
      <c r="A415" s="42" t="s">
        <v>17</v>
      </c>
      <c r="B415" s="42" t="s">
        <v>420</v>
      </c>
      <c r="C415" s="42" t="s">
        <v>68</v>
      </c>
      <c r="D415" s="42">
        <v>5534846357</v>
      </c>
      <c r="E415" s="42">
        <v>350939</v>
      </c>
      <c r="F415" s="86">
        <v>1000.68</v>
      </c>
      <c r="G415" s="43">
        <v>46051</v>
      </c>
    </row>
    <row r="416" spans="1:7" s="42" customFormat="1" hidden="1" x14ac:dyDescent="0.3">
      <c r="A416" s="44" t="s">
        <v>17</v>
      </c>
      <c r="B416" s="44" t="s">
        <v>448</v>
      </c>
      <c r="C416" s="44" t="str">
        <f>IFERROR(VLOOKUP(B416,Base2026!A:C,2,FALSE),"")</f>
        <v>JARDINES DE CERRO GORDO</v>
      </c>
      <c r="D416" s="44">
        <f>IFERROR(VLOOKUP(C416,Base2026!B:D,2,FALSE),"")</f>
        <v>5539511994</v>
      </c>
      <c r="E416" s="44">
        <v>296698</v>
      </c>
      <c r="F416" s="87">
        <v>7308.16</v>
      </c>
      <c r="G416" s="46">
        <v>46051</v>
      </c>
    </row>
    <row r="417" spans="1:9" hidden="1" x14ac:dyDescent="0.3">
      <c r="A417" s="44" t="s">
        <v>17</v>
      </c>
      <c r="B417" s="44" t="s">
        <v>792</v>
      </c>
      <c r="C417" s="44" t="s">
        <v>117</v>
      </c>
      <c r="D417" s="44">
        <v>5540177596</v>
      </c>
      <c r="E417" s="44">
        <v>351028</v>
      </c>
      <c r="F417" s="87">
        <v>3568</v>
      </c>
      <c r="G417" s="46">
        <v>46051</v>
      </c>
    </row>
    <row r="418" spans="1:9" s="42" customFormat="1" hidden="1" x14ac:dyDescent="0.3">
      <c r="A418" s="42" t="s">
        <v>17</v>
      </c>
      <c r="B418" s="42" t="s">
        <v>789</v>
      </c>
      <c r="C418" s="42" t="s">
        <v>84</v>
      </c>
      <c r="D418" s="42">
        <v>5540255976</v>
      </c>
      <c r="E418" s="42">
        <v>351049</v>
      </c>
      <c r="F418" s="86">
        <v>2685</v>
      </c>
      <c r="G418" s="43">
        <v>46051</v>
      </c>
    </row>
    <row r="419" spans="1:9" hidden="1" x14ac:dyDescent="0.3">
      <c r="A419" s="42" t="s">
        <v>17</v>
      </c>
      <c r="B419" s="42" t="s">
        <v>809</v>
      </c>
      <c r="C419" s="42" t="s">
        <v>810</v>
      </c>
      <c r="D419" s="42">
        <v>5543730332</v>
      </c>
      <c r="E419" s="42">
        <v>296929</v>
      </c>
      <c r="F419" s="86">
        <v>3783.38</v>
      </c>
      <c r="G419" s="43">
        <v>46051</v>
      </c>
    </row>
    <row r="420" spans="1:9" s="42" customFormat="1" hidden="1" x14ac:dyDescent="0.3">
      <c r="A420" s="44" t="s">
        <v>17</v>
      </c>
      <c r="B420" s="44" t="s">
        <v>794</v>
      </c>
      <c r="C420" s="44" t="s">
        <v>795</v>
      </c>
      <c r="D420" s="44">
        <v>5557748451</v>
      </c>
      <c r="E420" s="44">
        <v>351158</v>
      </c>
      <c r="F420" s="87">
        <v>1882</v>
      </c>
      <c r="G420" s="46">
        <v>46051</v>
      </c>
    </row>
    <row r="421" spans="1:9" hidden="1" x14ac:dyDescent="0.3">
      <c r="A421" s="42" t="s">
        <v>17</v>
      </c>
      <c r="B421" s="42" t="s">
        <v>796</v>
      </c>
      <c r="C421" s="42" t="s">
        <v>117</v>
      </c>
      <c r="D421" s="42">
        <v>5578942575</v>
      </c>
      <c r="E421" s="42">
        <v>182591</v>
      </c>
      <c r="F421" s="86">
        <v>1205</v>
      </c>
      <c r="G421" s="43">
        <v>46051</v>
      </c>
    </row>
    <row r="422" spans="1:9" s="42" customFormat="1" hidden="1" x14ac:dyDescent="0.3">
      <c r="A422" s="44" t="s">
        <v>17</v>
      </c>
      <c r="B422" s="44" t="s">
        <v>796</v>
      </c>
      <c r="C422" s="44" t="s">
        <v>117</v>
      </c>
      <c r="D422" s="44">
        <v>5578942575</v>
      </c>
      <c r="E422" s="44">
        <v>35161</v>
      </c>
      <c r="F422" s="87">
        <v>6068</v>
      </c>
      <c r="G422" s="46">
        <v>46051</v>
      </c>
    </row>
    <row r="423" spans="1:9" hidden="1" x14ac:dyDescent="0.3">
      <c r="A423" s="42" t="s">
        <v>17</v>
      </c>
      <c r="B423" s="42" t="s">
        <v>790</v>
      </c>
      <c r="C423" s="42" t="s">
        <v>791</v>
      </c>
      <c r="D423" s="42">
        <v>5579656484</v>
      </c>
      <c r="E423" s="42">
        <v>351112</v>
      </c>
      <c r="F423" s="86">
        <v>1341.76</v>
      </c>
      <c r="G423" s="43">
        <v>46051</v>
      </c>
    </row>
    <row r="424" spans="1:9" s="42" customFormat="1" hidden="1" x14ac:dyDescent="0.3">
      <c r="A424" s="42" t="s">
        <v>11</v>
      </c>
      <c r="B424" s="42" t="s">
        <v>797</v>
      </c>
      <c r="C424" s="42" t="s">
        <v>1998</v>
      </c>
      <c r="D424" s="42">
        <v>5540809412</v>
      </c>
      <c r="E424" s="42">
        <v>296169</v>
      </c>
      <c r="F424" s="86">
        <v>16200.04</v>
      </c>
      <c r="G424" s="43">
        <v>46051</v>
      </c>
    </row>
    <row r="425" spans="1:9" hidden="1" x14ac:dyDescent="0.3">
      <c r="A425" s="44" t="s">
        <v>11</v>
      </c>
      <c r="B425" s="44" t="s">
        <v>797</v>
      </c>
      <c r="C425" s="44" t="s">
        <v>1998</v>
      </c>
      <c r="D425" s="44">
        <v>5540809412</v>
      </c>
      <c r="E425" s="44">
        <v>296170</v>
      </c>
      <c r="F425" s="87">
        <v>24375.23</v>
      </c>
      <c r="G425" s="46">
        <v>46051</v>
      </c>
    </row>
    <row r="426" spans="1:9" s="42" customFormat="1" hidden="1" x14ac:dyDescent="0.3">
      <c r="A426" s="42" t="s">
        <v>11</v>
      </c>
      <c r="B426" s="42" t="s">
        <v>797</v>
      </c>
      <c r="C426" s="42" t="s">
        <v>1998</v>
      </c>
      <c r="D426" s="42">
        <v>5540809412</v>
      </c>
      <c r="E426" s="42">
        <v>296167</v>
      </c>
      <c r="F426" s="86">
        <v>51529.279999999999</v>
      </c>
      <c r="G426" s="43">
        <v>46051</v>
      </c>
    </row>
    <row r="427" spans="1:9" hidden="1" x14ac:dyDescent="0.3">
      <c r="A427" s="44" t="s">
        <v>11</v>
      </c>
      <c r="B427" s="44" t="s">
        <v>797</v>
      </c>
      <c r="C427" s="44" t="s">
        <v>1998</v>
      </c>
      <c r="D427" s="44">
        <v>5540809412</v>
      </c>
      <c r="E427" s="44">
        <v>296168</v>
      </c>
      <c r="F427" s="87">
        <v>13271.03</v>
      </c>
      <c r="G427" s="46">
        <v>46051</v>
      </c>
    </row>
    <row r="428" spans="1:9" s="42" customFormat="1" hidden="1" x14ac:dyDescent="0.3">
      <c r="A428" s="42" t="s">
        <v>47</v>
      </c>
      <c r="B428" s="42" t="s">
        <v>460</v>
      </c>
      <c r="C428" s="42" t="str">
        <f>IFERROR(VLOOKUP(B428,Base2026!A:C,2,FALSE),"")</f>
        <v>AV CENTRAL</v>
      </c>
      <c r="D428" s="42">
        <f>IFERROR(VLOOKUP(C428,Base2026!B:D,2,FALSE),"")</f>
        <v>5534651744</v>
      </c>
      <c r="E428" s="42">
        <v>297176</v>
      </c>
      <c r="F428" s="86">
        <v>1530</v>
      </c>
      <c r="G428" s="43">
        <v>46052</v>
      </c>
    </row>
    <row r="429" spans="1:9" hidden="1" x14ac:dyDescent="0.3">
      <c r="A429" s="47" t="s">
        <v>47</v>
      </c>
      <c r="B429" s="44" t="s">
        <v>830</v>
      </c>
      <c r="C429" s="44" t="s">
        <v>721</v>
      </c>
      <c r="D429" s="44">
        <v>5537078916</v>
      </c>
      <c r="E429" s="44">
        <v>297248</v>
      </c>
      <c r="F429" s="87">
        <v>10118</v>
      </c>
      <c r="G429" s="46">
        <v>46052</v>
      </c>
      <c r="I429" s="71">
        <v>46050</v>
      </c>
    </row>
    <row r="430" spans="1:9" s="48" customFormat="1" hidden="1" x14ac:dyDescent="0.3">
      <c r="A430" s="48" t="s">
        <v>47</v>
      </c>
      <c r="B430" s="48" t="s">
        <v>826</v>
      </c>
      <c r="C430" s="48" t="s">
        <v>827</v>
      </c>
      <c r="D430" s="48">
        <v>5539570166</v>
      </c>
      <c r="E430" s="48">
        <v>182963</v>
      </c>
      <c r="F430" s="88">
        <v>330</v>
      </c>
      <c r="G430" s="50">
        <v>46052</v>
      </c>
      <c r="I430" s="48" t="s">
        <v>804</v>
      </c>
    </row>
    <row r="431" spans="1:9" hidden="1" x14ac:dyDescent="0.3">
      <c r="A431" s="47" t="s">
        <v>47</v>
      </c>
      <c r="B431" s="44" t="s">
        <v>792</v>
      </c>
      <c r="C431" s="44" t="s">
        <v>117</v>
      </c>
      <c r="D431" s="44">
        <v>5540177546</v>
      </c>
      <c r="E431" s="44">
        <v>181864</v>
      </c>
      <c r="F431" s="87">
        <v>8727.99</v>
      </c>
      <c r="G431" s="46">
        <v>46052</v>
      </c>
      <c r="I431" s="44">
        <v>297196</v>
      </c>
    </row>
    <row r="432" spans="1:9" s="48" customFormat="1" hidden="1" x14ac:dyDescent="0.3">
      <c r="A432" s="47" t="s">
        <v>47</v>
      </c>
      <c r="B432" s="44" t="s">
        <v>828</v>
      </c>
      <c r="C432" s="44" t="s">
        <v>63</v>
      </c>
      <c r="D432" s="44">
        <v>5584254911</v>
      </c>
      <c r="E432" s="44">
        <v>351104</v>
      </c>
      <c r="F432" s="87">
        <v>1963.92</v>
      </c>
      <c r="G432" s="46">
        <v>46052</v>
      </c>
      <c r="I432" s="48">
        <v>297197</v>
      </c>
    </row>
    <row r="433" spans="1:9" hidden="1" x14ac:dyDescent="0.3">
      <c r="A433" s="44" t="s">
        <v>47</v>
      </c>
      <c r="B433" s="44" t="s">
        <v>169</v>
      </c>
      <c r="C433" s="44" t="s">
        <v>829</v>
      </c>
      <c r="D433" s="44">
        <v>5612609168</v>
      </c>
      <c r="E433" s="44">
        <v>182997</v>
      </c>
      <c r="F433" s="85">
        <v>4868</v>
      </c>
      <c r="G433" s="46">
        <v>46052</v>
      </c>
      <c r="I433" s="44" t="s">
        <v>805</v>
      </c>
    </row>
    <row r="434" spans="1:9" s="48" customFormat="1" hidden="1" x14ac:dyDescent="0.3">
      <c r="A434" s="48" t="s">
        <v>47</v>
      </c>
      <c r="B434" s="48" t="s">
        <v>831</v>
      </c>
      <c r="C434" s="48" t="s">
        <v>107</v>
      </c>
      <c r="D434" s="48">
        <v>5621736775</v>
      </c>
      <c r="E434" s="48">
        <v>182152</v>
      </c>
      <c r="F434" s="88">
        <v>2670</v>
      </c>
      <c r="G434" s="50">
        <v>46052</v>
      </c>
    </row>
    <row r="435" spans="1:9" hidden="1" x14ac:dyDescent="0.3">
      <c r="A435" s="44" t="s">
        <v>10</v>
      </c>
      <c r="B435" s="44" t="s">
        <v>812</v>
      </c>
      <c r="C435" s="44" t="s">
        <v>60</v>
      </c>
      <c r="D435" s="44">
        <v>5515067172</v>
      </c>
      <c r="E435" s="44">
        <v>182717</v>
      </c>
      <c r="F435" s="85">
        <v>3211</v>
      </c>
      <c r="G435" s="46">
        <v>46052</v>
      </c>
    </row>
    <row r="436" spans="1:9" s="48" customFormat="1" hidden="1" x14ac:dyDescent="0.3">
      <c r="A436" s="44" t="s">
        <v>10</v>
      </c>
      <c r="B436" s="44" t="s">
        <v>230</v>
      </c>
      <c r="C436" s="44" t="s">
        <v>152</v>
      </c>
      <c r="D436" s="44">
        <v>5554171386</v>
      </c>
      <c r="E436" s="44">
        <v>297162</v>
      </c>
      <c r="F436" s="87">
        <v>360</v>
      </c>
      <c r="G436" s="46">
        <v>46052</v>
      </c>
    </row>
    <row r="437" spans="1:9" s="48" customFormat="1" hidden="1" x14ac:dyDescent="0.3">
      <c r="A437" s="48" t="s">
        <v>10</v>
      </c>
      <c r="B437" s="48" t="s">
        <v>811</v>
      </c>
      <c r="C437" s="48" t="s">
        <v>832</v>
      </c>
      <c r="D437" s="48">
        <v>5557557036</v>
      </c>
      <c r="E437" s="48">
        <v>351149</v>
      </c>
      <c r="F437" s="88">
        <v>1517</v>
      </c>
      <c r="G437" s="50">
        <v>46052</v>
      </c>
    </row>
    <row r="438" spans="1:9" s="48" customFormat="1" hidden="1" x14ac:dyDescent="0.3">
      <c r="A438" s="44" t="s">
        <v>10</v>
      </c>
      <c r="B438" s="44" t="s">
        <v>813</v>
      </c>
      <c r="C438" s="44" t="s">
        <v>814</v>
      </c>
      <c r="D438" s="44">
        <v>5577936861</v>
      </c>
      <c r="E438" s="44">
        <v>182892</v>
      </c>
      <c r="F438" s="87">
        <v>505</v>
      </c>
      <c r="G438" s="46">
        <v>46052</v>
      </c>
    </row>
    <row r="439" spans="1:9" hidden="1" x14ac:dyDescent="0.3">
      <c r="A439" s="48" t="s">
        <v>10</v>
      </c>
      <c r="B439" s="48" t="s">
        <v>815</v>
      </c>
      <c r="C439" s="48" t="s">
        <v>816</v>
      </c>
      <c r="D439" s="48">
        <v>5610472477</v>
      </c>
      <c r="E439" s="48">
        <v>295596</v>
      </c>
      <c r="F439" s="88">
        <v>10495.75</v>
      </c>
      <c r="G439" s="50">
        <v>46052</v>
      </c>
    </row>
    <row r="440" spans="1:9" s="48" customFormat="1" hidden="1" x14ac:dyDescent="0.3">
      <c r="A440" s="44" t="s">
        <v>17</v>
      </c>
      <c r="B440" s="44" t="s">
        <v>817</v>
      </c>
      <c r="C440" s="44" t="s">
        <v>818</v>
      </c>
      <c r="D440" s="44">
        <v>5535538673</v>
      </c>
      <c r="E440" s="44">
        <v>182376</v>
      </c>
      <c r="F440" s="87">
        <v>1206</v>
      </c>
      <c r="G440" s="46">
        <v>46052</v>
      </c>
    </row>
    <row r="441" spans="1:9" hidden="1" x14ac:dyDescent="0.3">
      <c r="A441" s="48" t="s">
        <v>17</v>
      </c>
      <c r="B441" s="48" t="s">
        <v>224</v>
      </c>
      <c r="C441" s="48" t="str">
        <f>IFERROR(VLOOKUP(B441,Base2026!A:C,2,FALSE),"")</f>
        <v>EL SALADO XALOSTOC</v>
      </c>
      <c r="D441" s="48">
        <f>IFERROR(VLOOKUP(C441,Base2026!B:D,2,FALSE),"")</f>
        <v>5539564988</v>
      </c>
      <c r="E441" s="48">
        <v>296990</v>
      </c>
      <c r="F441" s="88">
        <v>4152.1499999999996</v>
      </c>
      <c r="G441" s="50">
        <v>46052</v>
      </c>
    </row>
    <row r="442" spans="1:9" s="48" customFormat="1" hidden="1" x14ac:dyDescent="0.3">
      <c r="A442" s="48" t="s">
        <v>17</v>
      </c>
      <c r="B442" s="48" t="s">
        <v>819</v>
      </c>
      <c r="C442" s="48" t="s">
        <v>820</v>
      </c>
      <c r="D442" s="48">
        <v>5555072593</v>
      </c>
      <c r="E442" s="48">
        <v>351239</v>
      </c>
      <c r="F442" s="88">
        <v>8168</v>
      </c>
      <c r="G442" s="50">
        <v>46052</v>
      </c>
    </row>
    <row r="443" spans="1:9" hidden="1" x14ac:dyDescent="0.3">
      <c r="A443" s="44" t="s">
        <v>17</v>
      </c>
      <c r="B443" s="44" t="s">
        <v>549</v>
      </c>
      <c r="C443" s="44" t="str">
        <f>IFERROR(VLOOKUP(B443,Base2026!A:C,2,FALSE),"")</f>
        <v>BENITO JUAREZ NEZA</v>
      </c>
      <c r="D443" s="44">
        <f>IFERROR(VLOOKUP(C443,Base2026!B:D,2,FALSE),"")</f>
        <v>5580885800</v>
      </c>
      <c r="E443" s="44">
        <v>351128</v>
      </c>
      <c r="F443" s="87">
        <v>3494.96</v>
      </c>
      <c r="G443" s="46">
        <v>46052</v>
      </c>
    </row>
    <row r="444" spans="1:9" s="48" customFormat="1" hidden="1" x14ac:dyDescent="0.3">
      <c r="A444" s="48" t="s">
        <v>17</v>
      </c>
      <c r="B444" s="48" t="s">
        <v>821</v>
      </c>
      <c r="C444" s="48" t="s">
        <v>822</v>
      </c>
      <c r="D444" s="48">
        <v>5621030826</v>
      </c>
      <c r="E444" s="48">
        <v>297288</v>
      </c>
      <c r="F444" s="88">
        <v>2685</v>
      </c>
      <c r="G444" s="50">
        <v>46052</v>
      </c>
    </row>
    <row r="445" spans="1:9" hidden="1" x14ac:dyDescent="0.3">
      <c r="A445" s="44" t="s">
        <v>17</v>
      </c>
      <c r="B445" s="44" t="s">
        <v>423</v>
      </c>
      <c r="C445" s="44" t="str">
        <f>IFERROR(VLOOKUP(B445,Base2026!A:C,2,FALSE),"")</f>
        <v>CHAMIZAL</v>
      </c>
      <c r="D445" s="44">
        <f>IFERROR(VLOOKUP(C445,Base2026!B:D,2,FALSE),"")</f>
        <v>9981951537</v>
      </c>
      <c r="E445" s="44">
        <v>297250</v>
      </c>
      <c r="F445" s="87">
        <v>6705</v>
      </c>
      <c r="G445" s="46">
        <v>46052</v>
      </c>
    </row>
    <row r="446" spans="1:9" s="48" customFormat="1" hidden="1" x14ac:dyDescent="0.3">
      <c r="A446" s="44" t="s">
        <v>11</v>
      </c>
      <c r="B446" s="44" t="s">
        <v>824</v>
      </c>
      <c r="C446" s="44" t="s">
        <v>782</v>
      </c>
      <c r="D446" s="44">
        <v>5516041821</v>
      </c>
      <c r="E446" s="44">
        <v>351034</v>
      </c>
      <c r="F446" s="87">
        <v>2790</v>
      </c>
      <c r="G446" s="46">
        <v>46052</v>
      </c>
    </row>
    <row r="447" spans="1:9" hidden="1" x14ac:dyDescent="0.3">
      <c r="A447" s="48" t="s">
        <v>11</v>
      </c>
      <c r="B447" s="48" t="s">
        <v>823</v>
      </c>
      <c r="C447" s="48" t="s">
        <v>78</v>
      </c>
      <c r="D447" s="48">
        <v>5520920957</v>
      </c>
      <c r="E447" s="48">
        <v>182201</v>
      </c>
      <c r="F447" s="88">
        <v>2629.68</v>
      </c>
      <c r="G447" s="50">
        <v>46052</v>
      </c>
    </row>
    <row r="448" spans="1:9" s="48" customFormat="1" hidden="1" x14ac:dyDescent="0.3">
      <c r="A448" s="48" t="s">
        <v>11</v>
      </c>
      <c r="B448" s="48" t="s">
        <v>217</v>
      </c>
      <c r="C448" s="48" t="s">
        <v>825</v>
      </c>
      <c r="D448" s="48">
        <v>5521745267</v>
      </c>
      <c r="E448" s="48">
        <v>182298</v>
      </c>
      <c r="F448" s="88">
        <v>4590</v>
      </c>
      <c r="G448" s="50">
        <v>46052</v>
      </c>
    </row>
    <row r="449" spans="1:7" hidden="1" x14ac:dyDescent="0.3">
      <c r="A449" s="44" t="s">
        <v>11</v>
      </c>
      <c r="B449" s="44" t="s">
        <v>746</v>
      </c>
      <c r="C449" s="44" t="str">
        <f>IFERROR(VLOOKUP(B449,Base2026!A:C,2,FALSE),"")</f>
        <v>JARDINES DE MORELOS</v>
      </c>
      <c r="D449" s="44">
        <f>IFERROR(VLOOKUP(C449,Base2026!B:D,2,FALSE),"")</f>
        <v>5558383479</v>
      </c>
      <c r="E449" s="44">
        <v>297223</v>
      </c>
      <c r="F449" s="87">
        <v>6326</v>
      </c>
      <c r="G449" s="46">
        <v>46052</v>
      </c>
    </row>
    <row r="450" spans="1:7" s="48" customFormat="1" hidden="1" x14ac:dyDescent="0.3">
      <c r="A450" s="48" t="s">
        <v>11</v>
      </c>
      <c r="B450" s="48" t="s">
        <v>610</v>
      </c>
      <c r="C450" s="48" t="str">
        <f>IFERROR(VLOOKUP(B450,Base2026!A:C,2,FALSE),"")</f>
        <v>SAN PABLO TEXCOCO</v>
      </c>
      <c r="D450" s="48">
        <f>IFERROR(VLOOKUP(C450,Base2026!B:D,2,FALSE),"")</f>
        <v>5582860407</v>
      </c>
      <c r="E450" s="48">
        <v>296597</v>
      </c>
      <c r="F450" s="88">
        <v>10083.030000000001</v>
      </c>
      <c r="G450" s="50">
        <v>46052</v>
      </c>
    </row>
    <row r="451" spans="1:7" hidden="1" x14ac:dyDescent="0.3">
      <c r="A451" s="44" t="s">
        <v>11</v>
      </c>
      <c r="B451" s="44" t="s">
        <v>610</v>
      </c>
      <c r="C451" s="44" t="str">
        <f>IFERROR(VLOOKUP(B451,Base2026!A:C,2,FALSE),"")</f>
        <v>SAN PABLO TEXCOCO</v>
      </c>
      <c r="D451" s="44">
        <f>IFERROR(VLOOKUP(C451,Base2026!B:D,2,FALSE),"")</f>
        <v>5582860407</v>
      </c>
      <c r="E451" s="44">
        <v>297104</v>
      </c>
      <c r="F451" s="87">
        <v>2175</v>
      </c>
      <c r="G451" s="46">
        <v>46052</v>
      </c>
    </row>
    <row r="452" spans="1:7" s="48" customFormat="1" hidden="1" x14ac:dyDescent="0.3">
      <c r="A452" s="48" t="s">
        <v>11</v>
      </c>
      <c r="B452" s="48" t="s">
        <v>610</v>
      </c>
      <c r="C452" s="48" t="str">
        <f>IFERROR(VLOOKUP(B452,Base2026!A:C,2,FALSE),"")</f>
        <v>SAN PABLO TEXCOCO</v>
      </c>
      <c r="D452" s="48">
        <f>IFERROR(VLOOKUP(C452,Base2026!B:D,2,FALSE),"")</f>
        <v>5582860407</v>
      </c>
      <c r="E452" s="48">
        <v>296568</v>
      </c>
      <c r="F452" s="88">
        <v>774</v>
      </c>
      <c r="G452" s="50">
        <v>46052</v>
      </c>
    </row>
    <row r="453" spans="1:7" ht="19.5" hidden="1" customHeight="1" x14ac:dyDescent="0.3">
      <c r="A453" s="42" t="s">
        <v>47</v>
      </c>
      <c r="B453" s="42" t="s">
        <v>843</v>
      </c>
      <c r="C453" s="42" t="s">
        <v>844</v>
      </c>
      <c r="D453" s="42">
        <v>5514956097</v>
      </c>
      <c r="E453" s="42">
        <v>183033</v>
      </c>
      <c r="F453" s="86">
        <v>600</v>
      </c>
      <c r="G453" s="43">
        <v>46053</v>
      </c>
    </row>
    <row r="454" spans="1:7" s="42" customFormat="1" hidden="1" x14ac:dyDescent="0.3">
      <c r="A454" s="44" t="s">
        <v>47</v>
      </c>
      <c r="B454" s="44" t="s">
        <v>843</v>
      </c>
      <c r="C454" s="44" t="s">
        <v>844</v>
      </c>
      <c r="D454" s="44">
        <v>5514956097</v>
      </c>
      <c r="E454" s="44">
        <v>183032</v>
      </c>
      <c r="F454" s="87">
        <v>4456</v>
      </c>
      <c r="G454" s="46">
        <v>46053</v>
      </c>
    </row>
    <row r="455" spans="1:7" hidden="1" x14ac:dyDescent="0.3">
      <c r="A455" s="42" t="s">
        <v>47</v>
      </c>
      <c r="B455" s="42" t="s">
        <v>845</v>
      </c>
      <c r="C455" s="42" t="s">
        <v>244</v>
      </c>
      <c r="D455" s="42">
        <v>5575007807</v>
      </c>
      <c r="E455" s="42">
        <v>350786</v>
      </c>
      <c r="F455" s="86">
        <v>9179.19</v>
      </c>
      <c r="G455" s="43">
        <v>46053</v>
      </c>
    </row>
    <row r="456" spans="1:7" s="42" customFormat="1" hidden="1" x14ac:dyDescent="0.3">
      <c r="A456" s="44" t="s">
        <v>10</v>
      </c>
      <c r="B456" s="44" t="s">
        <v>579</v>
      </c>
      <c r="C456" s="44" t="str">
        <f>IFERROR(VLOOKUP(B456,Base2026!A:C,2,FALSE),"")</f>
        <v>CHAMIZALITO</v>
      </c>
      <c r="D456" s="44">
        <f>IFERROR(VLOOKUP(C456,Base2026!B:D,2,FALSE),"")</f>
        <v>5515369770</v>
      </c>
      <c r="E456" s="44">
        <v>182435</v>
      </c>
      <c r="F456" s="87">
        <v>3807.99</v>
      </c>
      <c r="G456" s="46">
        <v>46053</v>
      </c>
    </row>
    <row r="457" spans="1:7" hidden="1" x14ac:dyDescent="0.3">
      <c r="A457" s="42" t="s">
        <v>10</v>
      </c>
      <c r="B457" s="42" t="s">
        <v>835</v>
      </c>
      <c r="C457" s="42" t="s">
        <v>6</v>
      </c>
      <c r="D457" s="42">
        <v>5519036357</v>
      </c>
      <c r="E457" s="42">
        <v>182686</v>
      </c>
      <c r="F457" s="86">
        <v>5035.32</v>
      </c>
      <c r="G457" s="43">
        <v>46053</v>
      </c>
    </row>
    <row r="458" spans="1:7" s="42" customFormat="1" hidden="1" x14ac:dyDescent="0.3">
      <c r="A458" s="42" t="s">
        <v>10</v>
      </c>
      <c r="B458" s="42" t="s">
        <v>846</v>
      </c>
      <c r="C458" s="42" t="s">
        <v>478</v>
      </c>
      <c r="D458" s="42">
        <v>5527842592</v>
      </c>
      <c r="E458" s="42">
        <v>182139</v>
      </c>
      <c r="F458" s="86">
        <v>7780</v>
      </c>
      <c r="G458" s="43">
        <v>46053</v>
      </c>
    </row>
    <row r="459" spans="1:7" hidden="1" x14ac:dyDescent="0.3">
      <c r="A459" s="42" t="s">
        <v>10</v>
      </c>
      <c r="B459" s="42" t="s">
        <v>834</v>
      </c>
      <c r="C459" s="42" t="s">
        <v>833</v>
      </c>
      <c r="D459" s="42">
        <v>5537078916</v>
      </c>
      <c r="E459" s="42">
        <v>297356</v>
      </c>
      <c r="F459" s="86">
        <v>6030</v>
      </c>
      <c r="G459" s="43">
        <v>46053</v>
      </c>
    </row>
    <row r="460" spans="1:7" s="42" customFormat="1" hidden="1" x14ac:dyDescent="0.3">
      <c r="A460" s="44" t="s">
        <v>10</v>
      </c>
      <c r="B460" s="44" t="s">
        <v>678</v>
      </c>
      <c r="C460" s="44" t="str">
        <f>IFERROR(VLOOKUP(B460,Base2026!A:C,2,FALSE),"")</f>
        <v>JARDINES DE MORELOS</v>
      </c>
      <c r="D460" s="44">
        <f>IFERROR(VLOOKUP(C460,Base2026!B:D,2,FALSE),"")</f>
        <v>5558383479</v>
      </c>
      <c r="E460" s="44">
        <v>297317</v>
      </c>
      <c r="F460" s="87">
        <v>1483</v>
      </c>
      <c r="G460" s="46">
        <v>46053</v>
      </c>
    </row>
    <row r="461" spans="1:7" hidden="1" x14ac:dyDescent="0.3">
      <c r="A461" s="42" t="s">
        <v>17</v>
      </c>
      <c r="B461" s="42" t="s">
        <v>841</v>
      </c>
      <c r="C461" s="42" t="s">
        <v>117</v>
      </c>
      <c r="D461" s="42">
        <v>5534440659</v>
      </c>
      <c r="E461" s="42">
        <v>181944</v>
      </c>
      <c r="F461" s="86">
        <v>14133.66</v>
      </c>
      <c r="G461" s="43">
        <v>46053</v>
      </c>
    </row>
    <row r="462" spans="1:7" s="42" customFormat="1" hidden="1" x14ac:dyDescent="0.3">
      <c r="A462" s="44" t="s">
        <v>17</v>
      </c>
      <c r="B462" s="44" t="s">
        <v>460</v>
      </c>
      <c r="C462" s="44" t="str">
        <f>IFERROR(VLOOKUP(B462,Base2026!A:C,2,FALSE),"")</f>
        <v>AV CENTRAL</v>
      </c>
      <c r="D462" s="44">
        <f>IFERROR(VLOOKUP(C462,Base2026!B:D,2,FALSE),"")</f>
        <v>5534651744</v>
      </c>
      <c r="E462" s="44">
        <v>297316</v>
      </c>
      <c r="F462" s="87">
        <v>8613</v>
      </c>
      <c r="G462" s="46">
        <v>46053</v>
      </c>
    </row>
    <row r="463" spans="1:7" s="42" customFormat="1" hidden="1" x14ac:dyDescent="0.3">
      <c r="A463" s="42" t="s">
        <v>17</v>
      </c>
      <c r="B463" s="42" t="s">
        <v>131</v>
      </c>
      <c r="C463" s="42" t="str">
        <f>IFERROR(VLOOKUP(B463,Base2026!A:C,2,FALSE),"")</f>
        <v>PRIZO</v>
      </c>
      <c r="D463" s="42">
        <f>IFERROR(VLOOKUP(C463,Base2026!B:D,2,FALSE),"")</f>
        <v>5551141444</v>
      </c>
      <c r="E463" s="42">
        <v>350915</v>
      </c>
      <c r="F463" s="86">
        <v>9275</v>
      </c>
      <c r="G463" s="43">
        <v>46053</v>
      </c>
    </row>
    <row r="464" spans="1:7" s="42" customFormat="1" hidden="1" x14ac:dyDescent="0.3">
      <c r="A464" s="44" t="s">
        <v>11</v>
      </c>
      <c r="B464" s="44" t="s">
        <v>838</v>
      </c>
      <c r="C464" s="44" t="s">
        <v>839</v>
      </c>
      <c r="D464" s="44">
        <v>5551953722</v>
      </c>
      <c r="E464" s="44">
        <v>182515</v>
      </c>
      <c r="F464" s="87">
        <v>3183</v>
      </c>
      <c r="G464" s="46">
        <v>46053</v>
      </c>
    </row>
    <row r="465" spans="1:7" hidden="1" x14ac:dyDescent="0.3">
      <c r="A465" s="42" t="s">
        <v>11</v>
      </c>
      <c r="B465" s="42" t="s">
        <v>840</v>
      </c>
      <c r="C465" s="42" t="s">
        <v>68</v>
      </c>
      <c r="D465" s="42">
        <v>5554761610</v>
      </c>
      <c r="E465" s="42">
        <v>297351</v>
      </c>
      <c r="F465" s="86">
        <v>1300</v>
      </c>
      <c r="G465" s="43">
        <v>46053</v>
      </c>
    </row>
    <row r="466" spans="1:7" s="42" customFormat="1" hidden="1" x14ac:dyDescent="0.3">
      <c r="A466" s="44" t="s">
        <v>10</v>
      </c>
      <c r="B466" s="44" t="s">
        <v>853</v>
      </c>
      <c r="C466" s="44" t="s">
        <v>56</v>
      </c>
      <c r="D466" s="44">
        <f>IFERROR(VLOOKUP(C466,Base2026!B:D,2,FALSE),"")</f>
        <v>5523625972</v>
      </c>
      <c r="E466" s="44">
        <v>351330</v>
      </c>
      <c r="F466" s="87">
        <v>595</v>
      </c>
      <c r="G466" s="46">
        <v>46056</v>
      </c>
    </row>
    <row r="467" spans="1:7" s="48" customFormat="1" hidden="1" x14ac:dyDescent="0.3">
      <c r="A467" s="48" t="s">
        <v>10</v>
      </c>
      <c r="B467" s="48" t="s">
        <v>856</v>
      </c>
      <c r="C467" s="48" t="s">
        <v>855</v>
      </c>
      <c r="D467" s="48">
        <v>5534259252</v>
      </c>
      <c r="E467" s="48">
        <v>182952</v>
      </c>
      <c r="F467" s="88">
        <v>7823</v>
      </c>
      <c r="G467" s="50">
        <v>46056</v>
      </c>
    </row>
    <row r="468" spans="1:7" hidden="1" x14ac:dyDescent="0.3">
      <c r="A468" s="44" t="s">
        <v>10</v>
      </c>
      <c r="B468" s="44" t="s">
        <v>7</v>
      </c>
      <c r="C468" s="44" t="s">
        <v>30</v>
      </c>
      <c r="D468" s="44">
        <f>IFERROR(VLOOKUP(C468,Base2026!B:D,2,FALSE),"")</f>
        <v>5545758293</v>
      </c>
      <c r="E468" s="44">
        <v>351145</v>
      </c>
      <c r="F468" s="85">
        <v>1630.9</v>
      </c>
      <c r="G468" s="46">
        <v>46056</v>
      </c>
    </row>
    <row r="469" spans="1:7" s="48" customFormat="1" hidden="1" x14ac:dyDescent="0.3">
      <c r="A469" s="48" t="s">
        <v>17</v>
      </c>
      <c r="B469" s="48" t="s">
        <v>842</v>
      </c>
      <c r="C469" s="48" t="s">
        <v>159</v>
      </c>
      <c r="D469" s="48">
        <v>5520457110</v>
      </c>
      <c r="E469" s="48">
        <v>182496</v>
      </c>
      <c r="F469" s="88">
        <v>2039.84</v>
      </c>
      <c r="G469" s="50">
        <v>46056</v>
      </c>
    </row>
    <row r="470" spans="1:7" hidden="1" x14ac:dyDescent="0.3">
      <c r="A470" s="44" t="s">
        <v>17</v>
      </c>
      <c r="B470" s="44" t="s">
        <v>836</v>
      </c>
      <c r="C470" s="44" t="s">
        <v>204</v>
      </c>
      <c r="D470" s="44">
        <v>5529849094</v>
      </c>
      <c r="E470" s="44">
        <v>351022</v>
      </c>
      <c r="F470" s="85">
        <v>5627</v>
      </c>
      <c r="G470" s="46">
        <v>46056</v>
      </c>
    </row>
    <row r="471" spans="1:7" s="48" customFormat="1" hidden="1" x14ac:dyDescent="0.3">
      <c r="A471" s="48" t="s">
        <v>17</v>
      </c>
      <c r="B471" s="48" t="s">
        <v>852</v>
      </c>
      <c r="C471" s="48" t="s">
        <v>204</v>
      </c>
      <c r="D471" s="48">
        <v>5531564353</v>
      </c>
      <c r="E471" s="48">
        <v>297431</v>
      </c>
      <c r="F471" s="88">
        <v>30200</v>
      </c>
      <c r="G471" s="50">
        <v>46056</v>
      </c>
    </row>
    <row r="472" spans="1:7" x14ac:dyDescent="0.3">
      <c r="A472" s="44" t="s">
        <v>17</v>
      </c>
      <c r="B472" s="45" t="s">
        <v>851</v>
      </c>
      <c r="C472" s="44" t="s">
        <v>206</v>
      </c>
      <c r="D472" s="44">
        <v>5542058607</v>
      </c>
      <c r="E472" s="44">
        <v>297412</v>
      </c>
      <c r="F472" s="85">
        <v>6177</v>
      </c>
      <c r="G472" s="46">
        <v>46056</v>
      </c>
    </row>
    <row r="473" spans="1:7" s="48" customFormat="1" hidden="1" x14ac:dyDescent="0.3">
      <c r="A473" s="48" t="s">
        <v>17</v>
      </c>
      <c r="B473" s="48" t="s">
        <v>685</v>
      </c>
      <c r="C473" s="48" t="s">
        <v>854</v>
      </c>
      <c r="D473" s="48">
        <v>5561730787</v>
      </c>
      <c r="E473" s="48">
        <v>182458</v>
      </c>
      <c r="F473" s="88">
        <v>5335</v>
      </c>
      <c r="G473" s="50">
        <v>46056</v>
      </c>
    </row>
    <row r="474" spans="1:7" hidden="1" x14ac:dyDescent="0.3">
      <c r="A474" s="44" t="s">
        <v>17</v>
      </c>
      <c r="B474" s="44" t="s">
        <v>849</v>
      </c>
      <c r="C474" s="44" t="s">
        <v>837</v>
      </c>
      <c r="D474" s="44">
        <v>5562509049</v>
      </c>
      <c r="E474" s="44">
        <v>297116</v>
      </c>
      <c r="F474" s="85">
        <v>3221.52</v>
      </c>
      <c r="G474" s="46">
        <v>46056</v>
      </c>
    </row>
    <row r="475" spans="1:7" s="48" customFormat="1" hidden="1" x14ac:dyDescent="0.3">
      <c r="A475" s="48" t="s">
        <v>17</v>
      </c>
      <c r="B475" s="48" t="s">
        <v>850</v>
      </c>
      <c r="C475" s="48" t="s">
        <v>187</v>
      </c>
      <c r="D475" s="48">
        <v>5565353762</v>
      </c>
      <c r="E475" s="48">
        <v>182810</v>
      </c>
      <c r="F475" s="88">
        <v>1332.2</v>
      </c>
      <c r="G475" s="50">
        <v>46056</v>
      </c>
    </row>
    <row r="476" spans="1:7" hidden="1" x14ac:dyDescent="0.3">
      <c r="A476" s="44" t="s">
        <v>17</v>
      </c>
      <c r="B476" s="44" t="s">
        <v>847</v>
      </c>
      <c r="C476" s="44" t="s">
        <v>848</v>
      </c>
      <c r="D476" s="44">
        <v>5585922461</v>
      </c>
      <c r="E476" s="44">
        <v>183243</v>
      </c>
      <c r="F476" s="85">
        <v>5100</v>
      </c>
      <c r="G476" s="46">
        <v>46056</v>
      </c>
    </row>
    <row r="477" spans="1:7" s="48" customFormat="1" hidden="1" x14ac:dyDescent="0.3">
      <c r="A477" s="48" t="s">
        <v>11</v>
      </c>
      <c r="B477" s="48" t="s">
        <v>857</v>
      </c>
      <c r="C477" s="48" t="s">
        <v>478</v>
      </c>
      <c r="D477" s="48">
        <v>5512491180</v>
      </c>
      <c r="E477" s="48">
        <v>351318</v>
      </c>
      <c r="F477" s="88">
        <v>131</v>
      </c>
      <c r="G477" s="50">
        <v>46056</v>
      </c>
    </row>
    <row r="478" spans="1:7" hidden="1" x14ac:dyDescent="0.3">
      <c r="A478" s="44" t="s">
        <v>11</v>
      </c>
      <c r="B478" s="44" t="s">
        <v>835</v>
      </c>
      <c r="C478" s="44" t="s">
        <v>858</v>
      </c>
      <c r="D478" s="44">
        <v>5519036357</v>
      </c>
      <c r="E478" s="44">
        <v>182686</v>
      </c>
      <c r="F478" s="85">
        <v>5035.32</v>
      </c>
      <c r="G478" s="46">
        <v>46056</v>
      </c>
    </row>
    <row r="479" spans="1:7" s="48" customFormat="1" hidden="1" x14ac:dyDescent="0.3">
      <c r="A479" s="48" t="s">
        <v>11</v>
      </c>
      <c r="B479" s="48" t="s">
        <v>398</v>
      </c>
      <c r="C479" s="48" t="str">
        <f>IFERROR(VLOOKUP(B479,Base2026!A:C,2,FALSE),"")</f>
        <v>FRANCISCO VILLA</v>
      </c>
      <c r="D479" s="48">
        <f>IFERROR(VLOOKUP(C479,Base2026!B:D,2,FALSE),"")</f>
        <v>5535173661</v>
      </c>
      <c r="E479" s="48">
        <v>351119</v>
      </c>
      <c r="F479" s="88">
        <v>9002.24</v>
      </c>
      <c r="G479" s="50">
        <v>46056</v>
      </c>
    </row>
    <row r="480" spans="1:7" hidden="1" x14ac:dyDescent="0.3">
      <c r="A480" s="44" t="s">
        <v>11</v>
      </c>
      <c r="B480" s="44" t="s">
        <v>859</v>
      </c>
      <c r="C480" s="44" t="s">
        <v>860</v>
      </c>
      <c r="D480" s="44">
        <v>5537956149</v>
      </c>
      <c r="E480" s="44">
        <v>297414</v>
      </c>
      <c r="F480" s="85">
        <v>2466</v>
      </c>
      <c r="G480" s="46">
        <v>46056</v>
      </c>
    </row>
    <row r="481" spans="1:7" s="48" customFormat="1" hidden="1" x14ac:dyDescent="0.3">
      <c r="A481" s="48" t="s">
        <v>11</v>
      </c>
      <c r="B481" s="48" t="s">
        <v>534</v>
      </c>
      <c r="C481" s="48" t="str">
        <f>IFERROR(VLOOKUP(B481,Base2026!A:C,2,FALSE),"")</f>
        <v>CD AZTECA</v>
      </c>
      <c r="D481" s="48">
        <v>5544889671</v>
      </c>
      <c r="E481" s="48">
        <v>351151</v>
      </c>
      <c r="F481" s="88">
        <v>650</v>
      </c>
      <c r="G481" s="50">
        <v>46056</v>
      </c>
    </row>
    <row r="482" spans="1:7" hidden="1" x14ac:dyDescent="0.3">
      <c r="A482" s="44" t="s">
        <v>47</v>
      </c>
      <c r="B482" s="44" t="s">
        <v>1865</v>
      </c>
      <c r="C482" s="44" t="s">
        <v>1866</v>
      </c>
      <c r="D482" s="44">
        <v>5536791358</v>
      </c>
      <c r="E482" s="44">
        <v>303391</v>
      </c>
      <c r="F482" s="87">
        <v>17026</v>
      </c>
      <c r="G482" s="46">
        <v>46154</v>
      </c>
    </row>
    <row r="483" spans="1:7" s="48" customFormat="1" hidden="1" x14ac:dyDescent="0.3">
      <c r="A483" s="48" t="s">
        <v>47</v>
      </c>
      <c r="B483" s="48" t="s">
        <v>7</v>
      </c>
      <c r="C483" s="48" t="s">
        <v>30</v>
      </c>
      <c r="D483" s="48">
        <f>IFERROR(VLOOKUP(C483,Base2026!B:D,2,FALSE),"")</f>
        <v>5545758293</v>
      </c>
      <c r="E483" s="48">
        <v>351144</v>
      </c>
      <c r="F483" s="88">
        <v>2365.12</v>
      </c>
      <c r="G483" s="50">
        <v>46057</v>
      </c>
    </row>
    <row r="484" spans="1:7" hidden="1" x14ac:dyDescent="0.3">
      <c r="A484" s="44" t="s">
        <v>47</v>
      </c>
      <c r="B484" s="44" t="s">
        <v>27</v>
      </c>
      <c r="C484" s="44" t="s">
        <v>878</v>
      </c>
      <c r="D484" s="44">
        <v>5550979443</v>
      </c>
      <c r="E484" s="44">
        <v>351206</v>
      </c>
      <c r="F484" s="87">
        <v>4667</v>
      </c>
      <c r="G484" s="46">
        <v>46057</v>
      </c>
    </row>
    <row r="485" spans="1:7" s="51" customFormat="1" hidden="1" x14ac:dyDescent="0.3">
      <c r="A485" s="51" t="s">
        <v>47</v>
      </c>
      <c r="B485" s="51" t="s">
        <v>27</v>
      </c>
      <c r="C485" s="51" t="s">
        <v>878</v>
      </c>
      <c r="D485" s="51">
        <v>5550979443</v>
      </c>
      <c r="E485" s="51">
        <v>182867</v>
      </c>
      <c r="F485" s="68">
        <v>2626.99</v>
      </c>
      <c r="G485" s="52">
        <v>46057</v>
      </c>
    </row>
    <row r="486" spans="1:7" hidden="1" x14ac:dyDescent="0.3">
      <c r="A486" s="51" t="s">
        <v>47</v>
      </c>
      <c r="B486" s="51" t="s">
        <v>876</v>
      </c>
      <c r="C486" s="51" t="s">
        <v>877</v>
      </c>
      <c r="D486" s="51">
        <v>5580138950</v>
      </c>
      <c r="E486" s="51">
        <v>297097</v>
      </c>
      <c r="F486" s="68">
        <v>3300</v>
      </c>
      <c r="G486" s="52">
        <v>46057</v>
      </c>
    </row>
    <row r="487" spans="1:7" s="51" customFormat="1" hidden="1" x14ac:dyDescent="0.3">
      <c r="A487" s="44" t="s">
        <v>47</v>
      </c>
      <c r="B487" s="44" t="s">
        <v>876</v>
      </c>
      <c r="C487" s="44" t="s">
        <v>877</v>
      </c>
      <c r="D487" s="44">
        <v>5580138950</v>
      </c>
      <c r="E487" s="44">
        <v>296626</v>
      </c>
      <c r="F487" s="87">
        <v>13750</v>
      </c>
      <c r="G487" s="46">
        <v>46057</v>
      </c>
    </row>
    <row r="488" spans="1:7" hidden="1" x14ac:dyDescent="0.3">
      <c r="A488" s="51" t="s">
        <v>47</v>
      </c>
      <c r="B488" s="51" t="s">
        <v>876</v>
      </c>
      <c r="C488" s="51" t="s">
        <v>877</v>
      </c>
      <c r="D488" s="51">
        <v>5580138950</v>
      </c>
      <c r="E488" s="51">
        <v>296627</v>
      </c>
      <c r="F488" s="68">
        <v>600</v>
      </c>
      <c r="G488" s="52">
        <v>46057</v>
      </c>
    </row>
    <row r="489" spans="1:7" s="51" customFormat="1" hidden="1" x14ac:dyDescent="0.3">
      <c r="A489" s="44" t="s">
        <v>10</v>
      </c>
      <c r="B489" s="44" t="s">
        <v>870</v>
      </c>
      <c r="C489" s="44" t="s">
        <v>871</v>
      </c>
      <c r="D489" s="44">
        <v>5510990732</v>
      </c>
      <c r="E489" s="44">
        <v>297036</v>
      </c>
      <c r="F489" s="87">
        <v>6714</v>
      </c>
      <c r="G489" s="46">
        <v>46057</v>
      </c>
    </row>
    <row r="490" spans="1:7" hidden="1" x14ac:dyDescent="0.3">
      <c r="A490" s="51" t="s">
        <v>10</v>
      </c>
      <c r="B490" s="51" t="s">
        <v>870</v>
      </c>
      <c r="C490" s="51" t="s">
        <v>871</v>
      </c>
      <c r="D490" s="51">
        <v>5510990733</v>
      </c>
      <c r="E490" s="51">
        <v>297044</v>
      </c>
      <c r="F490" s="68">
        <v>2463</v>
      </c>
      <c r="G490" s="52">
        <v>46057</v>
      </c>
    </row>
    <row r="491" spans="1:7" s="51" customFormat="1" hidden="1" x14ac:dyDescent="0.3">
      <c r="A491" s="44" t="s">
        <v>10</v>
      </c>
      <c r="B491" s="44" t="s">
        <v>870</v>
      </c>
      <c r="C491" s="44" t="s">
        <v>871</v>
      </c>
      <c r="D491" s="44">
        <v>5510990734</v>
      </c>
      <c r="E491" s="44">
        <v>297039</v>
      </c>
      <c r="F491" s="87">
        <v>197.2</v>
      </c>
      <c r="G491" s="46">
        <v>46057</v>
      </c>
    </row>
    <row r="492" spans="1:7" hidden="1" x14ac:dyDescent="0.3">
      <c r="A492" s="51" t="s">
        <v>10</v>
      </c>
      <c r="B492" s="51" t="s">
        <v>870</v>
      </c>
      <c r="C492" s="51" t="s">
        <v>871</v>
      </c>
      <c r="D492" s="51">
        <v>5510990735</v>
      </c>
      <c r="E492" s="51">
        <v>297042</v>
      </c>
      <c r="F492" s="68">
        <v>4418</v>
      </c>
      <c r="G492" s="52">
        <v>46057</v>
      </c>
    </row>
    <row r="493" spans="1:7" s="51" customFormat="1" hidden="1" x14ac:dyDescent="0.3">
      <c r="A493" s="44" t="s">
        <v>10</v>
      </c>
      <c r="B493" s="44" t="s">
        <v>872</v>
      </c>
      <c r="C493" s="44" t="s">
        <v>74</v>
      </c>
      <c r="D493" s="44">
        <v>5528872468</v>
      </c>
      <c r="E493" s="44">
        <v>297511</v>
      </c>
      <c r="F493" s="87">
        <v>4508</v>
      </c>
      <c r="G493" s="46">
        <v>46057</v>
      </c>
    </row>
    <row r="494" spans="1:7" hidden="1" x14ac:dyDescent="0.3">
      <c r="A494" s="51" t="s">
        <v>10</v>
      </c>
      <c r="B494" s="51" t="s">
        <v>874</v>
      </c>
      <c r="C494" s="51" t="s">
        <v>875</v>
      </c>
      <c r="D494" s="51">
        <v>5548565754</v>
      </c>
      <c r="E494" s="51">
        <v>351222</v>
      </c>
      <c r="F494" s="68">
        <v>3529.99</v>
      </c>
      <c r="G494" s="52">
        <v>46057</v>
      </c>
    </row>
    <row r="495" spans="1:7" s="51" customFormat="1" hidden="1" x14ac:dyDescent="0.3">
      <c r="A495" s="44" t="s">
        <v>10</v>
      </c>
      <c r="B495" s="44" t="s">
        <v>873</v>
      </c>
      <c r="C495" s="44" t="s">
        <v>68</v>
      </c>
      <c r="D495" s="44">
        <v>5557800399</v>
      </c>
      <c r="E495" s="44">
        <v>297013</v>
      </c>
      <c r="F495" s="87">
        <v>7717.87</v>
      </c>
      <c r="G495" s="46">
        <v>46057</v>
      </c>
    </row>
    <row r="496" spans="1:7" hidden="1" x14ac:dyDescent="0.3">
      <c r="A496" s="51" t="s">
        <v>10</v>
      </c>
      <c r="B496" s="51" t="s">
        <v>821</v>
      </c>
      <c r="C496" s="51" t="s">
        <v>822</v>
      </c>
      <c r="D496" s="51">
        <v>5621030826</v>
      </c>
      <c r="E496" s="51">
        <v>297517</v>
      </c>
      <c r="F496" s="68">
        <v>5370</v>
      </c>
      <c r="G496" s="52">
        <v>46057</v>
      </c>
    </row>
    <row r="497" spans="1:7" s="51" customFormat="1" hidden="1" x14ac:dyDescent="0.3">
      <c r="A497" s="51" t="s">
        <v>17</v>
      </c>
      <c r="B497" s="51" t="s">
        <v>869</v>
      </c>
      <c r="C497" s="51" t="s">
        <v>798</v>
      </c>
      <c r="D497" s="51">
        <v>5515986862</v>
      </c>
      <c r="E497" s="51">
        <v>351087</v>
      </c>
      <c r="F497" s="68">
        <v>4268.1499999999996</v>
      </c>
      <c r="G497" s="52">
        <v>46057</v>
      </c>
    </row>
    <row r="498" spans="1:7" hidden="1" x14ac:dyDescent="0.3">
      <c r="A498" s="44" t="s">
        <v>17</v>
      </c>
      <c r="B498" s="44" t="s">
        <v>868</v>
      </c>
      <c r="C498" s="44" t="s">
        <v>161</v>
      </c>
      <c r="D498" s="44">
        <v>5520044132</v>
      </c>
      <c r="E498" s="44">
        <v>351079</v>
      </c>
      <c r="F498" s="87">
        <v>5315</v>
      </c>
      <c r="G498" s="46">
        <v>46057</v>
      </c>
    </row>
    <row r="499" spans="1:7" s="51" customFormat="1" hidden="1" x14ac:dyDescent="0.3">
      <c r="A499" s="51" t="s">
        <v>17</v>
      </c>
      <c r="B499" s="51" t="s">
        <v>867</v>
      </c>
      <c r="C499" s="51" t="s">
        <v>237</v>
      </c>
      <c r="D499" s="51">
        <v>5540238754</v>
      </c>
      <c r="E499" s="51">
        <v>182219</v>
      </c>
      <c r="F499" s="68">
        <v>13497.6</v>
      </c>
      <c r="G499" s="52">
        <v>46057</v>
      </c>
    </row>
    <row r="500" spans="1:7" hidden="1" x14ac:dyDescent="0.3">
      <c r="A500" s="44" t="s">
        <v>17</v>
      </c>
      <c r="B500" s="44" t="s">
        <v>298</v>
      </c>
      <c r="C500" s="44" t="str">
        <f>IFERROR(VLOOKUP(B500,Base2026!A:C,2,FALSE),"")</f>
        <v xml:space="preserve">ETEN </v>
      </c>
      <c r="D500" s="44">
        <f>IFERROR(VLOOKUP(C500,Base2026!B:D,2,FALSE),"")</f>
        <v>5591940032</v>
      </c>
      <c r="E500" s="44">
        <v>296801</v>
      </c>
      <c r="F500" s="87">
        <v>12715.81</v>
      </c>
      <c r="G500" s="46">
        <v>46057</v>
      </c>
    </row>
    <row r="501" spans="1:7" s="51" customFormat="1" hidden="1" x14ac:dyDescent="0.3">
      <c r="A501" s="51" t="s">
        <v>11</v>
      </c>
      <c r="B501" s="51" t="s">
        <v>865</v>
      </c>
      <c r="C501" s="51" t="s">
        <v>866</v>
      </c>
      <c r="D501" s="51">
        <v>5523769704</v>
      </c>
      <c r="E501" s="51">
        <v>296881</v>
      </c>
      <c r="F501" s="68">
        <v>1510.28</v>
      </c>
      <c r="G501" s="52">
        <v>46057</v>
      </c>
    </row>
    <row r="502" spans="1:7" hidden="1" x14ac:dyDescent="0.3">
      <c r="A502" s="44" t="s">
        <v>11</v>
      </c>
      <c r="B502" s="44" t="s">
        <v>865</v>
      </c>
      <c r="C502" s="44" t="s">
        <v>866</v>
      </c>
      <c r="D502" s="44">
        <v>5523769704</v>
      </c>
      <c r="E502" s="44">
        <v>296882</v>
      </c>
      <c r="F502" s="87">
        <v>909.12300000000005</v>
      </c>
      <c r="G502" s="46">
        <v>46057</v>
      </c>
    </row>
    <row r="503" spans="1:7" s="51" customFormat="1" hidden="1" x14ac:dyDescent="0.3">
      <c r="A503" s="51" t="s">
        <v>11</v>
      </c>
      <c r="B503" s="51" t="s">
        <v>865</v>
      </c>
      <c r="C503" s="51" t="s">
        <v>866</v>
      </c>
      <c r="D503" s="51">
        <v>5523769704</v>
      </c>
      <c r="E503" s="51">
        <v>296883</v>
      </c>
      <c r="F503" s="68">
        <v>1082.08</v>
      </c>
      <c r="G503" s="52">
        <v>46057</v>
      </c>
    </row>
    <row r="504" spans="1:7" hidden="1" x14ac:dyDescent="0.3">
      <c r="A504" s="44" t="s">
        <v>11</v>
      </c>
      <c r="B504" s="44" t="s">
        <v>862</v>
      </c>
      <c r="C504" s="44" t="s">
        <v>43</v>
      </c>
      <c r="D504" s="44">
        <v>5528353565</v>
      </c>
      <c r="E504" s="44">
        <v>351269</v>
      </c>
      <c r="F504" s="85">
        <v>1950</v>
      </c>
      <c r="G504" s="46">
        <v>46057</v>
      </c>
    </row>
    <row r="505" spans="1:7" s="51" customFormat="1" hidden="1" x14ac:dyDescent="0.3">
      <c r="A505" s="51" t="s">
        <v>11</v>
      </c>
      <c r="B505" s="51" t="s">
        <v>861</v>
      </c>
      <c r="C505" s="51" t="s">
        <v>46</v>
      </c>
      <c r="D505" s="51">
        <v>5586772887</v>
      </c>
      <c r="E505" s="51">
        <v>350904</v>
      </c>
      <c r="F505" s="68">
        <v>10219</v>
      </c>
      <c r="G505" s="52">
        <v>46057</v>
      </c>
    </row>
    <row r="506" spans="1:7" hidden="1" x14ac:dyDescent="0.3">
      <c r="A506" s="44" t="s">
        <v>11</v>
      </c>
      <c r="B506" s="44" t="s">
        <v>863</v>
      </c>
      <c r="C506" s="44" t="s">
        <v>864</v>
      </c>
      <c r="D506" s="44">
        <v>5613869199</v>
      </c>
      <c r="E506" s="44">
        <v>182200</v>
      </c>
      <c r="F506" s="87">
        <v>10446.98</v>
      </c>
      <c r="G506" s="46">
        <v>46057</v>
      </c>
    </row>
    <row r="507" spans="1:7" s="109" customFormat="1" hidden="1" x14ac:dyDescent="0.3">
      <c r="A507" s="109" t="s">
        <v>47</v>
      </c>
      <c r="B507" s="109" t="s">
        <v>310</v>
      </c>
      <c r="C507" s="109" t="str">
        <f>IFERROR(VLOOKUP(B507,Base2026!A:C,2,FALSE),"")</f>
        <v>EJIDOS DE SAN CRISTOBAL</v>
      </c>
      <c r="D507" s="109">
        <v>5525363416</v>
      </c>
      <c r="E507" s="109">
        <v>351080</v>
      </c>
      <c r="F507" s="110">
        <v>6355.99</v>
      </c>
      <c r="G507" s="111">
        <v>46058</v>
      </c>
    </row>
    <row r="508" spans="1:7" hidden="1" x14ac:dyDescent="0.3">
      <c r="A508" s="44" t="s">
        <v>47</v>
      </c>
      <c r="B508" s="44" t="s">
        <v>904</v>
      </c>
      <c r="C508" s="44" t="s">
        <v>903</v>
      </c>
      <c r="D508" s="44">
        <v>5638172737</v>
      </c>
      <c r="E508" s="44">
        <v>297566</v>
      </c>
      <c r="F508" s="85">
        <v>21445</v>
      </c>
      <c r="G508" s="46">
        <v>46058</v>
      </c>
    </row>
    <row r="509" spans="1:7" s="109" customFormat="1" hidden="1" x14ac:dyDescent="0.3">
      <c r="A509" s="109" t="s">
        <v>47</v>
      </c>
      <c r="B509" s="109" t="s">
        <v>905</v>
      </c>
      <c r="C509" s="109" t="s">
        <v>906</v>
      </c>
      <c r="D509" s="109" t="s">
        <v>146</v>
      </c>
      <c r="E509" s="109">
        <v>297233</v>
      </c>
      <c r="F509" s="110">
        <v>1275</v>
      </c>
      <c r="G509" s="111">
        <v>46058</v>
      </c>
    </row>
    <row r="510" spans="1:7" hidden="1" x14ac:dyDescent="0.3">
      <c r="A510" s="44" t="s">
        <v>47</v>
      </c>
      <c r="B510" s="44" t="s">
        <v>905</v>
      </c>
      <c r="C510" s="44" t="s">
        <v>906</v>
      </c>
      <c r="D510" s="44" t="s">
        <v>146</v>
      </c>
      <c r="E510" s="44">
        <v>297234</v>
      </c>
      <c r="F510" s="85">
        <v>1985.07</v>
      </c>
      <c r="G510" s="46">
        <v>46058</v>
      </c>
    </row>
    <row r="511" spans="1:7" s="109" customFormat="1" hidden="1" x14ac:dyDescent="0.3">
      <c r="A511" s="109" t="s">
        <v>47</v>
      </c>
      <c r="B511" s="109" t="s">
        <v>905</v>
      </c>
      <c r="C511" s="109" t="s">
        <v>906</v>
      </c>
      <c r="D511" s="109" t="s">
        <v>146</v>
      </c>
      <c r="E511" s="109">
        <v>297229</v>
      </c>
      <c r="F511" s="110">
        <v>1748</v>
      </c>
      <c r="G511" s="111">
        <v>46058</v>
      </c>
    </row>
    <row r="512" spans="1:7" hidden="1" x14ac:dyDescent="0.3">
      <c r="A512" s="44" t="s">
        <v>47</v>
      </c>
      <c r="B512" s="44" t="s">
        <v>905</v>
      </c>
      <c r="C512" s="44" t="s">
        <v>906</v>
      </c>
      <c r="D512" s="44" t="s">
        <v>146</v>
      </c>
      <c r="E512" s="44">
        <v>297232</v>
      </c>
      <c r="F512" s="85">
        <v>718</v>
      </c>
      <c r="G512" s="46">
        <v>46058</v>
      </c>
    </row>
    <row r="513" spans="1:7" s="109" customFormat="1" hidden="1" x14ac:dyDescent="0.3">
      <c r="A513" s="109" t="s">
        <v>47</v>
      </c>
      <c r="B513" s="109" t="s">
        <v>905</v>
      </c>
      <c r="C513" s="109" t="s">
        <v>906</v>
      </c>
      <c r="D513" s="109" t="s">
        <v>146</v>
      </c>
      <c r="E513" s="109">
        <v>297235</v>
      </c>
      <c r="F513" s="110">
        <v>1712.6</v>
      </c>
      <c r="G513" s="111">
        <v>46058</v>
      </c>
    </row>
    <row r="514" spans="1:7" hidden="1" x14ac:dyDescent="0.3">
      <c r="A514" s="44" t="s">
        <v>47</v>
      </c>
      <c r="B514" s="44" t="s">
        <v>905</v>
      </c>
      <c r="C514" s="44" t="s">
        <v>906</v>
      </c>
      <c r="D514" s="44" t="s">
        <v>146</v>
      </c>
      <c r="E514" s="44">
        <v>297221</v>
      </c>
      <c r="F514" s="85">
        <v>746</v>
      </c>
      <c r="G514" s="46">
        <v>46058</v>
      </c>
    </row>
    <row r="515" spans="1:7" s="109" customFormat="1" hidden="1" x14ac:dyDescent="0.3">
      <c r="A515" s="109" t="s">
        <v>47</v>
      </c>
      <c r="B515" s="109" t="s">
        <v>905</v>
      </c>
      <c r="C515" s="109" t="s">
        <v>906</v>
      </c>
      <c r="D515" s="109" t="s">
        <v>146</v>
      </c>
      <c r="E515" s="109">
        <v>297222</v>
      </c>
      <c r="F515" s="110">
        <v>1276.8800000000001</v>
      </c>
      <c r="G515" s="111">
        <v>46058</v>
      </c>
    </row>
    <row r="516" spans="1:7" hidden="1" x14ac:dyDescent="0.3">
      <c r="A516" s="44" t="s">
        <v>47</v>
      </c>
      <c r="B516" s="44" t="s">
        <v>905</v>
      </c>
      <c r="C516" s="44" t="s">
        <v>906</v>
      </c>
      <c r="D516" s="44" t="s">
        <v>146</v>
      </c>
      <c r="E516" s="44">
        <v>297236</v>
      </c>
      <c r="F516" s="85">
        <v>746</v>
      </c>
      <c r="G516" s="46">
        <v>46058</v>
      </c>
    </row>
    <row r="517" spans="1:7" s="109" customFormat="1" hidden="1" x14ac:dyDescent="0.3">
      <c r="A517" s="109" t="s">
        <v>47</v>
      </c>
      <c r="B517" s="109" t="s">
        <v>905</v>
      </c>
      <c r="C517" s="109" t="s">
        <v>906</v>
      </c>
      <c r="D517" s="109" t="s">
        <v>146</v>
      </c>
      <c r="E517" s="109">
        <v>297237</v>
      </c>
      <c r="F517" s="110">
        <v>1286.1600000000001</v>
      </c>
      <c r="G517" s="111">
        <v>46058</v>
      </c>
    </row>
    <row r="518" spans="1:7" hidden="1" x14ac:dyDescent="0.3">
      <c r="A518" s="44" t="s">
        <v>10</v>
      </c>
      <c r="B518" s="44" t="s">
        <v>872</v>
      </c>
      <c r="C518" s="44" t="s">
        <v>74</v>
      </c>
      <c r="D518" s="44">
        <v>5528872468</v>
      </c>
      <c r="E518" s="44">
        <v>297627</v>
      </c>
      <c r="F518" s="85">
        <v>14022</v>
      </c>
      <c r="G518" s="46">
        <v>46058</v>
      </c>
    </row>
    <row r="519" spans="1:7" s="109" customFormat="1" hidden="1" x14ac:dyDescent="0.3">
      <c r="A519" s="109" t="s">
        <v>10</v>
      </c>
      <c r="B519" s="109" t="s">
        <v>867</v>
      </c>
      <c r="C519" s="109" t="s">
        <v>237</v>
      </c>
      <c r="D519" s="109">
        <v>5540238754</v>
      </c>
      <c r="E519" s="109">
        <v>182219</v>
      </c>
      <c r="F519" s="110">
        <v>13497.6</v>
      </c>
      <c r="G519" s="111">
        <v>46058</v>
      </c>
    </row>
    <row r="520" spans="1:7" hidden="1" x14ac:dyDescent="0.3">
      <c r="A520" s="44" t="s">
        <v>10</v>
      </c>
      <c r="B520" s="44" t="s">
        <v>896</v>
      </c>
      <c r="C520" s="44" t="s">
        <v>897</v>
      </c>
      <c r="D520" s="44">
        <v>5554776503</v>
      </c>
      <c r="E520" s="44">
        <v>183022</v>
      </c>
      <c r="F520" s="85">
        <v>2477.84</v>
      </c>
      <c r="G520" s="46">
        <v>46058</v>
      </c>
    </row>
    <row r="521" spans="1:7" s="109" customFormat="1" hidden="1" x14ac:dyDescent="0.3">
      <c r="A521" s="109" t="s">
        <v>10</v>
      </c>
      <c r="B521" s="109" t="s">
        <v>899</v>
      </c>
      <c r="C521" s="109" t="s">
        <v>46</v>
      </c>
      <c r="D521" s="109">
        <v>5559333893</v>
      </c>
      <c r="E521" s="109">
        <v>183197</v>
      </c>
      <c r="F521" s="110">
        <v>1300</v>
      </c>
      <c r="G521" s="111">
        <v>46058</v>
      </c>
    </row>
    <row r="522" spans="1:7" hidden="1" x14ac:dyDescent="0.3">
      <c r="A522" s="44" t="s">
        <v>10</v>
      </c>
      <c r="B522" s="44" t="s">
        <v>894</v>
      </c>
      <c r="C522" s="44" t="s">
        <v>895</v>
      </c>
      <c r="D522" s="44">
        <v>5565425223</v>
      </c>
      <c r="E522" s="44">
        <v>182999</v>
      </c>
      <c r="F522" s="85">
        <v>3250</v>
      </c>
      <c r="G522" s="46">
        <v>46058</v>
      </c>
    </row>
    <row r="523" spans="1:7" s="109" customFormat="1" hidden="1" x14ac:dyDescent="0.3">
      <c r="A523" s="109" t="s">
        <v>10</v>
      </c>
      <c r="B523" s="109" t="s">
        <v>907</v>
      </c>
      <c r="C523" s="109" t="s">
        <v>204</v>
      </c>
      <c r="D523" s="109">
        <v>5570265288</v>
      </c>
      <c r="E523" s="109">
        <v>182540</v>
      </c>
      <c r="F523" s="110">
        <v>1015</v>
      </c>
      <c r="G523" s="111">
        <v>46058</v>
      </c>
    </row>
    <row r="524" spans="1:7" hidden="1" x14ac:dyDescent="0.3">
      <c r="A524" s="44" t="s">
        <v>10</v>
      </c>
      <c r="B524" s="44" t="s">
        <v>893</v>
      </c>
      <c r="C524" s="44" t="s">
        <v>733</v>
      </c>
      <c r="D524" s="44">
        <v>5578767052</v>
      </c>
      <c r="E524" s="44">
        <v>351496</v>
      </c>
      <c r="F524" s="85">
        <v>1257</v>
      </c>
      <c r="G524" s="46">
        <v>46058</v>
      </c>
    </row>
    <row r="525" spans="1:7" s="109" customFormat="1" hidden="1" x14ac:dyDescent="0.3">
      <c r="A525" s="109" t="s">
        <v>10</v>
      </c>
      <c r="B525" s="109" t="s">
        <v>900</v>
      </c>
      <c r="C525" s="109" t="s">
        <v>661</v>
      </c>
      <c r="D525" s="109">
        <v>5579077157</v>
      </c>
      <c r="E525" s="109">
        <v>297577</v>
      </c>
      <c r="F525" s="110">
        <v>6896</v>
      </c>
      <c r="G525" s="111">
        <v>46058</v>
      </c>
    </row>
    <row r="526" spans="1:7" hidden="1" x14ac:dyDescent="0.3">
      <c r="A526" s="44" t="s">
        <v>10</v>
      </c>
      <c r="B526" s="44" t="s">
        <v>898</v>
      </c>
      <c r="C526" s="44" t="s">
        <v>187</v>
      </c>
      <c r="D526" s="44">
        <v>5598339524</v>
      </c>
      <c r="E526" s="44">
        <v>182747</v>
      </c>
      <c r="F526" s="85">
        <v>2565</v>
      </c>
      <c r="G526" s="46">
        <v>46058</v>
      </c>
    </row>
    <row r="527" spans="1:7" s="109" customFormat="1" hidden="1" x14ac:dyDescent="0.3">
      <c r="A527" s="109" t="s">
        <v>17</v>
      </c>
      <c r="B527" s="109" t="s">
        <v>884</v>
      </c>
      <c r="C527" s="109" t="s">
        <v>41</v>
      </c>
      <c r="D527" s="109">
        <v>4425055168</v>
      </c>
      <c r="E527" s="109">
        <v>182835</v>
      </c>
      <c r="F527" s="110">
        <v>2194.08</v>
      </c>
      <c r="G527" s="111">
        <v>46058</v>
      </c>
    </row>
    <row r="528" spans="1:7" hidden="1" x14ac:dyDescent="0.3">
      <c r="A528" s="44" t="s">
        <v>17</v>
      </c>
      <c r="B528" s="44" t="s">
        <v>886</v>
      </c>
      <c r="C528" s="44" t="s">
        <v>806</v>
      </c>
      <c r="D528" s="44">
        <v>5527288634</v>
      </c>
      <c r="E528" s="44">
        <v>183521</v>
      </c>
      <c r="F528" s="85">
        <v>1350</v>
      </c>
      <c r="G528" s="46">
        <v>46058</v>
      </c>
    </row>
    <row r="529" spans="1:7" s="109" customFormat="1" hidden="1" x14ac:dyDescent="0.3">
      <c r="A529" s="109" t="s">
        <v>17</v>
      </c>
      <c r="B529" s="109" t="s">
        <v>882</v>
      </c>
      <c r="C529" s="109" t="s">
        <v>144</v>
      </c>
      <c r="D529" s="109">
        <v>5536681725</v>
      </c>
      <c r="E529" s="109">
        <v>183306</v>
      </c>
      <c r="F529" s="110">
        <v>4971</v>
      </c>
      <c r="G529" s="111">
        <v>46058</v>
      </c>
    </row>
    <row r="530" spans="1:7" hidden="1" x14ac:dyDescent="0.3">
      <c r="A530" s="44" t="s">
        <v>890</v>
      </c>
      <c r="B530" s="44" t="s">
        <v>881</v>
      </c>
      <c r="C530" s="44" t="s">
        <v>144</v>
      </c>
      <c r="D530" s="44">
        <v>5531966234</v>
      </c>
      <c r="E530" s="44">
        <v>183405</v>
      </c>
      <c r="F530" s="85">
        <v>6860</v>
      </c>
      <c r="G530" s="46">
        <v>46058</v>
      </c>
    </row>
    <row r="531" spans="1:7" s="109" customFormat="1" hidden="1" x14ac:dyDescent="0.3">
      <c r="A531" s="109" t="s">
        <v>890</v>
      </c>
      <c r="B531" s="109" t="s">
        <v>888</v>
      </c>
      <c r="C531" s="109" t="s">
        <v>889</v>
      </c>
      <c r="D531" s="109">
        <v>5551882046</v>
      </c>
      <c r="E531" s="109">
        <v>296998</v>
      </c>
      <c r="F531" s="110">
        <v>8103.83</v>
      </c>
      <c r="G531" s="111">
        <v>46058</v>
      </c>
    </row>
    <row r="532" spans="1:7" hidden="1" x14ac:dyDescent="0.3">
      <c r="A532" s="44" t="s">
        <v>890</v>
      </c>
      <c r="B532" s="44" t="s">
        <v>887</v>
      </c>
      <c r="C532" s="44" t="s">
        <v>60</v>
      </c>
      <c r="D532" s="44">
        <v>5579395989</v>
      </c>
      <c r="E532" s="44">
        <v>297591</v>
      </c>
      <c r="F532" s="85">
        <v>1950</v>
      </c>
      <c r="G532" s="46">
        <v>46058</v>
      </c>
    </row>
    <row r="533" spans="1:7" s="109" customFormat="1" hidden="1" x14ac:dyDescent="0.3">
      <c r="A533" s="109" t="s">
        <v>890</v>
      </c>
      <c r="B533" s="109" t="s">
        <v>883</v>
      </c>
      <c r="C533" s="109" t="s">
        <v>46</v>
      </c>
      <c r="D533" s="109">
        <v>5580554228</v>
      </c>
      <c r="E533" s="109">
        <v>351245</v>
      </c>
      <c r="F533" s="110">
        <v>5200</v>
      </c>
      <c r="G533" s="111">
        <v>46058</v>
      </c>
    </row>
    <row r="534" spans="1:7" hidden="1" x14ac:dyDescent="0.3">
      <c r="A534" s="44" t="s">
        <v>890</v>
      </c>
      <c r="B534" s="44" t="s">
        <v>885</v>
      </c>
      <c r="C534" s="44" t="s">
        <v>806</v>
      </c>
      <c r="D534" s="44">
        <v>5657508062</v>
      </c>
      <c r="E534" s="44">
        <v>182678</v>
      </c>
      <c r="F534" s="85">
        <v>14057.99</v>
      </c>
      <c r="G534" s="46">
        <v>46058</v>
      </c>
    </row>
    <row r="535" spans="1:7" s="109" customFormat="1" hidden="1" x14ac:dyDescent="0.3">
      <c r="A535" s="109" t="s">
        <v>11</v>
      </c>
      <c r="B535" s="109" t="s">
        <v>892</v>
      </c>
      <c r="C535" s="109" t="s">
        <v>287</v>
      </c>
      <c r="D535" s="109">
        <v>5517957453</v>
      </c>
      <c r="E535" s="109">
        <v>351263</v>
      </c>
      <c r="F535" s="110">
        <v>994.92</v>
      </c>
      <c r="G535" s="111">
        <v>46058</v>
      </c>
    </row>
    <row r="536" spans="1:7" hidden="1" x14ac:dyDescent="0.3">
      <c r="A536" s="44" t="s">
        <v>11</v>
      </c>
      <c r="B536" s="44" t="s">
        <v>428</v>
      </c>
      <c r="C536" s="44" t="str">
        <f>IFERROR(VLOOKUP(B536,Base2026!A:C,2,FALSE),"")</f>
        <v>BOULEVARD DE LOS AZTECAS</v>
      </c>
      <c r="D536" s="44">
        <f>IFERROR(VLOOKUP(C536,Base2026!B:D,2,FALSE),"")</f>
        <v>5571687373</v>
      </c>
      <c r="E536" s="44">
        <v>183403</v>
      </c>
      <c r="F536" s="85">
        <v>2251</v>
      </c>
      <c r="G536" s="46">
        <v>46058</v>
      </c>
    </row>
    <row r="537" spans="1:7" s="109" customFormat="1" hidden="1" x14ac:dyDescent="0.3">
      <c r="A537" s="109" t="s">
        <v>11</v>
      </c>
      <c r="B537" s="109" t="s">
        <v>901</v>
      </c>
      <c r="C537" s="109" t="s">
        <v>902</v>
      </c>
      <c r="D537" s="109">
        <v>5612830956</v>
      </c>
      <c r="E537" s="109">
        <v>297260</v>
      </c>
      <c r="F537" s="110">
        <v>2070</v>
      </c>
      <c r="G537" s="111">
        <v>46058</v>
      </c>
    </row>
    <row r="538" spans="1:7" hidden="1" x14ac:dyDescent="0.3">
      <c r="A538" s="44" t="s">
        <v>11</v>
      </c>
      <c r="B538" s="44" t="s">
        <v>891</v>
      </c>
      <c r="C538" s="44" t="s">
        <v>43</v>
      </c>
      <c r="D538" s="44">
        <v>7751096060</v>
      </c>
      <c r="E538" s="44">
        <v>183561</v>
      </c>
      <c r="F538" s="85">
        <v>1820</v>
      </c>
      <c r="G538" s="46">
        <v>46058</v>
      </c>
    </row>
    <row r="539" spans="1:7" s="109" customFormat="1" hidden="1" x14ac:dyDescent="0.3">
      <c r="A539" s="109" t="s">
        <v>11</v>
      </c>
      <c r="B539" s="109" t="s">
        <v>891</v>
      </c>
      <c r="C539" s="109" t="s">
        <v>43</v>
      </c>
      <c r="D539" s="109">
        <v>7751096061</v>
      </c>
      <c r="E539" s="109">
        <v>182885</v>
      </c>
      <c r="F539" s="110">
        <v>818.84</v>
      </c>
      <c r="G539" s="111">
        <v>46058</v>
      </c>
    </row>
    <row r="540" spans="1:7" hidden="1" x14ac:dyDescent="0.3">
      <c r="A540" s="44" t="s">
        <v>47</v>
      </c>
      <c r="B540" s="44" t="s">
        <v>917</v>
      </c>
      <c r="C540" s="44" t="s">
        <v>514</v>
      </c>
      <c r="D540" s="44">
        <f>IFERROR(VLOOKUP(C540,Base2026!B:D,2,FALSE),"")</f>
        <v>5517483758</v>
      </c>
      <c r="E540" s="44">
        <v>183143</v>
      </c>
      <c r="F540" s="85">
        <v>5968</v>
      </c>
      <c r="G540" s="46">
        <v>46059</v>
      </c>
    </row>
    <row r="541" spans="1:7" s="143" customFormat="1" hidden="1" x14ac:dyDescent="0.3">
      <c r="A541" s="143" t="s">
        <v>47</v>
      </c>
      <c r="B541" s="143" t="s">
        <v>398</v>
      </c>
      <c r="C541" s="143" t="str">
        <f>IFERROR(VLOOKUP(B541,Base2026!A:C,2,FALSE),"")</f>
        <v>FRANCISCO VILLA</v>
      </c>
      <c r="D541" s="143">
        <f>IFERROR(VLOOKUP(C541,Base2026!B:D,2,FALSE),"")</f>
        <v>5535173661</v>
      </c>
      <c r="E541" s="143">
        <v>183215</v>
      </c>
      <c r="F541" s="144">
        <v>2019</v>
      </c>
      <c r="G541" s="145">
        <v>46059</v>
      </c>
    </row>
    <row r="542" spans="1:7" hidden="1" x14ac:dyDescent="0.3">
      <c r="A542" s="44" t="s">
        <v>47</v>
      </c>
      <c r="B542" s="44" t="s">
        <v>57</v>
      </c>
      <c r="C542" s="44" t="str">
        <f>IFERROR(VLOOKUP(B542,Base2026!A:C,2,FALSE),"")</f>
        <v>EJE 8</v>
      </c>
      <c r="D542" s="44">
        <v>5554550976</v>
      </c>
      <c r="E542" s="44">
        <v>296923</v>
      </c>
      <c r="F542" s="85">
        <v>13245.67</v>
      </c>
      <c r="G542" s="46">
        <v>46059</v>
      </c>
    </row>
    <row r="543" spans="1:7" s="143" customFormat="1" hidden="1" x14ac:dyDescent="0.3">
      <c r="A543" s="143" t="s">
        <v>10</v>
      </c>
      <c r="B543" s="143" t="s">
        <v>919</v>
      </c>
      <c r="C543" s="143" t="s">
        <v>84</v>
      </c>
      <c r="D543" s="143">
        <v>5517447061</v>
      </c>
      <c r="E543" s="143">
        <v>183491</v>
      </c>
      <c r="F543" s="144">
        <v>650</v>
      </c>
      <c r="G543" s="145">
        <v>46059</v>
      </c>
    </row>
    <row r="544" spans="1:7" hidden="1" x14ac:dyDescent="0.3">
      <c r="A544" s="44" t="s">
        <v>10</v>
      </c>
      <c r="B544" s="44" t="s">
        <v>920</v>
      </c>
      <c r="C544" s="44" t="s">
        <v>41</v>
      </c>
      <c r="D544" s="44">
        <v>5518666206</v>
      </c>
      <c r="E544" s="44">
        <v>350900</v>
      </c>
      <c r="F544" s="85">
        <v>19806.990000000002</v>
      </c>
      <c r="G544" s="46">
        <v>46059</v>
      </c>
    </row>
    <row r="545" spans="1:7" s="143" customFormat="1" hidden="1" x14ac:dyDescent="0.3">
      <c r="A545" s="143" t="s">
        <v>10</v>
      </c>
      <c r="B545" s="143" t="s">
        <v>918</v>
      </c>
      <c r="C545" s="143" t="s">
        <v>425</v>
      </c>
      <c r="D545" s="143">
        <v>5532332129</v>
      </c>
      <c r="E545" s="143">
        <v>183469</v>
      </c>
      <c r="F545" s="144">
        <v>5670</v>
      </c>
      <c r="G545" s="145">
        <v>46059</v>
      </c>
    </row>
    <row r="546" spans="1:7" hidden="1" x14ac:dyDescent="0.3">
      <c r="A546" s="44" t="s">
        <v>10</v>
      </c>
      <c r="B546" s="44" t="s">
        <v>921</v>
      </c>
      <c r="C546" s="44" t="s">
        <v>922</v>
      </c>
      <c r="D546" s="44">
        <v>5537411500</v>
      </c>
      <c r="E546" s="44">
        <v>183256</v>
      </c>
      <c r="F546" s="85">
        <v>1700</v>
      </c>
      <c r="G546" s="46">
        <v>46059</v>
      </c>
    </row>
    <row r="547" spans="1:7" s="143" customFormat="1" hidden="1" x14ac:dyDescent="0.3">
      <c r="A547" s="143" t="s">
        <v>10</v>
      </c>
      <c r="B547" s="143" t="s">
        <v>407</v>
      </c>
      <c r="C547" s="143" t="s">
        <v>237</v>
      </c>
      <c r="D547" s="143">
        <v>5538288838</v>
      </c>
      <c r="E547" s="143">
        <v>183159</v>
      </c>
      <c r="F547" s="144">
        <v>3545</v>
      </c>
      <c r="G547" s="145">
        <v>46059</v>
      </c>
    </row>
    <row r="548" spans="1:7" hidden="1" x14ac:dyDescent="0.3">
      <c r="A548" s="44" t="s">
        <v>10</v>
      </c>
      <c r="B548" s="44" t="s">
        <v>428</v>
      </c>
      <c r="C548" s="44" t="str">
        <f>IFERROR(VLOOKUP(B548,Base2026!A:C,2,FALSE),"")</f>
        <v>BOULEVARD DE LOS AZTECAS</v>
      </c>
      <c r="D548" s="44">
        <f>IFERROR(VLOOKUP(C548,Base2026!B:D,2,FALSE),"")</f>
        <v>5571687373</v>
      </c>
      <c r="E548" s="44">
        <v>183677</v>
      </c>
      <c r="F548" s="85">
        <v>3055</v>
      </c>
      <c r="G548" s="46">
        <v>46059</v>
      </c>
    </row>
    <row r="549" spans="1:7" s="143" customFormat="1" hidden="1" x14ac:dyDescent="0.3">
      <c r="A549" s="143" t="s">
        <v>17</v>
      </c>
      <c r="B549" s="143" t="s">
        <v>914</v>
      </c>
      <c r="C549" s="143" t="s">
        <v>46</v>
      </c>
      <c r="D549" s="143">
        <v>55438789</v>
      </c>
      <c r="E549" s="143">
        <v>296765</v>
      </c>
      <c r="F549" s="144">
        <v>5202</v>
      </c>
      <c r="G549" s="145">
        <v>46059</v>
      </c>
    </row>
    <row r="550" spans="1:7" hidden="1" x14ac:dyDescent="0.3">
      <c r="A550" s="44" t="s">
        <v>17</v>
      </c>
      <c r="B550" s="44" t="s">
        <v>916</v>
      </c>
      <c r="C550" s="44" t="s">
        <v>46</v>
      </c>
      <c r="D550" s="44">
        <v>5521499498</v>
      </c>
      <c r="E550" s="44">
        <v>183670</v>
      </c>
      <c r="F550" s="85">
        <v>2804</v>
      </c>
      <c r="G550" s="46">
        <v>46059</v>
      </c>
    </row>
    <row r="551" spans="1:7" s="143" customFormat="1" hidden="1" x14ac:dyDescent="0.3">
      <c r="A551" s="143" t="s">
        <v>17</v>
      </c>
      <c r="B551" s="143" t="s">
        <v>911</v>
      </c>
      <c r="C551" s="143" t="s">
        <v>167</v>
      </c>
      <c r="D551" s="143">
        <v>5527812319</v>
      </c>
      <c r="E551" s="143">
        <v>351570</v>
      </c>
      <c r="F551" s="144">
        <v>648</v>
      </c>
      <c r="G551" s="145">
        <v>46059</v>
      </c>
    </row>
    <row r="552" spans="1:7" hidden="1" x14ac:dyDescent="0.3">
      <c r="A552" s="44" t="s">
        <v>17</v>
      </c>
      <c r="B552" s="44" t="s">
        <v>227</v>
      </c>
      <c r="C552" s="44" t="s">
        <v>228</v>
      </c>
      <c r="D552" s="44">
        <v>5534846357</v>
      </c>
      <c r="E552" s="44">
        <v>183142</v>
      </c>
      <c r="F552" s="85">
        <v>10588.74</v>
      </c>
      <c r="G552" s="46">
        <v>46059</v>
      </c>
    </row>
    <row r="553" spans="1:7" s="143" customFormat="1" hidden="1" x14ac:dyDescent="0.3">
      <c r="A553" s="143" t="s">
        <v>17</v>
      </c>
      <c r="B553" s="143" t="s">
        <v>910</v>
      </c>
      <c r="C553" s="143" t="s">
        <v>336</v>
      </c>
      <c r="D553" s="143">
        <v>5547402145</v>
      </c>
      <c r="E553" s="143">
        <v>297689</v>
      </c>
      <c r="F553" s="144">
        <v>2757</v>
      </c>
      <c r="G553" s="145">
        <v>46059</v>
      </c>
    </row>
    <row r="554" spans="1:7" hidden="1" x14ac:dyDescent="0.3">
      <c r="A554" s="44" t="s">
        <v>17</v>
      </c>
      <c r="B554" s="44" t="s">
        <v>910</v>
      </c>
      <c r="C554" s="44" t="s">
        <v>336</v>
      </c>
      <c r="D554" s="44">
        <v>5547402146</v>
      </c>
      <c r="E554" s="44">
        <v>297718</v>
      </c>
      <c r="F554" s="85">
        <v>249.4</v>
      </c>
      <c r="G554" s="46">
        <v>46059</v>
      </c>
    </row>
    <row r="555" spans="1:7" s="143" customFormat="1" hidden="1" x14ac:dyDescent="0.3">
      <c r="A555" s="143" t="s">
        <v>17</v>
      </c>
      <c r="B555" s="143" t="s">
        <v>912</v>
      </c>
      <c r="C555" s="143" t="s">
        <v>913</v>
      </c>
      <c r="D555" s="143">
        <v>5548841097</v>
      </c>
      <c r="E555" s="143">
        <v>183181</v>
      </c>
      <c r="F555" s="144">
        <v>785.32</v>
      </c>
      <c r="G555" s="145">
        <v>46059</v>
      </c>
    </row>
    <row r="556" spans="1:7" hidden="1" x14ac:dyDescent="0.3">
      <c r="A556" s="44" t="s">
        <v>17</v>
      </c>
      <c r="B556" s="44" t="s">
        <v>912</v>
      </c>
      <c r="C556" s="44" t="s">
        <v>913</v>
      </c>
      <c r="D556" s="44">
        <v>5548841098</v>
      </c>
      <c r="E556" s="44">
        <v>183180</v>
      </c>
      <c r="F556" s="85">
        <v>851.04</v>
      </c>
      <c r="G556" s="46">
        <v>46059</v>
      </c>
    </row>
    <row r="557" spans="1:7" s="143" customFormat="1" hidden="1" x14ac:dyDescent="0.3">
      <c r="A557" s="143" t="s">
        <v>17</v>
      </c>
      <c r="B557" s="143" t="s">
        <v>908</v>
      </c>
      <c r="C557" s="143" t="s">
        <v>909</v>
      </c>
      <c r="D557" s="143">
        <v>5578808418</v>
      </c>
      <c r="E557" s="143">
        <v>297326</v>
      </c>
      <c r="F557" s="144">
        <v>4127.32</v>
      </c>
      <c r="G557" s="145">
        <v>46059</v>
      </c>
    </row>
    <row r="558" spans="1:7" hidden="1" x14ac:dyDescent="0.3">
      <c r="A558" s="44" t="s">
        <v>11</v>
      </c>
      <c r="B558" s="44" t="s">
        <v>709</v>
      </c>
      <c r="C558" s="44" t="s">
        <v>915</v>
      </c>
      <c r="D558" s="44">
        <v>5578854795</v>
      </c>
      <c r="E558" s="44">
        <v>1658</v>
      </c>
      <c r="F558" s="85">
        <v>184285</v>
      </c>
      <c r="G558" s="46">
        <v>46059</v>
      </c>
    </row>
    <row r="559" spans="1:7" s="143" customFormat="1" hidden="1" x14ac:dyDescent="0.3">
      <c r="A559" s="143" t="s">
        <v>11</v>
      </c>
      <c r="B559" s="143" t="s">
        <v>709</v>
      </c>
      <c r="C559" s="143" t="s">
        <v>548</v>
      </c>
      <c r="D559" s="143">
        <v>5578854795</v>
      </c>
      <c r="E559" s="143">
        <v>1660</v>
      </c>
      <c r="F559" s="144">
        <v>95140.71</v>
      </c>
      <c r="G559" s="145">
        <v>46059</v>
      </c>
    </row>
    <row r="560" spans="1:7" hidden="1" x14ac:dyDescent="0.3">
      <c r="A560" s="44" t="s">
        <v>10</v>
      </c>
      <c r="B560" s="44" t="s">
        <v>924</v>
      </c>
      <c r="C560" s="44" t="s">
        <v>41</v>
      </c>
      <c r="D560" s="44">
        <v>5510063308</v>
      </c>
      <c r="E560" s="44">
        <v>33069</v>
      </c>
      <c r="F560" s="87">
        <v>1266</v>
      </c>
      <c r="G560" s="46">
        <v>46060</v>
      </c>
    </row>
    <row r="561" spans="1:7" s="48" customFormat="1" hidden="1" x14ac:dyDescent="0.3">
      <c r="A561" s="48" t="s">
        <v>10</v>
      </c>
      <c r="B561" s="48" t="s">
        <v>924</v>
      </c>
      <c r="C561" s="48" t="s">
        <v>41</v>
      </c>
      <c r="D561" s="48">
        <v>5510063309</v>
      </c>
      <c r="E561" s="48">
        <v>183400</v>
      </c>
      <c r="F561" s="88">
        <v>1220</v>
      </c>
      <c r="G561" s="50">
        <v>46060</v>
      </c>
    </row>
    <row r="562" spans="1:7" hidden="1" x14ac:dyDescent="0.3">
      <c r="A562" s="44" t="s">
        <v>10</v>
      </c>
      <c r="B562" s="44" t="s">
        <v>925</v>
      </c>
      <c r="C562" s="44" t="s">
        <v>41</v>
      </c>
      <c r="D562" s="44">
        <v>5515383507</v>
      </c>
      <c r="E562" s="44">
        <v>351407</v>
      </c>
      <c r="F562" s="87">
        <v>1296</v>
      </c>
      <c r="G562" s="46">
        <v>46060</v>
      </c>
    </row>
    <row r="563" spans="1:7" s="48" customFormat="1" hidden="1" x14ac:dyDescent="0.3">
      <c r="A563" s="48" t="s">
        <v>10</v>
      </c>
      <c r="B563" s="48" t="s">
        <v>925</v>
      </c>
      <c r="C563" s="48" t="s">
        <v>41</v>
      </c>
      <c r="D563" s="48">
        <v>5515383508</v>
      </c>
      <c r="E563" s="48">
        <v>301615</v>
      </c>
      <c r="F563" s="88">
        <v>2110</v>
      </c>
      <c r="G563" s="50">
        <v>46060</v>
      </c>
    </row>
    <row r="564" spans="1:7" hidden="1" x14ac:dyDescent="0.3">
      <c r="A564" s="48" t="s">
        <v>10</v>
      </c>
      <c r="B564" s="48" t="s">
        <v>186</v>
      </c>
      <c r="C564" s="48" t="str">
        <f>IFERROR(VLOOKUP(B564,Base2026!A:C,2,FALSE),"")</f>
        <v>CASAS ALEMAN</v>
      </c>
      <c r="D564" s="48">
        <f>IFERROR(VLOOKUP(C564,Base2026!B:D,2,FALSE),"")</f>
        <v>5529849094</v>
      </c>
      <c r="E564" s="48">
        <v>351325</v>
      </c>
      <c r="F564" s="88">
        <v>4564</v>
      </c>
      <c r="G564" s="50">
        <v>46060</v>
      </c>
    </row>
    <row r="565" spans="1:7" s="48" customFormat="1" hidden="1" x14ac:dyDescent="0.3">
      <c r="A565" s="48" t="s">
        <v>10</v>
      </c>
      <c r="B565" s="48" t="s">
        <v>271</v>
      </c>
      <c r="C565" s="48" t="str">
        <f>IFERROR(VLOOKUP(B565,Base2026!A:C,2,FALSE),"")</f>
        <v>POLIGONO 5</v>
      </c>
      <c r="D565" s="48">
        <f>IFERROR(VLOOKUP(C565,Base2026!B:D,2,FALSE),"")</f>
        <v>5535892760</v>
      </c>
      <c r="E565" s="48">
        <v>183128</v>
      </c>
      <c r="F565" s="88">
        <v>5064.59</v>
      </c>
      <c r="G565" s="50">
        <v>46060</v>
      </c>
    </row>
    <row r="566" spans="1:7" hidden="1" x14ac:dyDescent="0.3">
      <c r="A566" s="44" t="s">
        <v>10</v>
      </c>
      <c r="B566" s="44" t="s">
        <v>271</v>
      </c>
      <c r="C566" s="44" t="str">
        <f>IFERROR(VLOOKUP(B566,Base2026!A:C,2,FALSE),"")</f>
        <v>POLIGONO 5</v>
      </c>
      <c r="D566" s="44">
        <f>IFERROR(VLOOKUP(C566,Base2026!B:D,2,FALSE),"")</f>
        <v>5535892760</v>
      </c>
      <c r="E566" s="44">
        <v>33012</v>
      </c>
      <c r="F566" s="87">
        <v>702</v>
      </c>
      <c r="G566" s="46">
        <v>46060</v>
      </c>
    </row>
    <row r="567" spans="1:7" s="48" customFormat="1" hidden="1" x14ac:dyDescent="0.3">
      <c r="A567" s="44" t="s">
        <v>10</v>
      </c>
      <c r="B567" s="44" t="s">
        <v>715</v>
      </c>
      <c r="C567" s="44" t="str">
        <f>IFERROR(VLOOKUP(B567,Base2026!A:C,2,FALSE),"")</f>
        <v>CARACOLES</v>
      </c>
      <c r="D567" s="44">
        <v>5616522274</v>
      </c>
      <c r="E567" s="44">
        <v>183809</v>
      </c>
      <c r="F567" s="87">
        <v>3034</v>
      </c>
      <c r="G567" s="46">
        <v>46060</v>
      </c>
    </row>
    <row r="568" spans="1:7" hidden="1" x14ac:dyDescent="0.3">
      <c r="A568" s="48" t="s">
        <v>17</v>
      </c>
      <c r="B568" s="48" t="s">
        <v>929</v>
      </c>
      <c r="C568" s="48" t="s">
        <v>28</v>
      </c>
      <c r="D568" s="48">
        <v>5528186245</v>
      </c>
      <c r="E568" s="48">
        <v>351419</v>
      </c>
      <c r="F568" s="88">
        <v>3793.2</v>
      </c>
      <c r="G568" s="50">
        <v>46060</v>
      </c>
    </row>
    <row r="569" spans="1:7" s="48" customFormat="1" hidden="1" x14ac:dyDescent="0.3">
      <c r="A569" s="44" t="s">
        <v>17</v>
      </c>
      <c r="B569" s="44" t="s">
        <v>930</v>
      </c>
      <c r="C569" s="44" t="s">
        <v>123</v>
      </c>
      <c r="D569" s="44">
        <v>5547652949</v>
      </c>
      <c r="E569" s="44">
        <v>351261</v>
      </c>
      <c r="F569" s="87">
        <v>2149</v>
      </c>
      <c r="G569" s="46">
        <v>46060</v>
      </c>
    </row>
    <row r="570" spans="1:7" hidden="1" x14ac:dyDescent="0.3">
      <c r="A570" s="48" t="s">
        <v>17</v>
      </c>
      <c r="B570" s="48" t="s">
        <v>930</v>
      </c>
      <c r="C570" s="48" t="s">
        <v>123</v>
      </c>
      <c r="D570" s="48">
        <v>5547652950</v>
      </c>
      <c r="E570" s="48">
        <v>182695</v>
      </c>
      <c r="F570" s="88">
        <v>4456</v>
      </c>
      <c r="G570" s="50">
        <v>46060</v>
      </c>
    </row>
    <row r="571" spans="1:7" s="48" customFormat="1" hidden="1" x14ac:dyDescent="0.3">
      <c r="A571" s="48" t="s">
        <v>17</v>
      </c>
      <c r="B571" s="48" t="s">
        <v>927</v>
      </c>
      <c r="C571" s="48" t="s">
        <v>28</v>
      </c>
      <c r="D571" s="48">
        <v>5554310297</v>
      </c>
      <c r="E571" s="48">
        <v>351559</v>
      </c>
      <c r="F571" s="88">
        <v>2550</v>
      </c>
      <c r="G571" s="50">
        <v>46060</v>
      </c>
    </row>
    <row r="572" spans="1:7" hidden="1" x14ac:dyDescent="0.3">
      <c r="A572" s="44" t="s">
        <v>17</v>
      </c>
      <c r="B572" s="44" t="s">
        <v>926</v>
      </c>
      <c r="C572" s="44" t="s">
        <v>46</v>
      </c>
      <c r="D572" s="44">
        <v>5557557036</v>
      </c>
      <c r="E572" s="44">
        <v>183880</v>
      </c>
      <c r="F572" s="87">
        <v>3985</v>
      </c>
      <c r="G572" s="46">
        <v>46060</v>
      </c>
    </row>
    <row r="573" spans="1:7" s="48" customFormat="1" hidden="1" x14ac:dyDescent="0.3">
      <c r="A573" s="44" t="s">
        <v>17</v>
      </c>
      <c r="B573" s="44" t="s">
        <v>928</v>
      </c>
      <c r="C573" s="44" t="s">
        <v>84</v>
      </c>
      <c r="D573" s="44">
        <v>5576884229</v>
      </c>
      <c r="E573" s="44">
        <v>183002</v>
      </c>
      <c r="F573" s="87">
        <v>3393.84</v>
      </c>
      <c r="G573" s="46">
        <v>46060</v>
      </c>
    </row>
    <row r="574" spans="1:7" hidden="1" x14ac:dyDescent="0.3">
      <c r="A574" s="48" t="s">
        <v>11</v>
      </c>
      <c r="B574" s="48" t="s">
        <v>797</v>
      </c>
      <c r="C574" s="48" t="s">
        <v>923</v>
      </c>
      <c r="D574" s="44">
        <v>5540809412</v>
      </c>
      <c r="E574" s="48">
        <v>296171</v>
      </c>
      <c r="F574" s="88">
        <v>67856.7</v>
      </c>
      <c r="G574" s="50">
        <v>46060</v>
      </c>
    </row>
    <row r="575" spans="1:7" s="48" customFormat="1" hidden="1" x14ac:dyDescent="0.3">
      <c r="A575" s="44" t="s">
        <v>11</v>
      </c>
      <c r="B575" s="44" t="s">
        <v>797</v>
      </c>
      <c r="C575" s="44" t="s">
        <v>923</v>
      </c>
      <c r="D575" s="44">
        <v>5540809412</v>
      </c>
      <c r="E575" s="44">
        <v>296172</v>
      </c>
      <c r="F575" s="87">
        <v>12690.03</v>
      </c>
      <c r="G575" s="46">
        <v>46060</v>
      </c>
    </row>
    <row r="576" spans="1:7" hidden="1" x14ac:dyDescent="0.3">
      <c r="A576" s="48" t="s">
        <v>11</v>
      </c>
      <c r="B576" s="48" t="s">
        <v>797</v>
      </c>
      <c r="C576" s="48" t="s">
        <v>923</v>
      </c>
      <c r="D576" s="44">
        <v>5540809412</v>
      </c>
      <c r="E576" s="48">
        <v>23650</v>
      </c>
      <c r="F576" s="88">
        <v>3898</v>
      </c>
      <c r="G576" s="50">
        <v>46060</v>
      </c>
    </row>
    <row r="577" spans="1:7" s="48" customFormat="1" hidden="1" x14ac:dyDescent="0.3">
      <c r="A577" s="51" t="s">
        <v>47</v>
      </c>
      <c r="B577" s="51" t="s">
        <v>939</v>
      </c>
      <c r="C577" s="51" t="s">
        <v>640</v>
      </c>
      <c r="D577" s="51">
        <v>5548856197</v>
      </c>
      <c r="E577" s="51">
        <v>183536</v>
      </c>
      <c r="F577" s="68">
        <v>3396</v>
      </c>
      <c r="G577" s="52">
        <v>46062</v>
      </c>
    </row>
    <row r="578" spans="1:7" hidden="1" x14ac:dyDescent="0.3">
      <c r="A578" s="44" t="s">
        <v>47</v>
      </c>
      <c r="B578" s="44" t="s">
        <v>940</v>
      </c>
      <c r="C578" s="44" t="s">
        <v>941</v>
      </c>
      <c r="D578" s="44">
        <v>5561159180</v>
      </c>
      <c r="E578" s="44">
        <v>183904</v>
      </c>
      <c r="F578" s="87">
        <v>3561.99</v>
      </c>
      <c r="G578" s="46">
        <v>46062</v>
      </c>
    </row>
    <row r="579" spans="1:7" s="51" customFormat="1" hidden="1" x14ac:dyDescent="0.3">
      <c r="A579" s="51" t="s">
        <v>10</v>
      </c>
      <c r="B579" s="51" t="s">
        <v>936</v>
      </c>
      <c r="C579" s="51" t="s">
        <v>937</v>
      </c>
      <c r="D579" s="51">
        <v>5527440374</v>
      </c>
      <c r="E579" s="51">
        <v>182758</v>
      </c>
      <c r="F579" s="68">
        <v>3441.48</v>
      </c>
      <c r="G579" s="52">
        <v>46062</v>
      </c>
    </row>
    <row r="580" spans="1:7" hidden="1" x14ac:dyDescent="0.3">
      <c r="A580" s="51" t="s">
        <v>10</v>
      </c>
      <c r="B580" s="51" t="s">
        <v>529</v>
      </c>
      <c r="C580" s="51" t="str">
        <f>IFERROR(VLOOKUP(B580,Base2026!A:C,2,FALSE),"")</f>
        <v>VILLA DE LAS FLORES</v>
      </c>
      <c r="D580" s="51">
        <v>5529662811</v>
      </c>
      <c r="E580" s="51">
        <v>351338</v>
      </c>
      <c r="F580" s="68">
        <v>6557.99</v>
      </c>
      <c r="G580" s="52">
        <v>46062</v>
      </c>
    </row>
    <row r="581" spans="1:7" s="51" customFormat="1" hidden="1" x14ac:dyDescent="0.3">
      <c r="A581" s="44" t="s">
        <v>10</v>
      </c>
      <c r="B581" s="44" t="s">
        <v>935</v>
      </c>
      <c r="C581" s="44" t="s">
        <v>480</v>
      </c>
      <c r="D581" s="44">
        <f>IFERROR(VLOOKUP(C581,Base2026!B:D,2,FALSE),"")</f>
        <v>5539564988</v>
      </c>
      <c r="E581" s="44">
        <v>297400</v>
      </c>
      <c r="F581" s="87">
        <v>5235.1899999999996</v>
      </c>
      <c r="G581" s="46">
        <v>46062</v>
      </c>
    </row>
    <row r="582" spans="1:7" hidden="1" x14ac:dyDescent="0.3">
      <c r="A582" s="44" t="s">
        <v>10</v>
      </c>
      <c r="B582" s="44" t="s">
        <v>933</v>
      </c>
      <c r="C582" s="44" t="s">
        <v>934</v>
      </c>
      <c r="D582" s="44">
        <v>55142441292</v>
      </c>
      <c r="E582" s="44">
        <v>351289</v>
      </c>
      <c r="F582" s="87">
        <v>1492</v>
      </c>
      <c r="G582" s="46">
        <v>46062</v>
      </c>
    </row>
    <row r="583" spans="1:7" s="51" customFormat="1" hidden="1" x14ac:dyDescent="0.3">
      <c r="A583" s="51" t="s">
        <v>17</v>
      </c>
      <c r="B583" s="51" t="s">
        <v>932</v>
      </c>
      <c r="C583" s="51" t="s">
        <v>425</v>
      </c>
      <c r="D583" s="51">
        <v>5530550267</v>
      </c>
      <c r="E583" s="51">
        <v>183906</v>
      </c>
      <c r="F583" s="68">
        <v>1020</v>
      </c>
      <c r="G583" s="52">
        <v>46062</v>
      </c>
    </row>
    <row r="584" spans="1:7" hidden="1" x14ac:dyDescent="0.3">
      <c r="A584" s="44" t="s">
        <v>17</v>
      </c>
      <c r="B584" s="44" t="s">
        <v>931</v>
      </c>
      <c r="C584" s="44" t="s">
        <v>739</v>
      </c>
      <c r="D584" s="44">
        <v>5539133657</v>
      </c>
      <c r="E584" s="44">
        <v>183974</v>
      </c>
      <c r="F584" s="87">
        <v>24120</v>
      </c>
      <c r="G584" s="46">
        <v>46062</v>
      </c>
    </row>
    <row r="585" spans="1:7" s="51" customFormat="1" hidden="1" x14ac:dyDescent="0.3">
      <c r="A585" s="51" t="s">
        <v>17</v>
      </c>
      <c r="B585" s="51" t="s">
        <v>158</v>
      </c>
      <c r="C585" s="51" t="str">
        <f>IFERROR(VLOOKUP(B585,Base2026!A:C,2,FALSE),"")</f>
        <v>PLAZAS DE ARAGON</v>
      </c>
      <c r="D585" s="51">
        <f>IFERROR(VLOOKUP(C585,Base2026!B:D,2,FALSE),"")</f>
        <v>5570826626</v>
      </c>
      <c r="E585" s="51">
        <v>297304</v>
      </c>
      <c r="F585" s="68">
        <v>14796.96</v>
      </c>
      <c r="G585" s="52">
        <v>46062</v>
      </c>
    </row>
    <row r="586" spans="1:7" hidden="1" x14ac:dyDescent="0.3">
      <c r="A586" s="44" t="s">
        <v>17</v>
      </c>
      <c r="B586" s="44" t="s">
        <v>928</v>
      </c>
      <c r="C586" s="44" t="s">
        <v>84</v>
      </c>
      <c r="D586" s="44">
        <v>5576884229</v>
      </c>
      <c r="E586" s="44">
        <v>183002</v>
      </c>
      <c r="F586" s="87">
        <v>3393.84</v>
      </c>
      <c r="G586" s="46">
        <v>46062</v>
      </c>
    </row>
    <row r="587" spans="1:7" s="51" customFormat="1" hidden="1" x14ac:dyDescent="0.3">
      <c r="A587" s="51" t="s">
        <v>11</v>
      </c>
      <c r="B587" s="51" t="s">
        <v>610</v>
      </c>
      <c r="C587" s="51" t="str">
        <f>IFERROR(VLOOKUP(B587,Base2026!A:C,2,FALSE),"")</f>
        <v>SAN PABLO TEXCOCO</v>
      </c>
      <c r="D587" s="51">
        <f>IFERROR(VLOOKUP(C587,Base2026!B:D,2,FALSE),"")</f>
        <v>5582860407</v>
      </c>
      <c r="E587" s="51">
        <v>297348</v>
      </c>
      <c r="F587" s="68">
        <v>15930.8</v>
      </c>
      <c r="G587" s="52">
        <v>46062</v>
      </c>
    </row>
    <row r="588" spans="1:7" hidden="1" x14ac:dyDescent="0.3">
      <c r="A588" s="44" t="s">
        <v>11</v>
      </c>
      <c r="B588" s="44" t="s">
        <v>610</v>
      </c>
      <c r="C588" s="44" t="str">
        <f>IFERROR(VLOOKUP(B588,Base2026!A:C,2,FALSE),"")</f>
        <v>SAN PABLO TEXCOCO</v>
      </c>
      <c r="D588" s="44">
        <f>IFERROR(VLOOKUP(C588,Base2026!B:D,2,FALSE),"")</f>
        <v>5582860407</v>
      </c>
      <c r="E588" s="44">
        <v>297349</v>
      </c>
      <c r="F588" s="87">
        <v>171</v>
      </c>
      <c r="G588" s="46">
        <v>46062</v>
      </c>
    </row>
    <row r="589" spans="1:7" s="51" customFormat="1" x14ac:dyDescent="0.3">
      <c r="A589" s="51" t="s">
        <v>11</v>
      </c>
      <c r="B589" s="51" t="s">
        <v>528</v>
      </c>
      <c r="C589" s="51" t="s">
        <v>0</v>
      </c>
      <c r="D589" s="60">
        <v>5551905191</v>
      </c>
      <c r="E589" s="51">
        <v>297693</v>
      </c>
      <c r="F589" s="68">
        <v>6786.12</v>
      </c>
      <c r="G589" s="52">
        <v>46062</v>
      </c>
    </row>
    <row r="590" spans="1:7" x14ac:dyDescent="0.3">
      <c r="A590" s="44" t="s">
        <v>11</v>
      </c>
      <c r="B590" s="44" t="s">
        <v>528</v>
      </c>
      <c r="C590" s="44" t="s">
        <v>0</v>
      </c>
      <c r="D590" s="60">
        <v>5551905191</v>
      </c>
      <c r="E590" s="44">
        <v>297085</v>
      </c>
      <c r="F590" s="87">
        <v>8754.91</v>
      </c>
      <c r="G590" s="46">
        <v>46062</v>
      </c>
    </row>
    <row r="591" spans="1:7" s="51" customFormat="1" hidden="1" x14ac:dyDescent="0.3">
      <c r="A591" s="44" t="s">
        <v>942</v>
      </c>
      <c r="B591" s="44" t="s">
        <v>709</v>
      </c>
      <c r="C591" s="44" t="s">
        <v>938</v>
      </c>
      <c r="D591" s="44">
        <v>5578854795</v>
      </c>
      <c r="E591" s="44">
        <v>1660</v>
      </c>
      <c r="F591" s="87">
        <v>95140</v>
      </c>
      <c r="G591" s="46">
        <v>46062</v>
      </c>
    </row>
    <row r="592" spans="1:7" hidden="1" x14ac:dyDescent="0.3">
      <c r="A592" s="48" t="s">
        <v>955</v>
      </c>
      <c r="B592" s="48" t="s">
        <v>958</v>
      </c>
      <c r="C592" s="48" t="s">
        <v>960</v>
      </c>
      <c r="D592" s="48">
        <v>5515072209</v>
      </c>
      <c r="E592" s="48">
        <v>351404</v>
      </c>
      <c r="F592" s="88">
        <v>7810.97</v>
      </c>
      <c r="G592" s="50">
        <v>46063</v>
      </c>
    </row>
    <row r="593" spans="1:7" s="48" customFormat="1" hidden="1" x14ac:dyDescent="0.3">
      <c r="A593" s="44" t="s">
        <v>955</v>
      </c>
      <c r="B593" s="44" t="s">
        <v>620</v>
      </c>
      <c r="C593" s="44" t="str">
        <f>IFERROR(VLOOKUP(B593,Base2026!A:C,2,FALSE),"")</f>
        <v>SANTA ISABEL TOLA</v>
      </c>
      <c r="D593" s="44">
        <v>5539252389</v>
      </c>
      <c r="E593" s="44">
        <v>351497</v>
      </c>
      <c r="F593" s="87">
        <v>5885.01</v>
      </c>
      <c r="G593" s="46">
        <v>46063</v>
      </c>
    </row>
    <row r="594" spans="1:7" hidden="1" x14ac:dyDescent="0.3">
      <c r="A594" s="44" t="s">
        <v>955</v>
      </c>
      <c r="B594" s="44" t="s">
        <v>956</v>
      </c>
      <c r="C594" s="44" t="s">
        <v>46</v>
      </c>
      <c r="D594" s="44">
        <v>5557557036</v>
      </c>
      <c r="E594" s="44">
        <v>297904</v>
      </c>
      <c r="F594" s="87">
        <v>5314</v>
      </c>
      <c r="G594" s="46">
        <v>46063</v>
      </c>
    </row>
    <row r="595" spans="1:7" s="48" customFormat="1" hidden="1" x14ac:dyDescent="0.3">
      <c r="A595" s="48" t="s">
        <v>955</v>
      </c>
      <c r="B595" s="48" t="s">
        <v>959</v>
      </c>
      <c r="C595" s="48" t="s">
        <v>555</v>
      </c>
      <c r="D595" s="48">
        <v>5588018004</v>
      </c>
      <c r="E595" s="48">
        <v>297813</v>
      </c>
      <c r="F595" s="88">
        <v>15260</v>
      </c>
      <c r="G595" s="50">
        <v>46063</v>
      </c>
    </row>
    <row r="596" spans="1:7" hidden="1" x14ac:dyDescent="0.3">
      <c r="A596" s="44" t="s">
        <v>10</v>
      </c>
      <c r="B596" s="44" t="s">
        <v>947</v>
      </c>
      <c r="C596" s="44" t="s">
        <v>103</v>
      </c>
      <c r="D596" s="44">
        <v>5529091038</v>
      </c>
      <c r="E596" s="44">
        <v>183462</v>
      </c>
      <c r="F596" s="87">
        <v>3697.48</v>
      </c>
      <c r="G596" s="46">
        <v>46063</v>
      </c>
    </row>
    <row r="597" spans="1:7" s="48" customFormat="1" hidden="1" x14ac:dyDescent="0.3">
      <c r="A597" s="44" t="s">
        <v>10</v>
      </c>
      <c r="B597" s="44" t="s">
        <v>697</v>
      </c>
      <c r="C597" s="44" t="str">
        <f>IFERROR(VLOOKUP(B597,Base2026!A:C,2,FALSE),"")</f>
        <v>ALMARCINGO</v>
      </c>
      <c r="D597" s="44">
        <f>IFERROR(VLOOKUP(C597,Base2026!B:D,2,FALSE),"")</f>
        <v>5536807808</v>
      </c>
      <c r="E597" s="44">
        <v>183544</v>
      </c>
      <c r="F597" s="87">
        <v>8484</v>
      </c>
      <c r="G597" s="46">
        <v>46063</v>
      </c>
    </row>
    <row r="598" spans="1:7" hidden="1" x14ac:dyDescent="0.3">
      <c r="A598" s="48" t="s">
        <v>10</v>
      </c>
      <c r="B598" s="48" t="s">
        <v>697</v>
      </c>
      <c r="C598" s="48" t="str">
        <f>IFERROR(VLOOKUP(B598,Base2026!A:C,2,FALSE),"")</f>
        <v>ALMARCINGO</v>
      </c>
      <c r="D598" s="48">
        <f>IFERROR(VLOOKUP(C598,Base2026!B:D,2,FALSE),"")</f>
        <v>5536807808</v>
      </c>
      <c r="E598" s="48">
        <v>33094</v>
      </c>
      <c r="F598" s="88">
        <v>435</v>
      </c>
      <c r="G598" s="50">
        <v>46063</v>
      </c>
    </row>
    <row r="599" spans="1:7" s="48" customFormat="1" hidden="1" x14ac:dyDescent="0.3">
      <c r="A599" s="44" t="s">
        <v>10</v>
      </c>
      <c r="B599" s="44" t="s">
        <v>945</v>
      </c>
      <c r="C599" s="44" t="s">
        <v>153</v>
      </c>
      <c r="D599" s="44">
        <v>5542487252</v>
      </c>
      <c r="E599" s="44">
        <v>183466</v>
      </c>
      <c r="F599" s="87">
        <v>690</v>
      </c>
      <c r="G599" s="46">
        <v>46063</v>
      </c>
    </row>
    <row r="600" spans="1:7" hidden="1" x14ac:dyDescent="0.3">
      <c r="A600" s="48" t="s">
        <v>10</v>
      </c>
      <c r="B600" s="48" t="s">
        <v>945</v>
      </c>
      <c r="C600" s="48" t="s">
        <v>153</v>
      </c>
      <c r="D600" s="48">
        <v>5542487253</v>
      </c>
      <c r="E600" s="48">
        <v>33077</v>
      </c>
      <c r="F600" s="88">
        <v>92</v>
      </c>
      <c r="G600" s="50">
        <v>46063</v>
      </c>
    </row>
    <row r="601" spans="1:7" s="48" customFormat="1" hidden="1" x14ac:dyDescent="0.3">
      <c r="A601" s="44" t="s">
        <v>10</v>
      </c>
      <c r="B601" s="44" t="s">
        <v>946</v>
      </c>
      <c r="C601" s="44" t="s">
        <v>9</v>
      </c>
      <c r="D601" s="44">
        <v>5581490100</v>
      </c>
      <c r="E601" s="44">
        <v>183410</v>
      </c>
      <c r="F601" s="87">
        <v>3813.99</v>
      </c>
      <c r="G601" s="46">
        <v>46063</v>
      </c>
    </row>
    <row r="602" spans="1:7" hidden="1" x14ac:dyDescent="0.3">
      <c r="A602" s="48" t="s">
        <v>10</v>
      </c>
      <c r="B602" s="48" t="s">
        <v>946</v>
      </c>
      <c r="C602" s="48" t="s">
        <v>9</v>
      </c>
      <c r="D602" s="48">
        <v>5581490101</v>
      </c>
      <c r="E602" s="48">
        <v>33071</v>
      </c>
      <c r="F602" s="88">
        <v>588</v>
      </c>
      <c r="G602" s="50">
        <v>46063</v>
      </c>
    </row>
    <row r="603" spans="1:7" s="48" customFormat="1" hidden="1" x14ac:dyDescent="0.3">
      <c r="A603" s="48" t="s">
        <v>17</v>
      </c>
      <c r="B603" s="48" t="s">
        <v>579</v>
      </c>
      <c r="C603" s="48" t="str">
        <f>IFERROR(VLOOKUP(B603,Base2026!A:C,2,FALSE),"")</f>
        <v>CHAMIZALITO</v>
      </c>
      <c r="D603" s="48">
        <f>IFERROR(VLOOKUP(C603,Base2026!B:D,2,FALSE),"")</f>
        <v>5515369770</v>
      </c>
      <c r="E603" s="48">
        <v>183532</v>
      </c>
      <c r="F603" s="88">
        <v>1490</v>
      </c>
      <c r="G603" s="50">
        <v>46063</v>
      </c>
    </row>
    <row r="604" spans="1:7" hidden="1" x14ac:dyDescent="0.3">
      <c r="A604" s="44" t="s">
        <v>17</v>
      </c>
      <c r="B604" s="44" t="s">
        <v>579</v>
      </c>
      <c r="C604" s="44" t="str">
        <f>IFERROR(VLOOKUP(B604,Base2026!A:C,2,FALSE),"")</f>
        <v>CHAMIZALITO</v>
      </c>
      <c r="D604" s="44">
        <f>IFERROR(VLOOKUP(C604,Base2026!B:D,2,FALSE),"")</f>
        <v>5515369770</v>
      </c>
      <c r="E604" s="44">
        <v>33092</v>
      </c>
      <c r="F604" s="87">
        <v>300</v>
      </c>
      <c r="G604" s="46">
        <v>46063</v>
      </c>
    </row>
    <row r="605" spans="1:7" s="48" customFormat="1" hidden="1" x14ac:dyDescent="0.3">
      <c r="A605" s="44" t="s">
        <v>17</v>
      </c>
      <c r="B605" s="44" t="s">
        <v>944</v>
      </c>
      <c r="C605" s="44" t="s">
        <v>635</v>
      </c>
      <c r="D605" s="44">
        <v>5658065921</v>
      </c>
      <c r="E605" s="44">
        <v>182850</v>
      </c>
      <c r="F605" s="87">
        <v>16348</v>
      </c>
      <c r="G605" s="46">
        <v>46063</v>
      </c>
    </row>
    <row r="606" spans="1:7" hidden="1" x14ac:dyDescent="0.3">
      <c r="A606" s="48" t="s">
        <v>17</v>
      </c>
      <c r="B606" s="48" t="s">
        <v>944</v>
      </c>
      <c r="C606" s="48" t="s">
        <v>635</v>
      </c>
      <c r="D606" s="48">
        <v>5658065922</v>
      </c>
      <c r="E606" s="48">
        <v>32972</v>
      </c>
      <c r="F606" s="88">
        <v>1756</v>
      </c>
      <c r="G606" s="50">
        <v>46063</v>
      </c>
    </row>
    <row r="607" spans="1:7" s="48" customFormat="1" hidden="1" x14ac:dyDescent="0.3">
      <c r="A607" s="48" t="s">
        <v>17</v>
      </c>
      <c r="B607" s="48" t="s">
        <v>943</v>
      </c>
      <c r="C607" s="48" t="s">
        <v>319</v>
      </c>
      <c r="D607" s="48">
        <v>5669643290</v>
      </c>
      <c r="E607" s="48">
        <v>183415</v>
      </c>
      <c r="F607" s="88">
        <v>4462</v>
      </c>
      <c r="G607" s="50">
        <v>46063</v>
      </c>
    </row>
    <row r="608" spans="1:7" hidden="1" x14ac:dyDescent="0.3">
      <c r="A608" s="48" t="s">
        <v>11</v>
      </c>
      <c r="B608" s="48" t="s">
        <v>948</v>
      </c>
      <c r="C608" s="48" t="s">
        <v>425</v>
      </c>
      <c r="D608" s="48">
        <v>5516790525</v>
      </c>
      <c r="E608" s="48">
        <v>351591</v>
      </c>
      <c r="F608" s="88">
        <v>1818.8</v>
      </c>
      <c r="G608" s="50">
        <v>46063</v>
      </c>
    </row>
    <row r="609" spans="1:7" s="48" customFormat="1" hidden="1" x14ac:dyDescent="0.3">
      <c r="A609" s="48" t="s">
        <v>11</v>
      </c>
      <c r="B609" s="48" t="s">
        <v>950</v>
      </c>
      <c r="C609" s="48" t="s">
        <v>84</v>
      </c>
      <c r="D609" s="48">
        <v>5517728917</v>
      </c>
      <c r="E609" s="48">
        <v>183559</v>
      </c>
      <c r="F609" s="88">
        <v>2445</v>
      </c>
      <c r="G609" s="50">
        <v>46063</v>
      </c>
    </row>
    <row r="610" spans="1:7" hidden="1" x14ac:dyDescent="0.3">
      <c r="A610" s="44" t="s">
        <v>11</v>
      </c>
      <c r="B610" s="44" t="s">
        <v>950</v>
      </c>
      <c r="C610" s="44" t="s">
        <v>84</v>
      </c>
      <c r="D610" s="44">
        <v>5517728918</v>
      </c>
      <c r="E610" s="44">
        <v>33100</v>
      </c>
      <c r="F610" s="87">
        <v>253</v>
      </c>
      <c r="G610" s="46">
        <v>46063</v>
      </c>
    </row>
    <row r="611" spans="1:7" s="48" customFormat="1" hidden="1" x14ac:dyDescent="0.3">
      <c r="A611" s="44" t="s">
        <v>11</v>
      </c>
      <c r="B611" s="44" t="s">
        <v>949</v>
      </c>
      <c r="C611" s="44" t="s">
        <v>84</v>
      </c>
      <c r="D611" s="44">
        <v>5518114263</v>
      </c>
      <c r="E611" s="44">
        <v>184059</v>
      </c>
      <c r="F611" s="87">
        <v>975</v>
      </c>
      <c r="G611" s="46">
        <v>46063</v>
      </c>
    </row>
    <row r="612" spans="1:7" hidden="1" x14ac:dyDescent="0.3">
      <c r="A612" s="48" t="s">
        <v>11</v>
      </c>
      <c r="B612" s="48" t="s">
        <v>951</v>
      </c>
      <c r="C612" s="48" t="s">
        <v>952</v>
      </c>
      <c r="D612" s="48">
        <v>5548842798</v>
      </c>
      <c r="E612" s="48">
        <v>184037</v>
      </c>
      <c r="F612" s="88">
        <v>2347</v>
      </c>
      <c r="G612" s="50">
        <v>46063</v>
      </c>
    </row>
    <row r="613" spans="1:7" s="48" customFormat="1" hidden="1" x14ac:dyDescent="0.3">
      <c r="A613" s="48" t="s">
        <v>11</v>
      </c>
      <c r="B613" s="48" t="s">
        <v>954</v>
      </c>
      <c r="C613" s="48" t="s">
        <v>957</v>
      </c>
      <c r="D613" s="48">
        <v>5636472593</v>
      </c>
      <c r="E613" s="48">
        <v>183411</v>
      </c>
      <c r="F613" s="88">
        <v>13362.72</v>
      </c>
      <c r="G613" s="50">
        <v>46063</v>
      </c>
    </row>
    <row r="614" spans="1:7" hidden="1" x14ac:dyDescent="0.3">
      <c r="A614" s="44" t="s">
        <v>11</v>
      </c>
      <c r="B614" s="44" t="s">
        <v>953</v>
      </c>
      <c r="C614" s="44" t="s">
        <v>163</v>
      </c>
      <c r="D614" s="44">
        <v>5647905554</v>
      </c>
      <c r="E614" s="44">
        <v>351716</v>
      </c>
      <c r="F614" s="87">
        <v>1840</v>
      </c>
      <c r="G614" s="46">
        <v>46063</v>
      </c>
    </row>
    <row r="615" spans="1:7" s="48" customFormat="1" hidden="1" x14ac:dyDescent="0.3">
      <c r="A615" s="51" t="s">
        <v>47</v>
      </c>
      <c r="B615" s="51" t="s">
        <v>186</v>
      </c>
      <c r="C615" s="51" t="str">
        <f>IFERROR(VLOOKUP(B615,Base2026!A:C,2,FALSE),"")</f>
        <v>CASAS ALEMAN</v>
      </c>
      <c r="D615" s="51">
        <f>IFERROR(VLOOKUP(C615,Base2026!B:D,2,FALSE),"")</f>
        <v>5529849094</v>
      </c>
      <c r="E615" s="51">
        <v>184318</v>
      </c>
      <c r="F615" s="68">
        <v>1300</v>
      </c>
      <c r="G615" s="52">
        <v>46065</v>
      </c>
    </row>
    <row r="616" spans="1:7" hidden="1" x14ac:dyDescent="0.3">
      <c r="A616" s="44" t="s">
        <v>47</v>
      </c>
      <c r="B616" s="44" t="s">
        <v>976</v>
      </c>
      <c r="C616" s="44" t="s">
        <v>70</v>
      </c>
      <c r="D616" s="44">
        <v>5543678742</v>
      </c>
      <c r="E616" s="44">
        <v>183679</v>
      </c>
      <c r="F616" s="87">
        <v>3701.13</v>
      </c>
      <c r="G616" s="46">
        <v>46065</v>
      </c>
    </row>
    <row r="617" spans="1:7" s="51" customFormat="1" hidden="1" x14ac:dyDescent="0.3">
      <c r="A617" s="44" t="s">
        <v>47</v>
      </c>
      <c r="B617" s="44" t="s">
        <v>967</v>
      </c>
      <c r="C617" s="44" t="s">
        <v>187</v>
      </c>
      <c r="D617" s="44">
        <v>5565353762</v>
      </c>
      <c r="E617" s="44">
        <v>183637</v>
      </c>
      <c r="F617" s="87">
        <v>4614.2</v>
      </c>
      <c r="G617" s="46">
        <v>46065</v>
      </c>
    </row>
    <row r="618" spans="1:7" hidden="1" x14ac:dyDescent="0.3">
      <c r="A618" s="51" t="s">
        <v>47</v>
      </c>
      <c r="B618" s="51" t="s">
        <v>970</v>
      </c>
      <c r="C618" s="51" t="s">
        <v>301</v>
      </c>
      <c r="D618" s="51">
        <v>7298974884</v>
      </c>
      <c r="E618" s="51">
        <v>297649</v>
      </c>
      <c r="F618" s="68">
        <v>1587.01</v>
      </c>
      <c r="G618" s="52">
        <v>46065</v>
      </c>
    </row>
    <row r="619" spans="1:7" s="51" customFormat="1" hidden="1" x14ac:dyDescent="0.3">
      <c r="A619" s="44" t="s">
        <v>10</v>
      </c>
      <c r="B619" s="45" t="s">
        <v>964</v>
      </c>
      <c r="C619" s="44" t="s">
        <v>965</v>
      </c>
      <c r="D619" s="44">
        <v>2206119277</v>
      </c>
      <c r="E619" s="44">
        <v>183564</v>
      </c>
      <c r="F619" s="87">
        <v>5083.3500000000004</v>
      </c>
      <c r="G619" s="46">
        <v>46065</v>
      </c>
    </row>
    <row r="620" spans="1:7" hidden="1" x14ac:dyDescent="0.3">
      <c r="A620" s="44" t="s">
        <v>10</v>
      </c>
      <c r="B620" s="44" t="s">
        <v>968</v>
      </c>
      <c r="C620" s="44" t="s">
        <v>969</v>
      </c>
      <c r="D620" s="44">
        <v>5520692636</v>
      </c>
      <c r="E620" s="44">
        <v>351564</v>
      </c>
      <c r="F620" s="87">
        <v>3455.68</v>
      </c>
      <c r="G620" s="46">
        <v>46065</v>
      </c>
    </row>
    <row r="621" spans="1:7" s="51" customFormat="1" hidden="1" x14ac:dyDescent="0.3">
      <c r="A621" s="51" t="s">
        <v>10</v>
      </c>
      <c r="B621" s="51" t="s">
        <v>966</v>
      </c>
      <c r="C621" s="51" t="s">
        <v>855</v>
      </c>
      <c r="D621" s="51">
        <v>5530722512</v>
      </c>
      <c r="E621" s="51">
        <v>183571</v>
      </c>
      <c r="F621" s="68">
        <v>4221</v>
      </c>
      <c r="G621" s="52">
        <v>46065</v>
      </c>
    </row>
    <row r="622" spans="1:7" hidden="1" x14ac:dyDescent="0.3">
      <c r="A622" s="51" t="s">
        <v>10</v>
      </c>
      <c r="B622" s="51" t="s">
        <v>962</v>
      </c>
      <c r="C622" s="51" t="s">
        <v>963</v>
      </c>
      <c r="D622" s="51">
        <v>5533055960</v>
      </c>
      <c r="E622" s="51">
        <v>184437</v>
      </c>
      <c r="F622" s="68">
        <v>4550</v>
      </c>
      <c r="G622" s="52">
        <v>46065</v>
      </c>
    </row>
    <row r="623" spans="1:7" s="51" customFormat="1" hidden="1" x14ac:dyDescent="0.3">
      <c r="A623" s="51" t="s">
        <v>10</v>
      </c>
      <c r="B623" s="51" t="s">
        <v>971</v>
      </c>
      <c r="C623" s="51" t="s">
        <v>913</v>
      </c>
      <c r="D623" s="51">
        <v>5543678742</v>
      </c>
      <c r="E623" s="51">
        <v>183679</v>
      </c>
      <c r="F623" s="68">
        <v>3401.13</v>
      </c>
      <c r="G623" s="52">
        <v>46065</v>
      </c>
    </row>
    <row r="624" spans="1:7" hidden="1" x14ac:dyDescent="0.3">
      <c r="A624" s="44" t="s">
        <v>10</v>
      </c>
      <c r="B624" s="44" t="s">
        <v>972</v>
      </c>
      <c r="C624" s="44" t="s">
        <v>973</v>
      </c>
      <c r="D624" s="44">
        <v>5561394940</v>
      </c>
      <c r="E624" s="44">
        <v>297411</v>
      </c>
      <c r="F624" s="87">
        <v>20035</v>
      </c>
      <c r="G624" s="46">
        <v>46065</v>
      </c>
    </row>
    <row r="625" spans="1:7" s="51" customFormat="1" hidden="1" x14ac:dyDescent="0.3">
      <c r="A625" s="44" t="s">
        <v>10</v>
      </c>
      <c r="B625" s="44" t="s">
        <v>961</v>
      </c>
      <c r="C625" s="44" t="s">
        <v>46</v>
      </c>
      <c r="D625" s="44">
        <v>5646018756</v>
      </c>
      <c r="E625" s="44">
        <v>184405</v>
      </c>
      <c r="F625" s="87">
        <v>4719</v>
      </c>
      <c r="G625" s="46">
        <v>46065</v>
      </c>
    </row>
    <row r="626" spans="1:7" hidden="1" x14ac:dyDescent="0.3">
      <c r="A626" s="51" t="s">
        <v>17</v>
      </c>
      <c r="B626" s="51" t="s">
        <v>650</v>
      </c>
      <c r="C626" s="51" t="s">
        <v>41</v>
      </c>
      <c r="D626" s="51">
        <v>5510455631</v>
      </c>
      <c r="E626" s="51">
        <v>184210</v>
      </c>
      <c r="F626" s="68">
        <v>1471</v>
      </c>
      <c r="G626" s="52">
        <v>46065</v>
      </c>
    </row>
    <row r="627" spans="1:7" s="51" customFormat="1" hidden="1" x14ac:dyDescent="0.3">
      <c r="A627" s="44" t="s">
        <v>17</v>
      </c>
      <c r="B627" s="44" t="s">
        <v>620</v>
      </c>
      <c r="C627" s="44" t="str">
        <f>IFERROR(VLOOKUP(B627,Base2026!A:C,2,FALSE),"")</f>
        <v>SANTA ISABEL TOLA</v>
      </c>
      <c r="D627" s="44">
        <v>5539252389</v>
      </c>
      <c r="E627" s="44">
        <v>351497</v>
      </c>
      <c r="F627" s="87">
        <v>5882.01</v>
      </c>
      <c r="G627" s="46">
        <v>46065</v>
      </c>
    </row>
    <row r="628" spans="1:7" hidden="1" x14ac:dyDescent="0.3">
      <c r="A628" s="51" t="s">
        <v>17</v>
      </c>
      <c r="B628" s="51" t="s">
        <v>655</v>
      </c>
      <c r="C628" s="51" t="str">
        <f>IFERROR(VLOOKUP(B628,Base2026!A:C,2,FALSE),"")</f>
        <v>LINDA VISTA</v>
      </c>
      <c r="D628" s="51">
        <f>IFERROR(VLOOKUP(C628,Base2026!B:D,2,FALSE),"")</f>
        <v>5577549766</v>
      </c>
      <c r="E628" s="51">
        <v>184195</v>
      </c>
      <c r="F628" s="68">
        <v>7640</v>
      </c>
      <c r="G628" s="52">
        <v>46065</v>
      </c>
    </row>
    <row r="629" spans="1:7" s="51" customFormat="1" hidden="1" x14ac:dyDescent="0.3">
      <c r="A629" s="51" t="s">
        <v>17</v>
      </c>
      <c r="B629" s="51" t="s">
        <v>977</v>
      </c>
      <c r="C629" s="51" t="s">
        <v>572</v>
      </c>
      <c r="D629" s="51">
        <v>5584318361</v>
      </c>
      <c r="E629" s="51">
        <v>184362</v>
      </c>
      <c r="F629" s="68">
        <v>3900</v>
      </c>
      <c r="G629" s="52">
        <v>46065</v>
      </c>
    </row>
    <row r="630" spans="1:7" hidden="1" x14ac:dyDescent="0.3">
      <c r="A630" s="44" t="s">
        <v>17</v>
      </c>
      <c r="B630" s="44" t="s">
        <v>978</v>
      </c>
      <c r="C630" s="44" t="s">
        <v>356</v>
      </c>
      <c r="D630" s="44">
        <v>5585751227</v>
      </c>
      <c r="E630" s="44">
        <v>351868</v>
      </c>
      <c r="F630" s="87">
        <v>655</v>
      </c>
      <c r="G630" s="46">
        <v>46065</v>
      </c>
    </row>
    <row r="631" spans="1:7" s="51" customFormat="1" hidden="1" x14ac:dyDescent="0.3">
      <c r="A631" s="44" t="s">
        <v>17</v>
      </c>
      <c r="B631" s="44" t="s">
        <v>954</v>
      </c>
      <c r="C631" s="44" t="s">
        <v>26</v>
      </c>
      <c r="D631" s="44">
        <v>5613962829</v>
      </c>
      <c r="E631" s="44">
        <v>301688</v>
      </c>
      <c r="F631" s="87">
        <v>2169</v>
      </c>
      <c r="G631" s="46">
        <v>46065</v>
      </c>
    </row>
    <row r="632" spans="1:7" hidden="1" x14ac:dyDescent="0.3">
      <c r="A632" s="44" t="s">
        <v>17</v>
      </c>
      <c r="B632" s="44" t="s">
        <v>650</v>
      </c>
      <c r="C632" s="44" t="str">
        <f>IFERROR(VLOOKUP(B632,Base2026!A:C,2,FALSE),"")</f>
        <v>SANTA MARIA LA RIBERA</v>
      </c>
      <c r="D632" s="44">
        <f>IFERROR(VLOOKUP(C632,Base2026!B:D,2,FALSE),"")</f>
        <v>5640045103</v>
      </c>
      <c r="E632" s="44">
        <v>183580</v>
      </c>
      <c r="F632" s="87">
        <v>6197.99</v>
      </c>
      <c r="G632" s="46">
        <v>46065</v>
      </c>
    </row>
    <row r="633" spans="1:7" s="51" customFormat="1" hidden="1" x14ac:dyDescent="0.3">
      <c r="A633" s="51" t="s">
        <v>11</v>
      </c>
      <c r="B633" s="51" t="s">
        <v>305</v>
      </c>
      <c r="C633" s="51" t="s">
        <v>975</v>
      </c>
      <c r="D633" s="51">
        <v>5534341719</v>
      </c>
      <c r="E633" s="51">
        <v>183514</v>
      </c>
      <c r="F633" s="68">
        <v>7266.55</v>
      </c>
      <c r="G633" s="52">
        <v>46065</v>
      </c>
    </row>
    <row r="634" spans="1:7" hidden="1" x14ac:dyDescent="0.3">
      <c r="A634" s="51" t="s">
        <v>11</v>
      </c>
      <c r="B634" s="51" t="s">
        <v>974</v>
      </c>
      <c r="C634" s="51" t="s">
        <v>130</v>
      </c>
      <c r="D634" s="51">
        <v>5613869199</v>
      </c>
      <c r="E634" s="51">
        <v>183690</v>
      </c>
      <c r="F634" s="68">
        <v>6792.99</v>
      </c>
      <c r="G634" s="52">
        <v>46065</v>
      </c>
    </row>
    <row r="635" spans="1:7" s="51" customFormat="1" hidden="1" x14ac:dyDescent="0.3">
      <c r="A635" s="44" t="s">
        <v>11</v>
      </c>
      <c r="B635" s="44" t="s">
        <v>944</v>
      </c>
      <c r="C635" s="44" t="s">
        <v>635</v>
      </c>
      <c r="D635" s="44">
        <v>5658065921</v>
      </c>
      <c r="E635" s="44">
        <v>182850</v>
      </c>
      <c r="F635" s="87">
        <v>16348</v>
      </c>
      <c r="G635" s="46">
        <v>46065</v>
      </c>
    </row>
    <row r="636" spans="1:7" hidden="1" x14ac:dyDescent="0.3">
      <c r="A636" s="48" t="s">
        <v>47</v>
      </c>
      <c r="B636" s="48" t="s">
        <v>992</v>
      </c>
      <c r="C636" s="48" t="s">
        <v>782</v>
      </c>
      <c r="D636" s="48">
        <v>5511607872</v>
      </c>
      <c r="E636" s="48">
        <v>297866</v>
      </c>
      <c r="F636" s="88">
        <v>2417.0100000000002</v>
      </c>
      <c r="G636" s="50">
        <v>46066</v>
      </c>
    </row>
    <row r="637" spans="1:7" s="48" customFormat="1" hidden="1" x14ac:dyDescent="0.3">
      <c r="A637" s="48" t="s">
        <v>47</v>
      </c>
      <c r="B637" s="48" t="s">
        <v>988</v>
      </c>
      <c r="C637" s="48" t="s">
        <v>989</v>
      </c>
      <c r="D637" s="48">
        <v>5523599280</v>
      </c>
      <c r="E637" s="48">
        <v>351610</v>
      </c>
      <c r="F637" s="88">
        <v>1818</v>
      </c>
      <c r="G637" s="50">
        <v>46066</v>
      </c>
    </row>
    <row r="638" spans="1:7" hidden="1" x14ac:dyDescent="0.3">
      <c r="A638" s="44" t="s">
        <v>47</v>
      </c>
      <c r="B638" s="44" t="s">
        <v>120</v>
      </c>
      <c r="C638" s="44" t="str">
        <f>IFERROR(VLOOKUP(B638,Base2026!A:C,2,FALSE),"")</f>
        <v>URBANA IXHUATEPEC</v>
      </c>
      <c r="D638" s="44">
        <f>IFERROR(VLOOKUP(C640,Base2026!B:D,2,FALSE),"")</f>
        <v>5529849094</v>
      </c>
      <c r="E638" s="44">
        <v>351667</v>
      </c>
      <c r="F638" s="87">
        <v>5246.96</v>
      </c>
      <c r="G638" s="46">
        <v>46066</v>
      </c>
    </row>
    <row r="639" spans="1:7" s="48" customFormat="1" hidden="1" x14ac:dyDescent="0.3">
      <c r="A639" s="44" t="s">
        <v>47</v>
      </c>
      <c r="B639" s="44" t="s">
        <v>990</v>
      </c>
      <c r="C639" s="44" t="s">
        <v>991</v>
      </c>
      <c r="D639" s="44">
        <v>5561088792</v>
      </c>
      <c r="E639" s="44">
        <v>351601</v>
      </c>
      <c r="F639" s="87">
        <v>11998.3</v>
      </c>
      <c r="G639" s="46">
        <v>46066</v>
      </c>
    </row>
    <row r="640" spans="1:7" hidden="1" x14ac:dyDescent="0.3">
      <c r="A640" s="44" t="s">
        <v>47</v>
      </c>
      <c r="B640" s="44" t="s">
        <v>967</v>
      </c>
      <c r="C640" s="44" t="s">
        <v>187</v>
      </c>
      <c r="D640" s="44">
        <v>5565353762</v>
      </c>
      <c r="E640" s="44">
        <v>183838</v>
      </c>
      <c r="F640" s="87">
        <v>8147.44</v>
      </c>
      <c r="G640" s="46">
        <v>46066</v>
      </c>
    </row>
    <row r="641" spans="1:7" s="48" customFormat="1" hidden="1" x14ac:dyDescent="0.3">
      <c r="A641" s="48" t="s">
        <v>47</v>
      </c>
      <c r="B641" s="48" t="s">
        <v>993</v>
      </c>
      <c r="C641" s="48" t="s">
        <v>356</v>
      </c>
      <c r="D641" s="48">
        <v>58532353859</v>
      </c>
      <c r="E641" s="48">
        <v>297732</v>
      </c>
      <c r="F641" s="88">
        <v>3624.52</v>
      </c>
      <c r="G641" s="50">
        <v>46066</v>
      </c>
    </row>
    <row r="642" spans="1:7" hidden="1" x14ac:dyDescent="0.3">
      <c r="A642" s="44" t="s">
        <v>47</v>
      </c>
      <c r="B642" s="44" t="s">
        <v>120</v>
      </c>
      <c r="C642" s="44" t="str">
        <f>IFERROR(VLOOKUP(B642,Base2026!A:C,2,FALSE),"")</f>
        <v>URBANA IXHUATEPEC</v>
      </c>
      <c r="D642" s="80" t="s">
        <v>146</v>
      </c>
      <c r="E642" s="44">
        <v>298194</v>
      </c>
      <c r="F642" s="87">
        <v>2191.98</v>
      </c>
      <c r="G642" s="46">
        <v>46066</v>
      </c>
    </row>
    <row r="643" spans="1:7" s="48" customFormat="1" hidden="1" x14ac:dyDescent="0.3">
      <c r="A643" s="48" t="s">
        <v>17</v>
      </c>
      <c r="B643" s="48" t="s">
        <v>995</v>
      </c>
      <c r="C643" s="48" t="s">
        <v>345</v>
      </c>
      <c r="D643" s="48">
        <v>5530102648</v>
      </c>
      <c r="E643" s="48">
        <v>351618</v>
      </c>
      <c r="F643" s="88">
        <v>1808.56</v>
      </c>
      <c r="G643" s="50">
        <v>46066</v>
      </c>
    </row>
    <row r="644" spans="1:7" hidden="1" x14ac:dyDescent="0.3">
      <c r="A644" s="48" t="s">
        <v>17</v>
      </c>
      <c r="B644" s="48" t="s">
        <v>554</v>
      </c>
      <c r="C644" s="48" t="str">
        <f>IFERROR(VLOOKUP(B644,Base2026!A:C,2,FALSE),"")</f>
        <v>INDUSTRIAS ECATEPEC</v>
      </c>
      <c r="D644" s="48">
        <f>IFERROR(VLOOKUP(C644,Base2026!B:D,2,FALSE),"")</f>
        <v>5531441980</v>
      </c>
      <c r="E644" s="48">
        <v>183727</v>
      </c>
      <c r="F644" s="88">
        <v>1526.72</v>
      </c>
      <c r="G644" s="50">
        <v>46066</v>
      </c>
    </row>
    <row r="645" spans="1:7" s="48" customFormat="1" hidden="1" x14ac:dyDescent="0.3">
      <c r="A645" s="48" t="s">
        <v>17</v>
      </c>
      <c r="B645" s="48" t="s">
        <v>982</v>
      </c>
      <c r="C645" s="48" t="s">
        <v>996</v>
      </c>
      <c r="D645" s="48">
        <v>5536948844</v>
      </c>
      <c r="E645" s="48">
        <v>183785</v>
      </c>
      <c r="F645" s="88">
        <v>5583.99</v>
      </c>
      <c r="G645" s="50">
        <v>46066</v>
      </c>
    </row>
    <row r="646" spans="1:7" hidden="1" x14ac:dyDescent="0.3">
      <c r="A646" s="44" t="s">
        <v>17</v>
      </c>
      <c r="B646" s="44" t="s">
        <v>980</v>
      </c>
      <c r="C646" s="44" t="s">
        <v>218</v>
      </c>
      <c r="D646" s="44">
        <v>5538231213</v>
      </c>
      <c r="E646" s="44">
        <v>351772</v>
      </c>
      <c r="F646" s="87">
        <v>1950</v>
      </c>
      <c r="G646" s="46">
        <v>46066</v>
      </c>
    </row>
    <row r="647" spans="1:7" s="48" customFormat="1" hidden="1" x14ac:dyDescent="0.3">
      <c r="A647" s="48" t="s">
        <v>17</v>
      </c>
      <c r="B647" s="48" t="s">
        <v>448</v>
      </c>
      <c r="C647" s="48" t="s">
        <v>979</v>
      </c>
      <c r="D647" s="48">
        <v>5539511994</v>
      </c>
      <c r="E647" s="48">
        <v>297802</v>
      </c>
      <c r="F647" s="88">
        <v>5251</v>
      </c>
      <c r="G647" s="50">
        <v>46066</v>
      </c>
    </row>
    <row r="648" spans="1:7" hidden="1" x14ac:dyDescent="0.3">
      <c r="A648" s="44" t="s">
        <v>17</v>
      </c>
      <c r="B648" s="44" t="s">
        <v>981</v>
      </c>
      <c r="C648" s="44" t="s">
        <v>84</v>
      </c>
      <c r="D648" s="44">
        <v>5628221440</v>
      </c>
      <c r="E648" s="44">
        <v>184207</v>
      </c>
      <c r="F648" s="87">
        <v>4550</v>
      </c>
      <c r="G648" s="46">
        <v>46066</v>
      </c>
    </row>
    <row r="649" spans="1:7" s="48" customFormat="1" hidden="1" x14ac:dyDescent="0.3">
      <c r="A649" s="44" t="s">
        <v>17</v>
      </c>
      <c r="B649" s="44" t="s">
        <v>994</v>
      </c>
      <c r="C649" s="44" t="s">
        <v>43</v>
      </c>
      <c r="D649" s="44">
        <v>9613151107</v>
      </c>
      <c r="E649" s="44">
        <v>351781</v>
      </c>
      <c r="F649" s="87">
        <v>1300</v>
      </c>
      <c r="G649" s="46">
        <v>46066</v>
      </c>
    </row>
    <row r="650" spans="1:7" hidden="1" x14ac:dyDescent="0.3">
      <c r="A650" s="44" t="s">
        <v>983</v>
      </c>
      <c r="B650" s="44" t="s">
        <v>797</v>
      </c>
      <c r="C650" s="44" t="s">
        <v>923</v>
      </c>
      <c r="D650" s="44">
        <v>5540809412</v>
      </c>
      <c r="E650" s="44">
        <v>296699</v>
      </c>
      <c r="F650" s="87">
        <v>9680</v>
      </c>
      <c r="G650" s="46">
        <v>46066</v>
      </c>
    </row>
    <row r="651" spans="1:7" s="48" customFormat="1" hidden="1" x14ac:dyDescent="0.3">
      <c r="A651" s="48" t="s">
        <v>983</v>
      </c>
      <c r="B651" s="44" t="s">
        <v>797</v>
      </c>
      <c r="C651" s="48" t="s">
        <v>923</v>
      </c>
      <c r="D651" s="44">
        <v>5540809412</v>
      </c>
      <c r="E651" s="48">
        <v>296700</v>
      </c>
      <c r="F651" s="88">
        <v>24136.14</v>
      </c>
      <c r="G651" s="50">
        <v>46066</v>
      </c>
    </row>
    <row r="652" spans="1:7" hidden="1" x14ac:dyDescent="0.3">
      <c r="A652" s="44" t="s">
        <v>983</v>
      </c>
      <c r="B652" s="44" t="s">
        <v>797</v>
      </c>
      <c r="C652" s="44" t="s">
        <v>923</v>
      </c>
      <c r="D652" s="44">
        <v>5540809412</v>
      </c>
      <c r="E652" s="44">
        <v>296701</v>
      </c>
      <c r="F652" s="87">
        <v>13836.98</v>
      </c>
      <c r="G652" s="46">
        <v>46066</v>
      </c>
    </row>
    <row r="653" spans="1:7" s="48" customFormat="1" hidden="1" x14ac:dyDescent="0.3">
      <c r="A653" s="48" t="s">
        <v>983</v>
      </c>
      <c r="B653" s="48" t="s">
        <v>797</v>
      </c>
      <c r="C653" s="48" t="s">
        <v>923</v>
      </c>
      <c r="D653" s="44">
        <v>5540809412</v>
      </c>
      <c r="E653" s="48">
        <v>296702</v>
      </c>
      <c r="F653" s="88">
        <v>13078.98</v>
      </c>
      <c r="G653" s="50">
        <v>46066</v>
      </c>
    </row>
    <row r="654" spans="1:7" hidden="1" x14ac:dyDescent="0.3">
      <c r="A654" s="44" t="s">
        <v>983</v>
      </c>
      <c r="B654" s="48" t="s">
        <v>797</v>
      </c>
      <c r="C654" s="44" t="s">
        <v>923</v>
      </c>
      <c r="D654" s="44">
        <v>5540809412</v>
      </c>
      <c r="E654" s="44">
        <v>296703</v>
      </c>
      <c r="F654" s="87">
        <v>17678.98</v>
      </c>
      <c r="G654" s="46">
        <v>46066</v>
      </c>
    </row>
    <row r="655" spans="1:7" s="48" customFormat="1" hidden="1" x14ac:dyDescent="0.3">
      <c r="A655" s="48" t="s">
        <v>983</v>
      </c>
      <c r="B655" s="48" t="s">
        <v>797</v>
      </c>
      <c r="C655" s="48" t="s">
        <v>923</v>
      </c>
      <c r="D655" s="44">
        <v>5540809412</v>
      </c>
      <c r="E655" s="48">
        <v>296704</v>
      </c>
      <c r="F655" s="88">
        <v>13526.98</v>
      </c>
      <c r="G655" s="50">
        <v>46066</v>
      </c>
    </row>
    <row r="656" spans="1:7" hidden="1" x14ac:dyDescent="0.3">
      <c r="A656" s="44" t="s">
        <v>47</v>
      </c>
      <c r="B656" s="44" t="s">
        <v>1012</v>
      </c>
      <c r="C656" s="44" t="s">
        <v>72</v>
      </c>
      <c r="D656" s="44">
        <f>IFERROR(VLOOKUP(C656,Base2026!B:D,2,FALSE),"")</f>
        <v>5532346493</v>
      </c>
      <c r="E656" s="44">
        <v>298169</v>
      </c>
      <c r="F656" s="87">
        <v>1300</v>
      </c>
      <c r="G656" s="46">
        <v>46067</v>
      </c>
    </row>
    <row r="657" spans="1:7" s="51" customFormat="1" hidden="1" x14ac:dyDescent="0.3">
      <c r="A657" s="51" t="s">
        <v>47</v>
      </c>
      <c r="B657" s="51" t="s">
        <v>987</v>
      </c>
      <c r="C657" s="51" t="s">
        <v>1013</v>
      </c>
      <c r="D657" s="51">
        <v>5535192160</v>
      </c>
      <c r="E657" s="51">
        <v>351666</v>
      </c>
      <c r="F657" s="68">
        <v>8480</v>
      </c>
      <c r="G657" s="52">
        <v>46067</v>
      </c>
    </row>
    <row r="658" spans="1:7" hidden="1" x14ac:dyDescent="0.3">
      <c r="A658" s="51" t="s">
        <v>47</v>
      </c>
      <c r="B658" s="51" t="s">
        <v>1010</v>
      </c>
      <c r="C658" s="51" t="s">
        <v>1011</v>
      </c>
      <c r="D658" s="51">
        <v>5542058607</v>
      </c>
      <c r="E658" s="51">
        <v>298160</v>
      </c>
      <c r="F658" s="68">
        <v>4204</v>
      </c>
      <c r="G658" s="52">
        <v>46067</v>
      </c>
    </row>
    <row r="659" spans="1:7" s="51" customFormat="1" hidden="1" x14ac:dyDescent="0.3">
      <c r="A659" s="44" t="s">
        <v>47</v>
      </c>
      <c r="B659" s="44" t="s">
        <v>1008</v>
      </c>
      <c r="C659" s="44" t="s">
        <v>1009</v>
      </c>
      <c r="D659" s="44">
        <v>5543829570</v>
      </c>
      <c r="E659" s="44">
        <v>183988</v>
      </c>
      <c r="F659" s="87">
        <v>4395</v>
      </c>
      <c r="G659" s="46">
        <v>46067</v>
      </c>
    </row>
    <row r="660" spans="1:7" hidden="1" x14ac:dyDescent="0.3">
      <c r="A660" s="51" t="s">
        <v>47</v>
      </c>
      <c r="B660" s="51" t="s">
        <v>523</v>
      </c>
      <c r="C660" s="51" t="str">
        <f>IFERROR(VLOOKUP(B660,Base2026!A:C,2,FALSE),"")</f>
        <v>SAGITARIO</v>
      </c>
      <c r="D660" s="51">
        <f>IFERROR(VLOOKUP(C660,Base2026!B:D,2,FALSE),"")</f>
        <v>5610186288</v>
      </c>
      <c r="E660" s="51">
        <v>352057</v>
      </c>
      <c r="F660" s="68">
        <v>16625</v>
      </c>
      <c r="G660" s="52">
        <v>46067</v>
      </c>
    </row>
    <row r="661" spans="1:7" s="51" customFormat="1" hidden="1" x14ac:dyDescent="0.3">
      <c r="A661" s="44" t="s">
        <v>10</v>
      </c>
      <c r="B661" s="44" t="s">
        <v>322</v>
      </c>
      <c r="C661" s="44" t="s">
        <v>1007</v>
      </c>
      <c r="D661" s="44">
        <v>5561624080</v>
      </c>
      <c r="E661" s="44">
        <v>352010</v>
      </c>
      <c r="F661" s="87">
        <v>1012.01</v>
      </c>
      <c r="G661" s="46">
        <v>46067</v>
      </c>
    </row>
    <row r="662" spans="1:7" hidden="1" x14ac:dyDescent="0.3">
      <c r="A662" s="51" t="s">
        <v>10</v>
      </c>
      <c r="B662" s="51" t="s">
        <v>322</v>
      </c>
      <c r="C662" s="51" t="s">
        <v>1007</v>
      </c>
      <c r="D662" s="51">
        <v>5561624081</v>
      </c>
      <c r="E662" s="51">
        <v>352009</v>
      </c>
      <c r="F662" s="68">
        <v>3108</v>
      </c>
      <c r="G662" s="52">
        <v>46067</v>
      </c>
    </row>
    <row r="663" spans="1:7" s="51" customFormat="1" hidden="1" x14ac:dyDescent="0.3">
      <c r="A663" s="44" t="s">
        <v>10</v>
      </c>
      <c r="B663" s="44" t="s">
        <v>1005</v>
      </c>
      <c r="C663" s="44" t="s">
        <v>1006</v>
      </c>
      <c r="D663" s="44">
        <v>5572362154</v>
      </c>
      <c r="E663" s="44">
        <v>351306</v>
      </c>
      <c r="F663" s="87">
        <v>16428.16</v>
      </c>
      <c r="G663" s="46">
        <v>46067</v>
      </c>
    </row>
    <row r="664" spans="1:7" hidden="1" x14ac:dyDescent="0.3">
      <c r="A664" s="44" t="s">
        <v>10</v>
      </c>
      <c r="B664" s="44" t="s">
        <v>1002</v>
      </c>
      <c r="C664" s="44" t="s">
        <v>1003</v>
      </c>
      <c r="D664" s="44">
        <v>5610906097</v>
      </c>
      <c r="E664" s="44">
        <v>352012</v>
      </c>
      <c r="F664" s="87">
        <v>1950</v>
      </c>
      <c r="G664" s="46">
        <v>46067</v>
      </c>
    </row>
    <row r="665" spans="1:7" s="51" customFormat="1" hidden="1" x14ac:dyDescent="0.3">
      <c r="A665" s="51" t="s">
        <v>10</v>
      </c>
      <c r="B665" s="51" t="s">
        <v>1004</v>
      </c>
      <c r="C665" s="51" t="s">
        <v>32</v>
      </c>
      <c r="D665" s="51">
        <v>5613197893</v>
      </c>
      <c r="E665" s="51">
        <v>184497</v>
      </c>
      <c r="F665" s="68">
        <v>8650</v>
      </c>
      <c r="G665" s="52">
        <v>46067</v>
      </c>
    </row>
    <row r="666" spans="1:7" hidden="1" x14ac:dyDescent="0.3">
      <c r="A666" s="44" t="s">
        <v>11</v>
      </c>
      <c r="B666" s="44" t="s">
        <v>998</v>
      </c>
      <c r="C666" s="44" t="s">
        <v>41</v>
      </c>
      <c r="D666" s="44">
        <v>5518666206</v>
      </c>
      <c r="E666" s="44">
        <v>182718</v>
      </c>
      <c r="F666" s="87">
        <v>19796.97</v>
      </c>
      <c r="G666" s="46">
        <v>46067</v>
      </c>
    </row>
    <row r="667" spans="1:7" s="51" customFormat="1" hidden="1" x14ac:dyDescent="0.3">
      <c r="A667" s="51" t="s">
        <v>11</v>
      </c>
      <c r="B667" s="51" t="s">
        <v>998</v>
      </c>
      <c r="C667" s="51" t="s">
        <v>41</v>
      </c>
      <c r="D667" s="51">
        <v>5518666207</v>
      </c>
      <c r="E667" s="51">
        <v>183519</v>
      </c>
      <c r="F667" s="68">
        <v>8808.98</v>
      </c>
      <c r="G667" s="52">
        <v>46067</v>
      </c>
    </row>
    <row r="668" spans="1:7" hidden="1" x14ac:dyDescent="0.3">
      <c r="A668" s="51" t="s">
        <v>11</v>
      </c>
      <c r="B668" s="51" t="s">
        <v>997</v>
      </c>
      <c r="C668" s="51" t="s">
        <v>957</v>
      </c>
      <c r="D668" s="51">
        <v>5636472593</v>
      </c>
      <c r="E668" s="51">
        <v>183411</v>
      </c>
      <c r="F668" s="68">
        <v>13562.72</v>
      </c>
      <c r="G668" s="52">
        <v>46067</v>
      </c>
    </row>
    <row r="669" spans="1:7" s="51" customFormat="1" hidden="1" x14ac:dyDescent="0.3">
      <c r="A669" s="51" t="s">
        <v>1001</v>
      </c>
      <c r="B669" s="51" t="s">
        <v>62</v>
      </c>
      <c r="C669" s="51" t="s">
        <v>712</v>
      </c>
      <c r="D669" s="51">
        <v>5362471583</v>
      </c>
      <c r="E669" s="51">
        <v>183960</v>
      </c>
      <c r="F669" s="68">
        <v>1289.29</v>
      </c>
      <c r="G669" s="52">
        <v>46067</v>
      </c>
    </row>
    <row r="670" spans="1:7" hidden="1" x14ac:dyDescent="0.3">
      <c r="A670" s="51" t="s">
        <v>1001</v>
      </c>
      <c r="B670" s="51" t="s">
        <v>984</v>
      </c>
      <c r="C670" s="51" t="s">
        <v>301</v>
      </c>
      <c r="D670" s="51">
        <v>5534561371</v>
      </c>
      <c r="E670" s="51">
        <v>183737</v>
      </c>
      <c r="F670" s="68">
        <v>2802.01</v>
      </c>
      <c r="G670" s="52">
        <v>46067</v>
      </c>
    </row>
    <row r="671" spans="1:7" s="51" customFormat="1" hidden="1" x14ac:dyDescent="0.3">
      <c r="A671" s="44" t="s">
        <v>1001</v>
      </c>
      <c r="B671" s="44" t="s">
        <v>986</v>
      </c>
      <c r="C671" s="44" t="s">
        <v>661</v>
      </c>
      <c r="D671" s="44">
        <v>5536711887</v>
      </c>
      <c r="E671" s="44">
        <v>183940</v>
      </c>
      <c r="F671" s="87">
        <v>1396</v>
      </c>
      <c r="G671" s="46">
        <v>46067</v>
      </c>
    </row>
    <row r="672" spans="1:7" hidden="1" x14ac:dyDescent="0.3">
      <c r="A672" s="44" t="s">
        <v>1001</v>
      </c>
      <c r="B672" s="44" t="s">
        <v>673</v>
      </c>
      <c r="C672" s="44" t="str">
        <f>IFERROR(VLOOKUP(B672,Base2026!A:C,2,FALSE),"")</f>
        <v>NVA TENOCHTITLAN</v>
      </c>
      <c r="D672" s="44">
        <f>IFERROR(VLOOKUP(C672,Base2026!B:D,2,FALSE),"")</f>
        <v>5563285106</v>
      </c>
      <c r="E672" s="44">
        <v>184501</v>
      </c>
      <c r="F672" s="87">
        <v>5740</v>
      </c>
      <c r="G672" s="46">
        <v>46067</v>
      </c>
    </row>
    <row r="673" spans="1:7" s="51" customFormat="1" hidden="1" x14ac:dyDescent="0.3">
      <c r="A673" s="48" t="s">
        <v>47</v>
      </c>
      <c r="B673" s="48" t="s">
        <v>1014</v>
      </c>
      <c r="C673" s="48" t="s">
        <v>280</v>
      </c>
      <c r="D673" s="48">
        <v>5513656850</v>
      </c>
      <c r="E673" s="48">
        <v>301699</v>
      </c>
      <c r="F673" s="88">
        <v>1117</v>
      </c>
      <c r="G673" s="50">
        <v>46069</v>
      </c>
    </row>
    <row r="674" spans="1:7" hidden="1" x14ac:dyDescent="0.3">
      <c r="A674" s="44" t="s">
        <v>47</v>
      </c>
      <c r="B674" s="44" t="s">
        <v>1014</v>
      </c>
      <c r="C674" s="44" t="s">
        <v>280</v>
      </c>
      <c r="D674" s="44">
        <v>5513656850</v>
      </c>
      <c r="E674" s="44">
        <v>351941</v>
      </c>
      <c r="F674" s="87">
        <v>2709</v>
      </c>
      <c r="G674" s="46">
        <v>46069</v>
      </c>
    </row>
    <row r="675" spans="1:7" s="48" customFormat="1" hidden="1" x14ac:dyDescent="0.3">
      <c r="A675" s="48" t="s">
        <v>47</v>
      </c>
      <c r="B675" s="48" t="s">
        <v>1015</v>
      </c>
      <c r="C675" s="48" t="s">
        <v>84</v>
      </c>
      <c r="D675" s="48">
        <v>5515407294</v>
      </c>
      <c r="E675" s="48">
        <v>184284</v>
      </c>
      <c r="F675" s="88">
        <v>7332.6</v>
      </c>
      <c r="G675" s="50">
        <v>46069</v>
      </c>
    </row>
    <row r="676" spans="1:7" hidden="1" x14ac:dyDescent="0.3">
      <c r="A676" s="44" t="s">
        <v>47</v>
      </c>
      <c r="B676" s="44" t="s">
        <v>1016</v>
      </c>
      <c r="C676" s="44" t="s">
        <v>1017</v>
      </c>
      <c r="D676" s="44">
        <v>5516443874</v>
      </c>
      <c r="E676" s="44">
        <v>297735</v>
      </c>
      <c r="F676" s="87">
        <v>31674.99</v>
      </c>
      <c r="G676" s="46">
        <v>46069</v>
      </c>
    </row>
    <row r="677" spans="1:7" s="48" customFormat="1" hidden="1" x14ac:dyDescent="0.3">
      <c r="A677" s="48" t="s">
        <v>47</v>
      </c>
      <c r="B677" s="48" t="s">
        <v>1016</v>
      </c>
      <c r="C677" s="48" t="s">
        <v>1017</v>
      </c>
      <c r="D677" s="48">
        <v>5516443874</v>
      </c>
      <c r="E677" s="48">
        <v>297636</v>
      </c>
      <c r="F677" s="88">
        <v>2561</v>
      </c>
      <c r="G677" s="50">
        <v>46069</v>
      </c>
    </row>
    <row r="678" spans="1:7" hidden="1" x14ac:dyDescent="0.3">
      <c r="A678" s="44" t="s">
        <v>47</v>
      </c>
      <c r="B678" s="44" t="s">
        <v>217</v>
      </c>
      <c r="C678" s="44" t="s">
        <v>218</v>
      </c>
      <c r="D678" s="44">
        <v>5521745267</v>
      </c>
      <c r="E678" s="44">
        <v>182299</v>
      </c>
      <c r="F678" s="87">
        <v>2228</v>
      </c>
      <c r="G678" s="46">
        <v>46069</v>
      </c>
    </row>
    <row r="679" spans="1:7" s="48" customFormat="1" hidden="1" x14ac:dyDescent="0.3">
      <c r="A679" s="44" t="s">
        <v>47</v>
      </c>
      <c r="B679" s="44" t="s">
        <v>7</v>
      </c>
      <c r="C679" s="44" t="s">
        <v>30</v>
      </c>
      <c r="D679" s="44">
        <f>IFERROR(VLOOKUP(C679,Base2026!B:D,2,FALSE),"")</f>
        <v>5545758293</v>
      </c>
      <c r="E679" s="44">
        <v>297823</v>
      </c>
      <c r="F679" s="87">
        <v>8945.44</v>
      </c>
      <c r="G679" s="46">
        <v>46069</v>
      </c>
    </row>
    <row r="680" spans="1:7" hidden="1" x14ac:dyDescent="0.3">
      <c r="A680" s="48" t="s">
        <v>47</v>
      </c>
      <c r="B680" s="48" t="s">
        <v>7</v>
      </c>
      <c r="C680" s="48" t="s">
        <v>30</v>
      </c>
      <c r="D680" s="48">
        <f>IFERROR(VLOOKUP(C680,Base2026!B:D,2,FALSE),"")</f>
        <v>5545758293</v>
      </c>
      <c r="E680" s="48">
        <v>298250</v>
      </c>
      <c r="F680" s="88">
        <v>1112.99</v>
      </c>
      <c r="G680" s="50">
        <v>46069</v>
      </c>
    </row>
    <row r="681" spans="1:7" s="48" customFormat="1" hidden="1" x14ac:dyDescent="0.3">
      <c r="A681" s="48" t="s">
        <v>10</v>
      </c>
      <c r="B681" s="48" t="s">
        <v>1018</v>
      </c>
      <c r="C681" s="48" t="s">
        <v>88</v>
      </c>
      <c r="D681" s="48">
        <v>5529011333</v>
      </c>
      <c r="E681" s="48">
        <v>184742</v>
      </c>
      <c r="F681" s="88">
        <v>595</v>
      </c>
      <c r="G681" s="50">
        <v>46069</v>
      </c>
    </row>
    <row r="682" spans="1:7" hidden="1" x14ac:dyDescent="0.3">
      <c r="A682" s="44" t="s">
        <v>10</v>
      </c>
      <c r="B682" s="44" t="s">
        <v>1019</v>
      </c>
      <c r="C682" s="44" t="s">
        <v>1020</v>
      </c>
      <c r="D682" s="44">
        <v>5534704647</v>
      </c>
      <c r="E682" s="44">
        <v>297136</v>
      </c>
      <c r="F682" s="87">
        <v>22271.7</v>
      </c>
      <c r="G682" s="46">
        <v>46069</v>
      </c>
    </row>
    <row r="683" spans="1:7" s="48" customFormat="1" hidden="1" x14ac:dyDescent="0.3">
      <c r="A683" s="44" t="s">
        <v>10</v>
      </c>
      <c r="B683" s="44" t="s">
        <v>136</v>
      </c>
      <c r="C683" s="44" t="str">
        <f>IFERROR(VLOOKUP(B683,Base2026!A:C,2,FALSE),"")</f>
        <v>LA PALMA</v>
      </c>
      <c r="D683" s="44">
        <f>IFERROR(VLOOKUP(C683,Base2026!B:D,2,FALSE),"")</f>
        <v>5550543681</v>
      </c>
      <c r="E683" s="44">
        <v>184727</v>
      </c>
      <c r="F683" s="87">
        <v>850</v>
      </c>
      <c r="G683" s="46">
        <v>46069</v>
      </c>
    </row>
    <row r="684" spans="1:7" hidden="1" x14ac:dyDescent="0.3">
      <c r="A684" s="48" t="s">
        <v>10</v>
      </c>
      <c r="B684" s="48" t="s">
        <v>136</v>
      </c>
      <c r="C684" s="48" t="str">
        <f>IFERROR(VLOOKUP(B684,Base2026!A:C,2,FALSE),"")</f>
        <v>LA PALMA</v>
      </c>
      <c r="D684" s="48">
        <f>IFERROR(VLOOKUP(C684,Base2026!B:D,2,FALSE),"")</f>
        <v>5550543681</v>
      </c>
      <c r="E684" s="48">
        <v>184728</v>
      </c>
      <c r="F684" s="88">
        <v>2550</v>
      </c>
      <c r="G684" s="50">
        <v>46069</v>
      </c>
    </row>
    <row r="685" spans="1:7" s="48" customFormat="1" hidden="1" x14ac:dyDescent="0.3">
      <c r="A685" s="44" t="s">
        <v>10</v>
      </c>
      <c r="B685" s="44" t="s">
        <v>136</v>
      </c>
      <c r="C685" s="44" t="str">
        <f>IFERROR(VLOOKUP(B685,Base2026!A:C,2,FALSE),"")</f>
        <v>LA PALMA</v>
      </c>
      <c r="D685" s="44">
        <f>IFERROR(VLOOKUP(C685,Base2026!B:D,2,FALSE),"")</f>
        <v>5550543681</v>
      </c>
      <c r="E685" s="44">
        <v>184729</v>
      </c>
      <c r="F685" s="87">
        <v>5950</v>
      </c>
      <c r="G685" s="46">
        <v>46069</v>
      </c>
    </row>
    <row r="686" spans="1:7" hidden="1" x14ac:dyDescent="0.3">
      <c r="A686" s="44" t="s">
        <v>17</v>
      </c>
      <c r="B686" s="44" t="s">
        <v>985</v>
      </c>
      <c r="C686" s="44" t="s">
        <v>503</v>
      </c>
      <c r="D686" s="44">
        <v>56148950</v>
      </c>
      <c r="E686" s="44">
        <v>298152</v>
      </c>
      <c r="F686" s="87">
        <v>41599</v>
      </c>
      <c r="G686" s="46">
        <v>46069</v>
      </c>
    </row>
    <row r="687" spans="1:7" s="48" customFormat="1" hidden="1" x14ac:dyDescent="0.3">
      <c r="A687" s="48" t="s">
        <v>17</v>
      </c>
      <c r="B687" s="48" t="s">
        <v>1029</v>
      </c>
      <c r="C687" s="48" t="s">
        <v>712</v>
      </c>
      <c r="D687" s="48">
        <v>5514368855</v>
      </c>
      <c r="E687" s="48">
        <v>184138</v>
      </c>
      <c r="F687" s="88">
        <v>7798.35</v>
      </c>
      <c r="G687" s="50">
        <v>46069</v>
      </c>
    </row>
    <row r="688" spans="1:7" hidden="1" x14ac:dyDescent="0.3">
      <c r="A688" s="48" t="s">
        <v>17</v>
      </c>
      <c r="B688" s="48" t="s">
        <v>1023</v>
      </c>
      <c r="C688" s="48" t="s">
        <v>806</v>
      </c>
      <c r="D688" s="48">
        <v>5537296784</v>
      </c>
      <c r="E688" s="48">
        <v>341748</v>
      </c>
      <c r="F688" s="88">
        <v>4813.92</v>
      </c>
      <c r="G688" s="50">
        <v>46069</v>
      </c>
    </row>
    <row r="689" spans="1:7" s="48" customFormat="1" hidden="1" x14ac:dyDescent="0.3">
      <c r="A689" s="48" t="s">
        <v>17</v>
      </c>
      <c r="B689" s="48" t="s">
        <v>1024</v>
      </c>
      <c r="C689" s="48" t="s">
        <v>123</v>
      </c>
      <c r="D689" s="48">
        <v>5537335990</v>
      </c>
      <c r="E689" s="48">
        <v>184579</v>
      </c>
      <c r="F689" s="88">
        <v>836</v>
      </c>
      <c r="G689" s="50">
        <v>46069</v>
      </c>
    </row>
    <row r="690" spans="1:7" hidden="1" x14ac:dyDescent="0.3">
      <c r="A690" s="44" t="s">
        <v>17</v>
      </c>
      <c r="B690" s="44" t="s">
        <v>999</v>
      </c>
      <c r="C690" s="44" t="s">
        <v>1000</v>
      </c>
      <c r="D690" s="44">
        <v>5540522764</v>
      </c>
      <c r="E690" s="44">
        <v>184535</v>
      </c>
      <c r="F690" s="87">
        <v>610</v>
      </c>
      <c r="G690" s="46">
        <v>46069</v>
      </c>
    </row>
    <row r="691" spans="1:7" s="48" customFormat="1" hidden="1" x14ac:dyDescent="0.3">
      <c r="A691" s="44" t="s">
        <v>17</v>
      </c>
      <c r="B691" s="44" t="s">
        <v>1022</v>
      </c>
      <c r="C691" s="44" t="s">
        <v>806</v>
      </c>
      <c r="D691" s="44">
        <v>5548305931</v>
      </c>
      <c r="E691" s="44">
        <v>297405</v>
      </c>
      <c r="F691" s="87">
        <v>21513.119999999999</v>
      </c>
      <c r="G691" s="46">
        <v>46069</v>
      </c>
    </row>
    <row r="692" spans="1:7" hidden="1" x14ac:dyDescent="0.3">
      <c r="A692" s="48" t="s">
        <v>17</v>
      </c>
      <c r="B692" s="48" t="s">
        <v>1022</v>
      </c>
      <c r="C692" s="48" t="s">
        <v>806</v>
      </c>
      <c r="D692" s="48">
        <v>5548305931</v>
      </c>
      <c r="E692" s="48">
        <v>297407</v>
      </c>
      <c r="F692" s="88">
        <v>1800</v>
      </c>
      <c r="G692" s="50">
        <v>46069</v>
      </c>
    </row>
    <row r="693" spans="1:7" s="48" customFormat="1" hidden="1" x14ac:dyDescent="0.3">
      <c r="A693" s="44" t="s">
        <v>17</v>
      </c>
      <c r="B693" s="44" t="s">
        <v>1022</v>
      </c>
      <c r="C693" s="44" t="s">
        <v>806</v>
      </c>
      <c r="D693" s="44">
        <v>5548305931</v>
      </c>
      <c r="E693" s="44">
        <v>297406</v>
      </c>
      <c r="F693" s="87">
        <v>1800</v>
      </c>
      <c r="G693" s="46">
        <v>46069</v>
      </c>
    </row>
    <row r="694" spans="1:7" hidden="1" x14ac:dyDescent="0.3">
      <c r="A694" s="44" t="s">
        <v>17</v>
      </c>
      <c r="B694" s="44" t="s">
        <v>1028</v>
      </c>
      <c r="C694" s="44" t="s">
        <v>572</v>
      </c>
      <c r="D694" s="44">
        <f>IFERROR(VLOOKUP(C694,Base2026!B:D,2,FALSE),"")</f>
        <v>5574395989</v>
      </c>
      <c r="E694" s="44">
        <v>298264</v>
      </c>
      <c r="F694" s="87">
        <v>1950</v>
      </c>
      <c r="G694" s="46">
        <v>46069</v>
      </c>
    </row>
    <row r="695" spans="1:7" s="48" customFormat="1" hidden="1" x14ac:dyDescent="0.3">
      <c r="A695" s="48" t="s">
        <v>17</v>
      </c>
      <c r="B695" s="49" t="s">
        <v>1025</v>
      </c>
      <c r="C695" s="48" t="s">
        <v>301</v>
      </c>
      <c r="D695" s="48">
        <v>5579210405</v>
      </c>
      <c r="E695" s="48">
        <v>352145</v>
      </c>
      <c r="F695" s="88">
        <v>4802</v>
      </c>
      <c r="G695" s="50">
        <v>46069</v>
      </c>
    </row>
    <row r="696" spans="1:7" hidden="1" x14ac:dyDescent="0.3">
      <c r="A696" s="48" t="s">
        <v>17</v>
      </c>
      <c r="B696" s="48" t="s">
        <v>1021</v>
      </c>
      <c r="C696" s="48" t="s">
        <v>115</v>
      </c>
      <c r="D696" s="48">
        <f>IFERROR(VLOOKUP(C696,Base2026!B:D,2,FALSE),"")</f>
        <v>5638291782</v>
      </c>
      <c r="E696" s="48">
        <v>184820</v>
      </c>
      <c r="F696" s="88">
        <v>2347</v>
      </c>
      <c r="G696" s="50">
        <v>46069</v>
      </c>
    </row>
    <row r="697" spans="1:7" s="48" customFormat="1" hidden="1" x14ac:dyDescent="0.3">
      <c r="A697" s="44" t="s">
        <v>17</v>
      </c>
      <c r="B697" s="44" t="s">
        <v>1026</v>
      </c>
      <c r="C697" s="44" t="s">
        <v>1027</v>
      </c>
      <c r="D697" s="44">
        <v>55463746429</v>
      </c>
      <c r="E697" s="44">
        <v>298290</v>
      </c>
      <c r="F697" s="87">
        <v>13545.99</v>
      </c>
      <c r="G697" s="46">
        <v>46069</v>
      </c>
    </row>
    <row r="698" spans="1:7" hidden="1" x14ac:dyDescent="0.3">
      <c r="A698" s="44" t="s">
        <v>11</v>
      </c>
      <c r="B698" s="44" t="s">
        <v>610</v>
      </c>
      <c r="C698" s="44" t="s">
        <v>1030</v>
      </c>
      <c r="D698" s="44">
        <v>5536695063</v>
      </c>
      <c r="E698" s="44">
        <v>298138</v>
      </c>
      <c r="F698" s="87">
        <v>42603.11</v>
      </c>
      <c r="G698" s="46">
        <v>46069</v>
      </c>
    </row>
    <row r="699" spans="1:7" s="48" customFormat="1" hidden="1" x14ac:dyDescent="0.3">
      <c r="A699" s="48" t="s">
        <v>11</v>
      </c>
      <c r="B699" s="48" t="s">
        <v>709</v>
      </c>
      <c r="C699" s="48" t="str">
        <f>IFERROR(VLOOKUP(B699,Base2026!A:C,2,FALSE),"")</f>
        <v>TERMOELECTRICA</v>
      </c>
      <c r="D699" s="44">
        <v>5578854795</v>
      </c>
      <c r="E699" s="48">
        <v>1670</v>
      </c>
      <c r="F699" s="88">
        <v>66704.7</v>
      </c>
      <c r="G699" s="50">
        <v>46069</v>
      </c>
    </row>
    <row r="700" spans="1:7" hidden="1" x14ac:dyDescent="0.3">
      <c r="A700" s="44" t="s">
        <v>47</v>
      </c>
      <c r="B700" s="44" t="s">
        <v>275</v>
      </c>
      <c r="C700" s="44" t="str">
        <f>IFERROR(VLOOKUP(B700,Base2026!A:C,2,FALSE),"")</f>
        <v>CODICE MENDOCINO</v>
      </c>
      <c r="D700" s="44">
        <f>IFERROR(VLOOKUP(C700,Base2026!B:D,2,FALSE),"")</f>
        <v>5511246208</v>
      </c>
      <c r="E700" s="44">
        <v>351672</v>
      </c>
      <c r="F700" s="87">
        <v>6059.03</v>
      </c>
      <c r="G700" s="46">
        <v>46070</v>
      </c>
    </row>
    <row r="701" spans="1:7" s="51" customFormat="1" hidden="1" x14ac:dyDescent="0.3">
      <c r="A701" s="44" t="s">
        <v>47</v>
      </c>
      <c r="B701" s="44" t="s">
        <v>1033</v>
      </c>
      <c r="C701" s="44" t="s">
        <v>65</v>
      </c>
      <c r="D701" s="44">
        <v>5514067028</v>
      </c>
      <c r="E701" s="44">
        <v>351662</v>
      </c>
      <c r="F701" s="87">
        <v>10122</v>
      </c>
      <c r="G701" s="46">
        <v>46070</v>
      </c>
    </row>
    <row r="702" spans="1:7" hidden="1" x14ac:dyDescent="0.3">
      <c r="A702" s="51" t="s">
        <v>47</v>
      </c>
      <c r="B702" s="51" t="s">
        <v>1033</v>
      </c>
      <c r="C702" s="51" t="s">
        <v>65</v>
      </c>
      <c r="D702" s="51">
        <v>5514067028</v>
      </c>
      <c r="E702" s="51">
        <v>301658</v>
      </c>
      <c r="F702" s="68">
        <v>1480</v>
      </c>
      <c r="G702" s="52">
        <v>46070</v>
      </c>
    </row>
    <row r="703" spans="1:7" s="51" customFormat="1" hidden="1" x14ac:dyDescent="0.3">
      <c r="A703" s="44" t="s">
        <v>47</v>
      </c>
      <c r="B703" s="44" t="s">
        <v>549</v>
      </c>
      <c r="C703" s="44" t="str">
        <f>IFERROR(VLOOKUP(B703,Base2026!A:C,2,FALSE),"")</f>
        <v>BENITO JUAREZ NEZA</v>
      </c>
      <c r="D703" s="44">
        <f>IFERROR(VLOOKUP(C703,Base2026!B:D,2,FALSE),"")</f>
        <v>5580885800</v>
      </c>
      <c r="E703" s="44">
        <v>351839</v>
      </c>
      <c r="F703" s="87">
        <v>5637.77</v>
      </c>
      <c r="G703" s="46">
        <v>46070</v>
      </c>
    </row>
    <row r="704" spans="1:7" hidden="1" x14ac:dyDescent="0.3">
      <c r="A704" s="51" t="s">
        <v>47</v>
      </c>
      <c r="B704" s="51" t="s">
        <v>549</v>
      </c>
      <c r="C704" s="51" t="str">
        <f>IFERROR(VLOOKUP(B704,Base2026!A:C,2,FALSE),"")</f>
        <v>BENITO JUAREZ NEZA</v>
      </c>
      <c r="D704" s="51">
        <f>IFERROR(VLOOKUP(C704,Base2026!B:D,2,FALSE),"")</f>
        <v>5580885800</v>
      </c>
      <c r="E704" s="51">
        <v>351837</v>
      </c>
      <c r="F704" s="68">
        <v>1343</v>
      </c>
      <c r="G704" s="52">
        <v>46070</v>
      </c>
    </row>
    <row r="705" spans="1:7" s="51" customFormat="1" hidden="1" x14ac:dyDescent="0.3">
      <c r="A705" s="51" t="s">
        <v>47</v>
      </c>
      <c r="B705" s="51" t="s">
        <v>1032</v>
      </c>
      <c r="C705" s="51" t="s">
        <v>458</v>
      </c>
      <c r="D705" s="51">
        <f>IFERROR(VLOOKUP(C705,Base2026!B:D,2,FALSE),"")</f>
        <v>5610186288</v>
      </c>
      <c r="E705" s="51">
        <v>184870</v>
      </c>
      <c r="F705" s="68">
        <v>11748.02</v>
      </c>
      <c r="G705" s="52">
        <v>46070</v>
      </c>
    </row>
    <row r="706" spans="1:7" hidden="1" x14ac:dyDescent="0.3">
      <c r="A706" s="44" t="s">
        <v>47</v>
      </c>
      <c r="B706" s="44" t="s">
        <v>1034</v>
      </c>
      <c r="C706" s="44" t="s">
        <v>339</v>
      </c>
      <c r="D706" s="44">
        <v>5621208844</v>
      </c>
      <c r="E706" s="44">
        <v>184001</v>
      </c>
      <c r="F706" s="87">
        <v>12853.27</v>
      </c>
      <c r="G706" s="46">
        <v>46070</v>
      </c>
    </row>
    <row r="707" spans="1:7" s="51" customFormat="1" hidden="1" x14ac:dyDescent="0.3">
      <c r="A707" s="51" t="s">
        <v>10</v>
      </c>
      <c r="B707" s="51" t="s">
        <v>1019</v>
      </c>
      <c r="C707" s="51" t="s">
        <v>1020</v>
      </c>
      <c r="D707" s="51">
        <v>5534704647</v>
      </c>
      <c r="E707" s="51">
        <v>297135</v>
      </c>
      <c r="F707" s="68">
        <v>39945.660000000003</v>
      </c>
      <c r="G707" s="52">
        <v>46070</v>
      </c>
    </row>
    <row r="708" spans="1:7" hidden="1" x14ac:dyDescent="0.3">
      <c r="A708" s="44" t="s">
        <v>17</v>
      </c>
      <c r="B708" s="44" t="s">
        <v>1035</v>
      </c>
      <c r="C708" s="44" t="s">
        <v>798</v>
      </c>
      <c r="D708" s="44">
        <v>5515986862</v>
      </c>
      <c r="E708" s="44">
        <v>184908</v>
      </c>
      <c r="F708" s="87">
        <v>3300</v>
      </c>
      <c r="G708" s="46">
        <v>46070</v>
      </c>
    </row>
    <row r="709" spans="1:7" s="51" customFormat="1" hidden="1" x14ac:dyDescent="0.3">
      <c r="A709" s="51" t="s">
        <v>17</v>
      </c>
      <c r="B709" s="51" t="s">
        <v>1036</v>
      </c>
      <c r="C709" s="51" t="s">
        <v>74</v>
      </c>
      <c r="D709" s="51">
        <v>5522561987</v>
      </c>
      <c r="E709" s="51">
        <v>184933</v>
      </c>
      <c r="F709" s="68">
        <v>3611</v>
      </c>
      <c r="G709" s="52">
        <v>46070</v>
      </c>
    </row>
    <row r="710" spans="1:7" hidden="1" x14ac:dyDescent="0.3">
      <c r="A710" s="44" t="s">
        <v>17</v>
      </c>
      <c r="B710" s="44" t="s">
        <v>1037</v>
      </c>
      <c r="C710" s="44" t="s">
        <v>46</v>
      </c>
      <c r="D710" s="44">
        <v>5531399169</v>
      </c>
      <c r="E710" s="44">
        <v>184411</v>
      </c>
      <c r="F710" s="87">
        <v>3900</v>
      </c>
      <c r="G710" s="46">
        <v>46070</v>
      </c>
    </row>
    <row r="711" spans="1:7" s="51" customFormat="1" hidden="1" x14ac:dyDescent="0.3">
      <c r="A711" s="51" t="s">
        <v>17</v>
      </c>
      <c r="B711" s="51" t="s">
        <v>1039</v>
      </c>
      <c r="C711" s="51" t="s">
        <v>1040</v>
      </c>
      <c r="D711" s="51">
        <v>5540443958</v>
      </c>
      <c r="E711" s="51">
        <v>298327</v>
      </c>
      <c r="F711" s="68">
        <v>4775</v>
      </c>
      <c r="G711" s="52">
        <v>46070</v>
      </c>
    </row>
    <row r="712" spans="1:7" hidden="1" x14ac:dyDescent="0.3">
      <c r="A712" s="44" t="s">
        <v>17</v>
      </c>
      <c r="B712" s="44" t="s">
        <v>1041</v>
      </c>
      <c r="C712" s="44" t="s">
        <v>354</v>
      </c>
      <c r="D712" s="44">
        <v>5561759655</v>
      </c>
      <c r="E712" s="44">
        <v>297959</v>
      </c>
      <c r="F712" s="87">
        <v>3139.96</v>
      </c>
      <c r="G712" s="46">
        <v>46070</v>
      </c>
    </row>
    <row r="713" spans="1:7" s="51" customFormat="1" hidden="1" x14ac:dyDescent="0.3">
      <c r="A713" s="51" t="s">
        <v>17</v>
      </c>
      <c r="B713" s="51" t="s">
        <v>1038</v>
      </c>
      <c r="C713" s="51" t="s">
        <v>113</v>
      </c>
      <c r="D713" s="51">
        <v>5564492703</v>
      </c>
      <c r="E713" s="51">
        <v>33196</v>
      </c>
      <c r="F713" s="68">
        <v>1182</v>
      </c>
      <c r="G713" s="52">
        <v>46070</v>
      </c>
    </row>
    <row r="714" spans="1:7" hidden="1" x14ac:dyDescent="0.3">
      <c r="A714" s="44" t="s">
        <v>17</v>
      </c>
      <c r="B714" s="44" t="s">
        <v>1038</v>
      </c>
      <c r="C714" s="44" t="s">
        <v>113</v>
      </c>
      <c r="D714" s="44">
        <v>5564492703</v>
      </c>
      <c r="E714" s="44">
        <v>184184</v>
      </c>
      <c r="F714" s="87">
        <v>5068.99</v>
      </c>
      <c r="G714" s="46">
        <v>46070</v>
      </c>
    </row>
    <row r="715" spans="1:7" s="51" customFormat="1" hidden="1" x14ac:dyDescent="0.3">
      <c r="A715" s="51" t="s">
        <v>17</v>
      </c>
      <c r="B715" s="51" t="s">
        <v>685</v>
      </c>
      <c r="C715" s="51" t="str">
        <f>IFERROR(VLOOKUP(B715,Base2026!A:C,2,FALSE),"")</f>
        <v>PLAZAS DE ARAGON</v>
      </c>
      <c r="D715" s="51">
        <v>5573743760</v>
      </c>
      <c r="E715" s="51">
        <v>184872</v>
      </c>
      <c r="F715" s="68">
        <v>4147</v>
      </c>
      <c r="G715" s="52">
        <v>46070</v>
      </c>
    </row>
    <row r="716" spans="1:7" hidden="1" x14ac:dyDescent="0.3">
      <c r="A716" s="44" t="s">
        <v>11</v>
      </c>
      <c r="B716" s="44" t="s">
        <v>998</v>
      </c>
      <c r="C716" s="44" t="s">
        <v>144</v>
      </c>
      <c r="D716" s="44">
        <v>5518666206</v>
      </c>
      <c r="E716" s="44">
        <v>183518</v>
      </c>
      <c r="F716" s="87">
        <v>12440.98</v>
      </c>
      <c r="G716" s="46">
        <v>46070</v>
      </c>
    </row>
    <row r="717" spans="1:7" s="51" customFormat="1" hidden="1" x14ac:dyDescent="0.3">
      <c r="A717" s="51" t="s">
        <v>11</v>
      </c>
      <c r="B717" s="51" t="s">
        <v>998</v>
      </c>
      <c r="C717" s="51" t="s">
        <v>144</v>
      </c>
      <c r="D717" s="51">
        <v>5518666206</v>
      </c>
      <c r="E717" s="51">
        <v>183114</v>
      </c>
      <c r="F717" s="68">
        <v>18952.16</v>
      </c>
      <c r="G717" s="52">
        <v>46070</v>
      </c>
    </row>
    <row r="718" spans="1:7" hidden="1" x14ac:dyDescent="0.3">
      <c r="A718" s="44" t="s">
        <v>11</v>
      </c>
      <c r="B718" s="44" t="s">
        <v>998</v>
      </c>
      <c r="C718" s="44" t="s">
        <v>144</v>
      </c>
      <c r="D718" s="44">
        <v>5518666206</v>
      </c>
      <c r="E718" s="44">
        <v>33007</v>
      </c>
      <c r="F718" s="87">
        <v>4802</v>
      </c>
      <c r="G718" s="46">
        <v>46070</v>
      </c>
    </row>
    <row r="719" spans="1:7" s="51" customFormat="1" x14ac:dyDescent="0.3">
      <c r="A719" s="51" t="s">
        <v>11</v>
      </c>
      <c r="B719" s="51" t="s">
        <v>528</v>
      </c>
      <c r="C719" s="51" t="str">
        <f>IFERROR(VLOOKUP(B719,Base2026!A:C,2,FALSE),"")</f>
        <v>TEXCOCO</v>
      </c>
      <c r="D719" s="51">
        <f>IFERROR(VLOOKUP(C719,Base2026!B:D,2,FALSE),"")</f>
        <v>5536695063</v>
      </c>
      <c r="E719" s="51">
        <v>297413</v>
      </c>
      <c r="F719" s="68">
        <v>25137.69</v>
      </c>
      <c r="G719" s="52">
        <v>46070</v>
      </c>
    </row>
    <row r="720" spans="1:7" hidden="1" x14ac:dyDescent="0.3">
      <c r="A720" s="44" t="s">
        <v>11</v>
      </c>
      <c r="B720" s="44" t="s">
        <v>1031</v>
      </c>
      <c r="C720" s="44" t="s">
        <v>425</v>
      </c>
      <c r="D720" s="44">
        <v>5951016146</v>
      </c>
      <c r="E720" s="44">
        <v>351680</v>
      </c>
      <c r="F720" s="87">
        <v>3961.45</v>
      </c>
      <c r="G720" s="46">
        <v>46070</v>
      </c>
    </row>
    <row r="721" spans="1:7" s="51" customFormat="1" hidden="1" x14ac:dyDescent="0.3">
      <c r="A721" s="51" t="s">
        <v>11</v>
      </c>
      <c r="B721" s="51" t="s">
        <v>1031</v>
      </c>
      <c r="C721" s="51" t="s">
        <v>425</v>
      </c>
      <c r="D721" s="51">
        <v>5951016146</v>
      </c>
      <c r="E721" s="51">
        <v>351680</v>
      </c>
      <c r="F721" s="68">
        <v>6694</v>
      </c>
      <c r="G721" s="52">
        <v>46070</v>
      </c>
    </row>
    <row r="722" spans="1:7" hidden="1" x14ac:dyDescent="0.3">
      <c r="A722" s="60" t="s">
        <v>47</v>
      </c>
      <c r="B722" s="60" t="s">
        <v>1042</v>
      </c>
      <c r="C722" s="60" t="s">
        <v>456</v>
      </c>
      <c r="D722" s="60">
        <f>IFERROR(VLOOKUP(C722,Base2026!B:D,2,FALSE),"")</f>
        <v>5529503930</v>
      </c>
      <c r="E722" s="60">
        <v>297856</v>
      </c>
      <c r="F722" s="79">
        <v>13822.99</v>
      </c>
      <c r="G722" s="69">
        <v>46071</v>
      </c>
    </row>
    <row r="723" spans="1:7" s="60" customFormat="1" hidden="1" x14ac:dyDescent="0.3">
      <c r="A723" s="44" t="s">
        <v>47</v>
      </c>
      <c r="B723" s="44" t="s">
        <v>1042</v>
      </c>
      <c r="C723" s="44" t="s">
        <v>456</v>
      </c>
      <c r="D723" s="44">
        <f>IFERROR(VLOOKUP(C723,Base2026!B:D,2,FALSE),"")</f>
        <v>5529503930</v>
      </c>
      <c r="E723" s="44">
        <v>33171</v>
      </c>
      <c r="F723" s="87">
        <v>1948</v>
      </c>
      <c r="G723" s="46">
        <v>46071</v>
      </c>
    </row>
    <row r="724" spans="1:7" hidden="1" x14ac:dyDescent="0.3">
      <c r="A724" s="44" t="s">
        <v>10</v>
      </c>
      <c r="B724" s="44" t="s">
        <v>122</v>
      </c>
      <c r="C724" s="44" t="s">
        <v>123</v>
      </c>
      <c r="D724" s="44">
        <f>IFERROR(VLOOKUP(C724,Base2026!B:D,2,FALSE),"")</f>
        <v>5528929533</v>
      </c>
      <c r="E724" s="44">
        <v>298387</v>
      </c>
      <c r="F724" s="87">
        <v>14885</v>
      </c>
      <c r="G724" s="46">
        <v>46071</v>
      </c>
    </row>
    <row r="725" spans="1:7" s="60" customFormat="1" hidden="1" x14ac:dyDescent="0.3">
      <c r="A725" s="44" t="s">
        <v>10</v>
      </c>
      <c r="B725" s="44" t="s">
        <v>1049</v>
      </c>
      <c r="C725" s="44" t="s">
        <v>237</v>
      </c>
      <c r="D725" s="44">
        <v>5545163219</v>
      </c>
      <c r="E725" s="44">
        <v>184239</v>
      </c>
      <c r="F725" s="87">
        <v>8253.99</v>
      </c>
      <c r="G725" s="46">
        <v>46071</v>
      </c>
    </row>
    <row r="726" spans="1:7" hidden="1" x14ac:dyDescent="0.3">
      <c r="A726" s="60" t="s">
        <v>10</v>
      </c>
      <c r="B726" s="60" t="s">
        <v>230</v>
      </c>
      <c r="C726" s="60" t="s">
        <v>152</v>
      </c>
      <c r="D726" s="60">
        <v>5554171386</v>
      </c>
      <c r="E726" s="60">
        <v>298377</v>
      </c>
      <c r="F726" s="79">
        <v>5428</v>
      </c>
      <c r="G726" s="69">
        <v>46071</v>
      </c>
    </row>
    <row r="727" spans="1:7" s="60" customFormat="1" hidden="1" x14ac:dyDescent="0.3">
      <c r="A727" s="44" t="s">
        <v>10</v>
      </c>
      <c r="B727" s="44" t="s">
        <v>1050</v>
      </c>
      <c r="C727" s="44" t="s">
        <v>41</v>
      </c>
      <c r="D727" s="44">
        <v>5566814110</v>
      </c>
      <c r="E727" s="44">
        <v>351918</v>
      </c>
      <c r="F727" s="87">
        <v>2951</v>
      </c>
      <c r="G727" s="46">
        <v>46071</v>
      </c>
    </row>
    <row r="728" spans="1:7" hidden="1" x14ac:dyDescent="0.3">
      <c r="A728" s="60" t="s">
        <v>10</v>
      </c>
      <c r="B728" s="60" t="s">
        <v>1028</v>
      </c>
      <c r="C728" s="60" t="s">
        <v>1051</v>
      </c>
      <c r="D728" s="60">
        <v>5574395989</v>
      </c>
      <c r="E728" s="60">
        <v>298264</v>
      </c>
      <c r="F728" s="79">
        <v>1950</v>
      </c>
      <c r="G728" s="69">
        <v>46071</v>
      </c>
    </row>
    <row r="729" spans="1:7" s="60" customFormat="1" hidden="1" x14ac:dyDescent="0.3">
      <c r="A729" s="60" t="s">
        <v>10</v>
      </c>
      <c r="B729" s="60" t="s">
        <v>1049</v>
      </c>
      <c r="C729" s="60" t="s">
        <v>237</v>
      </c>
      <c r="D729" s="60">
        <f>IFERROR(VLOOKUP(C729,Base2026!B:D,2,FALSE),"")</f>
        <v>5627074145</v>
      </c>
      <c r="E729" s="60">
        <v>33203</v>
      </c>
      <c r="F729" s="79">
        <v>1214</v>
      </c>
      <c r="G729" s="69">
        <v>46071</v>
      </c>
    </row>
    <row r="730" spans="1:7" hidden="1" x14ac:dyDescent="0.3">
      <c r="A730" s="60" t="s">
        <v>17</v>
      </c>
      <c r="B730" s="60" t="s">
        <v>1052</v>
      </c>
      <c r="C730" s="60" t="s">
        <v>712</v>
      </c>
      <c r="D730" s="60">
        <v>5518050285</v>
      </c>
      <c r="E730" s="60">
        <v>181494</v>
      </c>
      <c r="F730" s="79">
        <v>8436</v>
      </c>
      <c r="G730" s="69">
        <v>46071</v>
      </c>
    </row>
    <row r="731" spans="1:7" s="60" customFormat="1" hidden="1" x14ac:dyDescent="0.3">
      <c r="A731" s="60" t="s">
        <v>17</v>
      </c>
      <c r="B731" s="60" t="s">
        <v>1055</v>
      </c>
      <c r="C731" s="60" t="s">
        <v>68</v>
      </c>
      <c r="D731" s="60">
        <v>5543450209</v>
      </c>
      <c r="E731" s="60">
        <v>184415</v>
      </c>
      <c r="F731" s="79">
        <v>8166</v>
      </c>
      <c r="G731" s="69">
        <v>46071</v>
      </c>
    </row>
    <row r="732" spans="1:7" x14ac:dyDescent="0.3">
      <c r="A732" s="60" t="s">
        <v>17</v>
      </c>
      <c r="B732" s="60" t="s">
        <v>1054</v>
      </c>
      <c r="C732" s="60" t="s">
        <v>74</v>
      </c>
      <c r="D732" s="60">
        <v>5551208512</v>
      </c>
      <c r="E732" s="60">
        <v>298364</v>
      </c>
      <c r="F732" s="79">
        <v>6410</v>
      </c>
      <c r="G732" s="69">
        <v>46071</v>
      </c>
    </row>
    <row r="733" spans="1:7" s="60" customFormat="1" hidden="1" x14ac:dyDescent="0.3">
      <c r="A733" s="44" t="s">
        <v>17</v>
      </c>
      <c r="B733" s="44" t="s">
        <v>428</v>
      </c>
      <c r="C733" s="44" t="str">
        <f>IFERROR(VLOOKUP(B733,Base2026!A:C,2,FALSE),"")</f>
        <v>BOULEVARD DE LOS AZTECAS</v>
      </c>
      <c r="D733" s="44">
        <f>IFERROR(VLOOKUP(C733,Base2026!B:D,2,FALSE),"")</f>
        <v>5571687373</v>
      </c>
      <c r="E733" s="44">
        <v>184911</v>
      </c>
      <c r="F733" s="87">
        <v>2289</v>
      </c>
      <c r="G733" s="46">
        <v>46071</v>
      </c>
    </row>
    <row r="734" spans="1:7" hidden="1" x14ac:dyDescent="0.3">
      <c r="A734" s="60" t="s">
        <v>17</v>
      </c>
      <c r="B734" s="60" t="s">
        <v>428</v>
      </c>
      <c r="C734" s="60" t="str">
        <f>IFERROR(VLOOKUP(B734,Base2026!A:C,2,FALSE),"")</f>
        <v>BOULEVARD DE LOS AZTECAS</v>
      </c>
      <c r="D734" s="60">
        <f>IFERROR(VLOOKUP(C734,Base2026!B:D,2,FALSE),"")</f>
        <v>5571687373</v>
      </c>
      <c r="E734" s="60">
        <v>185024</v>
      </c>
      <c r="F734" s="79">
        <v>7845</v>
      </c>
      <c r="G734" s="69">
        <v>46071</v>
      </c>
    </row>
    <row r="735" spans="1:7" s="60" customFormat="1" hidden="1" x14ac:dyDescent="0.3">
      <c r="A735" s="44" t="s">
        <v>17</v>
      </c>
      <c r="B735" s="44" t="s">
        <v>428</v>
      </c>
      <c r="C735" s="44" t="str">
        <f>IFERROR(VLOOKUP(B735,Base2026!A:C,2,FALSE),"")</f>
        <v>BOULEVARD DE LOS AZTECAS</v>
      </c>
      <c r="D735" s="44">
        <f>IFERROR(VLOOKUP(C735,Base2026!B:D,2,FALSE),"")</f>
        <v>5571687373</v>
      </c>
      <c r="E735" s="44">
        <v>185025</v>
      </c>
      <c r="F735" s="87">
        <v>117</v>
      </c>
      <c r="G735" s="46">
        <v>46071</v>
      </c>
    </row>
    <row r="736" spans="1:7" hidden="1" x14ac:dyDescent="0.3">
      <c r="A736" s="44" t="s">
        <v>17</v>
      </c>
      <c r="B736" s="44" t="s">
        <v>1053</v>
      </c>
      <c r="C736" s="44" t="s">
        <v>297</v>
      </c>
      <c r="D736" s="44">
        <v>5583722181</v>
      </c>
      <c r="E736" s="44">
        <v>184942</v>
      </c>
      <c r="F736" s="87">
        <v>1878</v>
      </c>
      <c r="G736" s="46">
        <v>46071</v>
      </c>
    </row>
    <row r="737" spans="1:7" s="60" customFormat="1" hidden="1" x14ac:dyDescent="0.3">
      <c r="A737" s="44" t="s">
        <v>17</v>
      </c>
      <c r="B737" s="44" t="s">
        <v>562</v>
      </c>
      <c r="C737" s="44" t="str">
        <f>IFERROR(VLOOKUP(B737,Base2026!A:C,2,FALSE),"")</f>
        <v>CAMPESTRE ARAGON</v>
      </c>
      <c r="D737" s="44">
        <f>IFERROR(VLOOKUP(C737,Base2026!B:D,2,FALSE),"")</f>
        <v>5584978785</v>
      </c>
      <c r="E737" s="44">
        <v>298090</v>
      </c>
      <c r="F737" s="87">
        <v>1973.16</v>
      </c>
      <c r="G737" s="46">
        <v>46071</v>
      </c>
    </row>
    <row r="738" spans="1:7" hidden="1" x14ac:dyDescent="0.3">
      <c r="A738" s="60" t="s">
        <v>11</v>
      </c>
      <c r="B738" s="60" t="s">
        <v>1045</v>
      </c>
      <c r="C738" s="60" t="s">
        <v>580</v>
      </c>
      <c r="D738" s="60">
        <f>IFERROR(VLOOKUP(C738,Base2026!B:D,2,FALSE),"")</f>
        <v>5515369770</v>
      </c>
      <c r="E738" s="60">
        <v>184371</v>
      </c>
      <c r="F738" s="79">
        <v>2811</v>
      </c>
      <c r="G738" s="69">
        <v>46071</v>
      </c>
    </row>
    <row r="739" spans="1:7" s="60" customFormat="1" hidden="1" x14ac:dyDescent="0.3">
      <c r="A739" s="44" t="s">
        <v>11</v>
      </c>
      <c r="B739" s="44" t="s">
        <v>1046</v>
      </c>
      <c r="C739" s="44" t="s">
        <v>1047</v>
      </c>
      <c r="D739" s="44">
        <v>5529049760</v>
      </c>
      <c r="E739" s="44">
        <v>185029</v>
      </c>
      <c r="F739" s="87">
        <v>18833</v>
      </c>
      <c r="G739" s="46">
        <v>46071</v>
      </c>
    </row>
    <row r="740" spans="1:7" hidden="1" x14ac:dyDescent="0.3">
      <c r="A740" s="60" t="s">
        <v>11</v>
      </c>
      <c r="B740" s="60" t="s">
        <v>1048</v>
      </c>
      <c r="C740" s="60" t="s">
        <v>138</v>
      </c>
      <c r="D740" s="60">
        <f>IFERROR(VLOOKUP(C740,Base2026!B:D,2,FALSE),"")</f>
        <v>5558383479</v>
      </c>
      <c r="E740" s="60">
        <v>298329</v>
      </c>
      <c r="F740" s="79">
        <v>6041</v>
      </c>
      <c r="G740" s="69">
        <v>46071</v>
      </c>
    </row>
    <row r="741" spans="1:7" s="60" customFormat="1" hidden="1" x14ac:dyDescent="0.3">
      <c r="A741" s="60" t="s">
        <v>11</v>
      </c>
      <c r="B741" s="60" t="s">
        <v>1043</v>
      </c>
      <c r="C741" s="60" t="s">
        <v>1044</v>
      </c>
      <c r="D741" s="60">
        <v>5578854795</v>
      </c>
      <c r="E741" s="60">
        <v>184759</v>
      </c>
      <c r="F741" s="79">
        <v>29550</v>
      </c>
      <c r="G741" s="69">
        <v>46071</v>
      </c>
    </row>
    <row r="742" spans="1:7" hidden="1" x14ac:dyDescent="0.3">
      <c r="A742" s="44" t="s">
        <v>11</v>
      </c>
      <c r="B742" s="44" t="s">
        <v>432</v>
      </c>
      <c r="C742" s="44" t="str">
        <f>IFERROR(VLOOKUP(B742,Base2026!A:C,2,FALSE),"")</f>
        <v>HEROES DE INDEPENDENCIA</v>
      </c>
      <c r="D742" s="44">
        <f>IFERROR(VLOOKUP(C742,Base2026!B:D,2,FALSE),"")</f>
        <v>5614639380</v>
      </c>
      <c r="E742" s="44">
        <v>351912</v>
      </c>
      <c r="F742" s="87">
        <v>2326</v>
      </c>
      <c r="G742" s="46">
        <v>46071</v>
      </c>
    </row>
    <row r="743" spans="1:7" s="60" customFormat="1" hidden="1" x14ac:dyDescent="0.3">
      <c r="A743" s="44" t="s">
        <v>10</v>
      </c>
      <c r="B743" s="44" t="s">
        <v>1012</v>
      </c>
      <c r="C743" s="44" t="s">
        <v>117</v>
      </c>
      <c r="D743" s="44">
        <v>5536692880</v>
      </c>
      <c r="E743" s="44">
        <v>298454</v>
      </c>
      <c r="F743" s="87">
        <v>7378</v>
      </c>
      <c r="G743" s="46">
        <v>46072</v>
      </c>
    </row>
    <row r="744" spans="1:7" hidden="1" x14ac:dyDescent="0.3">
      <c r="A744" s="51" t="s">
        <v>10</v>
      </c>
      <c r="B744" s="51" t="s">
        <v>1012</v>
      </c>
      <c r="C744" s="51" t="s">
        <v>117</v>
      </c>
      <c r="D744" s="51">
        <v>5536692880</v>
      </c>
      <c r="E744" s="51">
        <v>298453</v>
      </c>
      <c r="F744" s="68">
        <v>1307.99</v>
      </c>
      <c r="G744" s="52">
        <v>46072</v>
      </c>
    </row>
    <row r="745" spans="1:7" s="51" customFormat="1" hidden="1" x14ac:dyDescent="0.3">
      <c r="A745" s="44" t="s">
        <v>10</v>
      </c>
      <c r="B745" s="44" t="s">
        <v>1060</v>
      </c>
      <c r="C745" s="44" t="s">
        <v>159</v>
      </c>
      <c r="D745" s="44">
        <f>IFERROR(VLOOKUP(C745,Base2026!B:D,2,FALSE),"")</f>
        <v>5570826626</v>
      </c>
      <c r="E745" s="44">
        <v>297743</v>
      </c>
      <c r="F745" s="87">
        <v>22619.85</v>
      </c>
      <c r="G745" s="46">
        <v>46072</v>
      </c>
    </row>
    <row r="746" spans="1:7" hidden="1" x14ac:dyDescent="0.3">
      <c r="A746" s="51" t="s">
        <v>10</v>
      </c>
      <c r="B746" s="51" t="s">
        <v>985</v>
      </c>
      <c r="C746" s="51" t="s">
        <v>503</v>
      </c>
      <c r="D746" s="51">
        <v>5614899650</v>
      </c>
      <c r="E746" s="51">
        <v>298477</v>
      </c>
      <c r="F746" s="68">
        <v>51000</v>
      </c>
      <c r="G746" s="52">
        <v>46072</v>
      </c>
    </row>
    <row r="747" spans="1:7" s="51" customFormat="1" hidden="1" x14ac:dyDescent="0.3">
      <c r="A747" s="44" t="s">
        <v>10</v>
      </c>
      <c r="B747" s="44" t="s">
        <v>1059</v>
      </c>
      <c r="C747" s="44" t="s">
        <v>897</v>
      </c>
      <c r="D747" s="44">
        <v>5616918648</v>
      </c>
      <c r="E747" s="44">
        <v>184571</v>
      </c>
      <c r="F747" s="87">
        <v>1970</v>
      </c>
      <c r="G747" s="46">
        <v>46072</v>
      </c>
    </row>
    <row r="748" spans="1:7" hidden="1" x14ac:dyDescent="0.3">
      <c r="A748" s="51" t="s">
        <v>10</v>
      </c>
      <c r="B748" s="51" t="s">
        <v>664</v>
      </c>
      <c r="C748" s="51" t="str">
        <f>IFERROR(VLOOKUP(B748,Base2026!A:C,2,FALSE),"")</f>
        <v>LA PROVIDENCIA</v>
      </c>
      <c r="D748" s="51">
        <f>IFERROR(VLOOKUP(C748,Base2026!B:D,2,FALSE),"")</f>
        <v>5627230201</v>
      </c>
      <c r="E748" s="51">
        <v>184309</v>
      </c>
      <c r="F748" s="68">
        <v>8911</v>
      </c>
      <c r="G748" s="52">
        <v>46072</v>
      </c>
    </row>
    <row r="749" spans="1:7" s="51" customFormat="1" hidden="1" x14ac:dyDescent="0.3">
      <c r="A749" s="44" t="s">
        <v>17</v>
      </c>
      <c r="B749" s="44" t="s">
        <v>55</v>
      </c>
      <c r="C749" s="44" t="str">
        <f>IFERROR(VLOOKUP(B749,Base2026!A:C,2,FALSE),"")</f>
        <v>AZCAPOTZALCO</v>
      </c>
      <c r="D749" s="44">
        <f>IFERROR(VLOOKUP(C749,Base2026!B:D,2,FALSE),"")</f>
        <v>5523625972</v>
      </c>
      <c r="E749" s="44">
        <v>184045</v>
      </c>
      <c r="F749" s="87">
        <v>14204.99</v>
      </c>
      <c r="G749" s="46">
        <v>46072</v>
      </c>
    </row>
    <row r="750" spans="1:7" hidden="1" x14ac:dyDescent="0.3">
      <c r="A750" s="51" t="s">
        <v>17</v>
      </c>
      <c r="B750" s="51" t="s">
        <v>55</v>
      </c>
      <c r="C750" s="51" t="str">
        <f>IFERROR(VLOOKUP(B750,Base2026!A:C,2,FALSE),"")</f>
        <v>AZCAPOTZALCO</v>
      </c>
      <c r="D750" s="51">
        <f>IFERROR(VLOOKUP(C750,Base2026!B:D,2,FALSE),"")</f>
        <v>5523625972</v>
      </c>
      <c r="E750" s="51"/>
      <c r="F750" s="68">
        <v>2706</v>
      </c>
      <c r="G750" s="52">
        <v>46072</v>
      </c>
    </row>
    <row r="751" spans="1:7" s="51" customFormat="1" hidden="1" x14ac:dyDescent="0.3">
      <c r="A751" s="44" t="s">
        <v>17</v>
      </c>
      <c r="B751" s="44" t="s">
        <v>55</v>
      </c>
      <c r="C751" s="44" t="str">
        <f>IFERROR(VLOOKUP(B751,Base2026!A:C,2,FALSE),"")</f>
        <v>AZCAPOTZALCO</v>
      </c>
      <c r="D751" s="44">
        <f>IFERROR(VLOOKUP(C751,Base2026!B:D,2,FALSE),"")</f>
        <v>5523625972</v>
      </c>
      <c r="E751" s="44"/>
      <c r="F751" s="87">
        <v>2194</v>
      </c>
      <c r="G751" s="46">
        <v>46072</v>
      </c>
    </row>
    <row r="752" spans="1:7" hidden="1" x14ac:dyDescent="0.3">
      <c r="A752" s="51" t="s">
        <v>17</v>
      </c>
      <c r="B752" s="51" t="s">
        <v>1058</v>
      </c>
      <c r="C752" s="51" t="s">
        <v>440</v>
      </c>
      <c r="D752" s="51">
        <v>5538020334</v>
      </c>
      <c r="E752" s="51">
        <v>298496</v>
      </c>
      <c r="F752" s="68">
        <v>3791.99</v>
      </c>
      <c r="G752" s="52">
        <v>46072</v>
      </c>
    </row>
    <row r="753" spans="1:7" s="51" customFormat="1" hidden="1" x14ac:dyDescent="0.3">
      <c r="A753" s="44" t="s">
        <v>17</v>
      </c>
      <c r="B753" s="44" t="s">
        <v>1056</v>
      </c>
      <c r="C753" s="44" t="s">
        <v>1057</v>
      </c>
      <c r="D753" s="44">
        <v>5539365121</v>
      </c>
      <c r="E753" s="44">
        <v>352272</v>
      </c>
      <c r="F753" s="87">
        <v>2206</v>
      </c>
      <c r="G753" s="46">
        <v>46072</v>
      </c>
    </row>
    <row r="754" spans="1:7" hidden="1" x14ac:dyDescent="0.3">
      <c r="A754" s="44" t="s">
        <v>11</v>
      </c>
      <c r="B754" s="44" t="s">
        <v>1062</v>
      </c>
      <c r="C754" s="44" t="s">
        <v>130</v>
      </c>
      <c r="D754" s="44">
        <v>5514614910</v>
      </c>
      <c r="E754" s="44">
        <v>184312</v>
      </c>
      <c r="F754" s="87">
        <v>5700.52</v>
      </c>
      <c r="G754" s="46">
        <v>46072</v>
      </c>
    </row>
    <row r="755" spans="1:7" s="51" customFormat="1" hidden="1" x14ac:dyDescent="0.3">
      <c r="A755" s="44" t="s">
        <v>11</v>
      </c>
      <c r="B755" s="44" t="s">
        <v>1061</v>
      </c>
      <c r="C755" s="44" t="s">
        <v>84</v>
      </c>
      <c r="D755" s="44">
        <v>5540255976</v>
      </c>
      <c r="E755" s="44">
        <v>298300</v>
      </c>
      <c r="F755" s="87">
        <v>3075.16</v>
      </c>
      <c r="G755" s="46">
        <v>46072</v>
      </c>
    </row>
    <row r="756" spans="1:7" hidden="1" x14ac:dyDescent="0.3">
      <c r="A756" s="51" t="s">
        <v>11</v>
      </c>
      <c r="B756" s="51" t="s">
        <v>420</v>
      </c>
      <c r="C756" s="51" t="s">
        <v>593</v>
      </c>
      <c r="D756" s="51">
        <v>5542518119</v>
      </c>
      <c r="E756" s="51">
        <v>351988</v>
      </c>
      <c r="F756" s="68">
        <v>23735.11</v>
      </c>
      <c r="G756" s="52">
        <v>46072</v>
      </c>
    </row>
    <row r="757" spans="1:7" s="51" customFormat="1" hidden="1" x14ac:dyDescent="0.3">
      <c r="A757" s="51" t="s">
        <v>11</v>
      </c>
      <c r="B757" s="51" t="s">
        <v>194</v>
      </c>
      <c r="C757" s="51" t="s">
        <v>648</v>
      </c>
      <c r="D757" s="51">
        <v>5617687753</v>
      </c>
      <c r="E757" s="51">
        <v>184282</v>
      </c>
      <c r="F757" s="68">
        <v>12089</v>
      </c>
      <c r="G757" s="52">
        <v>46072</v>
      </c>
    </row>
    <row r="758" spans="1:7" hidden="1" x14ac:dyDescent="0.3">
      <c r="A758" s="44" t="s">
        <v>47</v>
      </c>
      <c r="B758" s="44" t="s">
        <v>1070</v>
      </c>
      <c r="C758" s="44" t="s">
        <v>1071</v>
      </c>
      <c r="D758" s="44">
        <v>5517603059</v>
      </c>
      <c r="E758" s="44">
        <v>184695</v>
      </c>
      <c r="F758" s="87">
        <v>3050.2</v>
      </c>
      <c r="G758" s="46">
        <v>46073</v>
      </c>
    </row>
    <row r="759" spans="1:7" s="48" customFormat="1" hidden="1" x14ac:dyDescent="0.3">
      <c r="A759" s="48" t="s">
        <v>47</v>
      </c>
      <c r="B759" s="48" t="s">
        <v>876</v>
      </c>
      <c r="C759" s="48" t="s">
        <v>877</v>
      </c>
      <c r="D759" s="48">
        <v>5580138950</v>
      </c>
      <c r="E759" s="48">
        <v>298618</v>
      </c>
      <c r="F759" s="88">
        <v>17900</v>
      </c>
      <c r="G759" s="50">
        <v>46073</v>
      </c>
    </row>
    <row r="760" spans="1:7" hidden="1" x14ac:dyDescent="0.3">
      <c r="A760" s="44" t="s">
        <v>10</v>
      </c>
      <c r="B760" s="44" t="s">
        <v>1064</v>
      </c>
      <c r="C760" s="44" t="s">
        <v>297</v>
      </c>
      <c r="D760" s="44">
        <v>5551784708</v>
      </c>
      <c r="E760" s="44">
        <v>184546</v>
      </c>
      <c r="F760" s="87">
        <v>3827.36</v>
      </c>
      <c r="G760" s="46">
        <v>46073</v>
      </c>
    </row>
    <row r="761" spans="1:7" s="48" customFormat="1" hidden="1" x14ac:dyDescent="0.3">
      <c r="A761" s="48" t="s">
        <v>10</v>
      </c>
      <c r="B761" s="48" t="s">
        <v>146</v>
      </c>
      <c r="C761" s="48" t="s">
        <v>895</v>
      </c>
      <c r="D761" s="48">
        <f>IFERROR(VLOOKUP(C761,Base2026!B:D,2,FALSE),"")</f>
        <v>5565425223</v>
      </c>
      <c r="E761" s="48">
        <v>185056</v>
      </c>
      <c r="F761" s="88">
        <v>471.76</v>
      </c>
      <c r="G761" s="50">
        <v>46073</v>
      </c>
    </row>
    <row r="762" spans="1:7" hidden="1" x14ac:dyDescent="0.3">
      <c r="A762" s="44" t="s">
        <v>10</v>
      </c>
      <c r="B762" s="44" t="s">
        <v>1063</v>
      </c>
      <c r="C762" s="44" t="s">
        <v>113</v>
      </c>
      <c r="D762" s="44">
        <f>IFERROR(VLOOKUP(C762,Base2026!B:D,2,FALSE),"")</f>
        <v>5585922461</v>
      </c>
      <c r="E762" s="44">
        <v>352364</v>
      </c>
      <c r="F762" s="87">
        <v>23431</v>
      </c>
      <c r="G762" s="46">
        <v>46073</v>
      </c>
    </row>
    <row r="763" spans="1:7" s="48" customFormat="1" hidden="1" x14ac:dyDescent="0.3">
      <c r="A763" s="48" t="s">
        <v>10</v>
      </c>
      <c r="B763" s="48" t="s">
        <v>186</v>
      </c>
      <c r="C763" s="48" t="s">
        <v>187</v>
      </c>
      <c r="D763" s="48">
        <v>5610944519</v>
      </c>
      <c r="E763" s="48">
        <v>184144</v>
      </c>
      <c r="F763" s="88">
        <v>18252.990000000002</v>
      </c>
      <c r="G763" s="50">
        <v>46073</v>
      </c>
    </row>
    <row r="764" spans="1:7" hidden="1" x14ac:dyDescent="0.3">
      <c r="A764" s="48" t="s">
        <v>10</v>
      </c>
      <c r="B764" s="48" t="s">
        <v>1072</v>
      </c>
      <c r="C764" s="48" t="s">
        <v>228</v>
      </c>
      <c r="D764" s="48">
        <v>5620084510</v>
      </c>
      <c r="E764" s="48">
        <v>184514</v>
      </c>
      <c r="F764" s="88">
        <v>3405</v>
      </c>
      <c r="G764" s="50">
        <v>46073</v>
      </c>
    </row>
    <row r="765" spans="1:7" s="48" customFormat="1" hidden="1" x14ac:dyDescent="0.3">
      <c r="A765" s="44" t="s">
        <v>10</v>
      </c>
      <c r="B765" s="44" t="s">
        <v>374</v>
      </c>
      <c r="C765" s="44" t="s">
        <v>297</v>
      </c>
      <c r="D765" s="44">
        <v>5621030826</v>
      </c>
      <c r="E765" s="44">
        <v>298497</v>
      </c>
      <c r="F765" s="87">
        <v>249.4</v>
      </c>
      <c r="G765" s="46">
        <v>46073</v>
      </c>
    </row>
    <row r="766" spans="1:7" hidden="1" x14ac:dyDescent="0.3">
      <c r="A766" s="48" t="s">
        <v>10</v>
      </c>
      <c r="B766" s="48" t="s">
        <v>374</v>
      </c>
      <c r="C766" s="48" t="s">
        <v>297</v>
      </c>
      <c r="D766" s="48">
        <v>5621030826</v>
      </c>
      <c r="E766" s="48">
        <v>298518</v>
      </c>
      <c r="F766" s="88">
        <v>2685</v>
      </c>
      <c r="G766" s="50">
        <v>46073</v>
      </c>
    </row>
    <row r="767" spans="1:7" s="48" customFormat="1" hidden="1" x14ac:dyDescent="0.3">
      <c r="A767" s="48" t="s">
        <v>890</v>
      </c>
      <c r="B767" s="48" t="s">
        <v>914</v>
      </c>
      <c r="C767" s="48" t="s">
        <v>46</v>
      </c>
      <c r="D767" s="48">
        <f>IFERROR(VLOOKUP(C767,Base2026!B:D,2,FALSE),"")</f>
        <v>5534011197</v>
      </c>
      <c r="E767" s="48">
        <v>297913</v>
      </c>
      <c r="F767" s="88">
        <v>2286</v>
      </c>
      <c r="G767" s="50">
        <v>46073</v>
      </c>
    </row>
    <row r="768" spans="1:7" hidden="1" x14ac:dyDescent="0.3">
      <c r="A768" s="44" t="s">
        <v>890</v>
      </c>
      <c r="B768" s="44" t="s">
        <v>1067</v>
      </c>
      <c r="C768" s="44" t="s">
        <v>356</v>
      </c>
      <c r="D768" s="44">
        <v>5581294085</v>
      </c>
      <c r="E768" s="44">
        <v>184551</v>
      </c>
      <c r="F768" s="87">
        <v>4623</v>
      </c>
      <c r="G768" s="46">
        <v>46073</v>
      </c>
    </row>
    <row r="769" spans="1:7" s="48" customFormat="1" hidden="1" x14ac:dyDescent="0.3">
      <c r="A769" s="44" t="s">
        <v>890</v>
      </c>
      <c r="B769" s="44" t="s">
        <v>146</v>
      </c>
      <c r="C769" s="44" t="str">
        <f>IFERROR(VLOOKUP(B769,Base2026!A:C,2,FALSE),"")</f>
        <v>LAZARO CARDENAS</v>
      </c>
      <c r="D769" s="44">
        <v>5585061905</v>
      </c>
      <c r="E769" s="44">
        <v>184836</v>
      </c>
      <c r="F769" s="87">
        <v>8927.44</v>
      </c>
      <c r="G769" s="46">
        <v>46073</v>
      </c>
    </row>
    <row r="770" spans="1:7" hidden="1" x14ac:dyDescent="0.3">
      <c r="A770" s="44" t="s">
        <v>890</v>
      </c>
      <c r="B770" s="44" t="s">
        <v>1065</v>
      </c>
      <c r="C770" s="44" t="s">
        <v>123</v>
      </c>
      <c r="D770" s="44">
        <v>5588198781</v>
      </c>
      <c r="E770" s="44">
        <v>184673</v>
      </c>
      <c r="F770" s="87">
        <v>9349.41</v>
      </c>
      <c r="G770" s="46">
        <v>46073</v>
      </c>
    </row>
    <row r="771" spans="1:7" s="48" customFormat="1" hidden="1" x14ac:dyDescent="0.3">
      <c r="A771" s="48" t="s">
        <v>890</v>
      </c>
      <c r="B771" s="48" t="s">
        <v>1066</v>
      </c>
      <c r="C771" s="48" t="s">
        <v>6</v>
      </c>
      <c r="D771" s="48">
        <v>5660016690</v>
      </c>
      <c r="E771" s="48">
        <v>184765</v>
      </c>
      <c r="F771" s="88">
        <v>1725</v>
      </c>
      <c r="G771" s="50">
        <v>46073</v>
      </c>
    </row>
    <row r="772" spans="1:7" hidden="1" x14ac:dyDescent="0.3">
      <c r="A772" s="48" t="s">
        <v>11</v>
      </c>
      <c r="B772" s="48" t="s">
        <v>1068</v>
      </c>
      <c r="C772" s="48" t="s">
        <v>425</v>
      </c>
      <c r="D772" s="48">
        <v>5576244653</v>
      </c>
      <c r="E772" s="48">
        <v>184842</v>
      </c>
      <c r="F772" s="88">
        <v>863</v>
      </c>
      <c r="G772" s="50">
        <v>46073</v>
      </c>
    </row>
    <row r="773" spans="1:7" s="48" customFormat="1" hidden="1" x14ac:dyDescent="0.3">
      <c r="A773" s="48" t="s">
        <v>11</v>
      </c>
      <c r="B773" s="48" t="s">
        <v>974</v>
      </c>
      <c r="C773" s="48" t="str">
        <f>IFERROR(VLOOKUP(B773,Base2026!A:C,2,FALSE),"")</f>
        <v>SAN CRISTOBAL</v>
      </c>
      <c r="D773" s="48">
        <f>IFERROR(VLOOKUP(C773,Base2026!B:D,2,FALSE),"")</f>
        <v>5613869199</v>
      </c>
      <c r="E773" s="48">
        <v>183733</v>
      </c>
      <c r="F773" s="88">
        <v>39749.980000000003</v>
      </c>
      <c r="G773" s="50">
        <v>46073</v>
      </c>
    </row>
    <row r="774" spans="1:7" hidden="1" x14ac:dyDescent="0.3">
      <c r="A774" s="44" t="s">
        <v>11</v>
      </c>
      <c r="B774" s="44" t="s">
        <v>452</v>
      </c>
      <c r="C774" s="44" t="str">
        <f>IFERROR(VLOOKUP(B774,Base2026!A:C,2,FALSE),"")</f>
        <v xml:space="preserve">ANTIGUO CAMINO A LOMA DEL CARMEN </v>
      </c>
      <c r="D774" s="44">
        <f>IFERROR(VLOOKUP(C774,Base2026!B:D,2,FALSE),"")</f>
        <v>5614731053</v>
      </c>
      <c r="E774" s="44">
        <v>184481</v>
      </c>
      <c r="F774" s="87">
        <v>8244.0499999999993</v>
      </c>
      <c r="G774" s="46">
        <v>46073</v>
      </c>
    </row>
    <row r="775" spans="1:7" s="48" customFormat="1" hidden="1" x14ac:dyDescent="0.3">
      <c r="A775" s="48" t="s">
        <v>11</v>
      </c>
      <c r="B775" s="48" t="s">
        <v>452</v>
      </c>
      <c r="C775" s="48" t="str">
        <f>IFERROR(VLOOKUP(B775,Base2026!A:C,2,FALSE),"")</f>
        <v xml:space="preserve">ANTIGUO CAMINO A LOMA DEL CARMEN </v>
      </c>
      <c r="D775" s="48">
        <f>IFERROR(VLOOKUP(C775,Base2026!B:D,2,FALSE),"")</f>
        <v>5614731053</v>
      </c>
      <c r="E775" s="48">
        <v>33249</v>
      </c>
      <c r="F775" s="88">
        <v>2308</v>
      </c>
      <c r="G775" s="50">
        <v>46073</v>
      </c>
    </row>
    <row r="776" spans="1:7" hidden="1" x14ac:dyDescent="0.3">
      <c r="A776" s="44" t="s">
        <v>11</v>
      </c>
      <c r="B776" s="44" t="s">
        <v>452</v>
      </c>
      <c r="C776" s="44" t="str">
        <f>IFERROR(VLOOKUP(B776,Base2026!A:C,2,FALSE),"")</f>
        <v xml:space="preserve">ANTIGUO CAMINO A LOMA DEL CARMEN </v>
      </c>
      <c r="D776" s="44">
        <f>IFERROR(VLOOKUP(C776,Base2026!B:D,2,FALSE),"")</f>
        <v>5614731053</v>
      </c>
      <c r="E776" s="44">
        <v>184478</v>
      </c>
      <c r="F776" s="87">
        <v>10696.69</v>
      </c>
      <c r="G776" s="46">
        <v>46073</v>
      </c>
    </row>
    <row r="777" spans="1:7" s="48" customFormat="1" hidden="1" x14ac:dyDescent="0.3">
      <c r="A777" s="48" t="s">
        <v>11</v>
      </c>
      <c r="B777" s="48" t="s">
        <v>452</v>
      </c>
      <c r="C777" s="48" t="str">
        <f>IFERROR(VLOOKUP(B777,Base2026!A:C,2,FALSE),"")</f>
        <v xml:space="preserve">ANTIGUO CAMINO A LOMA DEL CARMEN </v>
      </c>
      <c r="D777" s="48">
        <f>IFERROR(VLOOKUP(C777,Base2026!B:D,2,FALSE),"")</f>
        <v>5614731053</v>
      </c>
      <c r="E777" s="48">
        <v>184479</v>
      </c>
      <c r="F777" s="88">
        <v>6396.86</v>
      </c>
      <c r="G777" s="50">
        <v>46073</v>
      </c>
    </row>
    <row r="778" spans="1:7" hidden="1" x14ac:dyDescent="0.3">
      <c r="A778" s="44" t="s">
        <v>11</v>
      </c>
      <c r="B778" s="44" t="s">
        <v>1069</v>
      </c>
      <c r="C778" s="44" t="s">
        <v>458</v>
      </c>
      <c r="D778" s="44">
        <v>5643079850</v>
      </c>
      <c r="E778" s="44">
        <v>352114</v>
      </c>
      <c r="F778" s="87">
        <v>1591.64</v>
      </c>
      <c r="G778" s="46">
        <v>46073</v>
      </c>
    </row>
    <row r="779" spans="1:7" s="48" customFormat="1" hidden="1" x14ac:dyDescent="0.3">
      <c r="A779" s="44" t="s">
        <v>10</v>
      </c>
      <c r="B779" s="44" t="s">
        <v>964</v>
      </c>
      <c r="C779" s="44" t="str">
        <f>IFERROR(VLOOKUP(B779,Base2026!A:C,2,FALSE),"")</f>
        <v>HACIENDA DE MAYRAZGO</v>
      </c>
      <c r="D779" s="44">
        <f>IFERROR(VLOOKUP(C779,Base2026!B:D,2,FALSE),"")</f>
        <v>2206119277</v>
      </c>
      <c r="E779" s="44">
        <v>181517</v>
      </c>
      <c r="F779" s="87">
        <v>6577.99</v>
      </c>
      <c r="G779" s="46">
        <v>46074</v>
      </c>
    </row>
    <row r="780" spans="1:7" hidden="1" x14ac:dyDescent="0.3">
      <c r="A780" s="44" t="s">
        <v>10</v>
      </c>
      <c r="B780" s="44" t="s">
        <v>1073</v>
      </c>
      <c r="C780" s="44" t="s">
        <v>1074</v>
      </c>
      <c r="D780" s="44">
        <v>5519637053</v>
      </c>
      <c r="E780" s="44">
        <v>185423</v>
      </c>
      <c r="F780" s="87">
        <v>10875</v>
      </c>
      <c r="G780" s="46">
        <v>46074</v>
      </c>
    </row>
    <row r="781" spans="1:7" s="51" customFormat="1" hidden="1" x14ac:dyDescent="0.3">
      <c r="A781" s="51" t="s">
        <v>10</v>
      </c>
      <c r="B781" s="51" t="s">
        <v>1075</v>
      </c>
      <c r="C781" s="51" t="s">
        <v>46</v>
      </c>
      <c r="D781" s="51">
        <v>5523485692</v>
      </c>
      <c r="E781" s="51">
        <v>185329</v>
      </c>
      <c r="F781" s="68">
        <v>2380</v>
      </c>
      <c r="G781" s="52">
        <v>46074</v>
      </c>
    </row>
    <row r="782" spans="1:7" hidden="1" x14ac:dyDescent="0.3">
      <c r="A782" s="51" t="s">
        <v>10</v>
      </c>
      <c r="B782" s="51" t="s">
        <v>752</v>
      </c>
      <c r="C782" s="51" t="s">
        <v>1074</v>
      </c>
      <c r="D782" s="51">
        <v>5528013590</v>
      </c>
      <c r="E782" s="51">
        <v>298225</v>
      </c>
      <c r="F782" s="68">
        <v>8040.6</v>
      </c>
      <c r="G782" s="52">
        <v>46074</v>
      </c>
    </row>
    <row r="783" spans="1:7" s="51" customFormat="1" hidden="1" x14ac:dyDescent="0.3">
      <c r="A783" s="44" t="s">
        <v>10</v>
      </c>
      <c r="B783" s="44" t="s">
        <v>935</v>
      </c>
      <c r="C783" s="44" t="str">
        <f>IFERROR(VLOOKUP(B783,Base2026!A:C,2,FALSE),"")</f>
        <v>EL SALADO XALOSTOC</v>
      </c>
      <c r="D783" s="44">
        <f>IFERROR(VLOOKUP(C783,Base2026!B:D,2,FALSE),"")</f>
        <v>5539564988</v>
      </c>
      <c r="E783" s="44">
        <v>298172</v>
      </c>
      <c r="F783" s="87">
        <v>3121.12</v>
      </c>
      <c r="G783" s="46">
        <v>46074</v>
      </c>
    </row>
    <row r="784" spans="1:7" hidden="1" x14ac:dyDescent="0.3">
      <c r="A784" s="51" t="s">
        <v>10</v>
      </c>
      <c r="B784" s="51" t="s">
        <v>1060</v>
      </c>
      <c r="C784" s="51" t="str">
        <f>IFERROR(VLOOKUP(B784,Base2026!A:C,2,FALSE),"")</f>
        <v>PLAZAS DE ARAGON</v>
      </c>
      <c r="D784" s="51">
        <f>IFERROR(VLOOKUP(C784,Base2026!B:D,2,FALSE),"")</f>
        <v>5570826626</v>
      </c>
      <c r="E784" s="51">
        <v>184708</v>
      </c>
      <c r="F784" s="68">
        <v>4914.99</v>
      </c>
      <c r="G784" s="52">
        <v>46074</v>
      </c>
    </row>
    <row r="785" spans="1:7" s="51" customFormat="1" hidden="1" x14ac:dyDescent="0.3">
      <c r="A785" s="44" t="s">
        <v>1077</v>
      </c>
      <c r="B785" s="44" t="s">
        <v>1076</v>
      </c>
      <c r="C785" s="44" t="s">
        <v>923</v>
      </c>
      <c r="D785" s="44">
        <v>5540809412</v>
      </c>
      <c r="E785" s="44">
        <v>296173</v>
      </c>
      <c r="F785" s="87">
        <v>189098.71</v>
      </c>
      <c r="G785" s="46">
        <v>46074</v>
      </c>
    </row>
    <row r="786" spans="1:7" hidden="1" x14ac:dyDescent="0.3">
      <c r="A786" s="51" t="s">
        <v>1077</v>
      </c>
      <c r="B786" s="51" t="s">
        <v>1076</v>
      </c>
      <c r="C786" s="51" t="s">
        <v>923</v>
      </c>
      <c r="D786" s="44">
        <v>5540809412</v>
      </c>
      <c r="E786" s="51">
        <v>352329</v>
      </c>
      <c r="F786" s="68">
        <v>2256.9699999999998</v>
      </c>
      <c r="G786" s="52">
        <v>46074</v>
      </c>
    </row>
    <row r="787" spans="1:7" s="51" customFormat="1" hidden="1" x14ac:dyDescent="0.3">
      <c r="A787" s="51" t="s">
        <v>11</v>
      </c>
      <c r="B787" s="51" t="s">
        <v>1083</v>
      </c>
      <c r="C787" s="51" t="s">
        <v>37</v>
      </c>
      <c r="D787" s="51">
        <v>5513339523</v>
      </c>
      <c r="E787" s="51">
        <v>352143</v>
      </c>
      <c r="F787" s="68">
        <v>3085.44</v>
      </c>
      <c r="G787" s="52">
        <v>46074</v>
      </c>
    </row>
    <row r="788" spans="1:7" hidden="1" x14ac:dyDescent="0.3">
      <c r="A788" s="51" t="s">
        <v>11</v>
      </c>
      <c r="B788" s="51" t="s">
        <v>1079</v>
      </c>
      <c r="C788" s="51" t="s">
        <v>174</v>
      </c>
      <c r="D788" s="51">
        <v>5542290962</v>
      </c>
      <c r="E788" s="51">
        <v>351904</v>
      </c>
      <c r="F788" s="68">
        <v>18125.990000000002</v>
      </c>
      <c r="G788" s="52">
        <v>46074</v>
      </c>
    </row>
    <row r="789" spans="1:7" s="51" customFormat="1" hidden="1" x14ac:dyDescent="0.3">
      <c r="A789" s="44" t="s">
        <v>11</v>
      </c>
      <c r="B789" s="44" t="s">
        <v>1080</v>
      </c>
      <c r="C789" s="44" t="s">
        <v>425</v>
      </c>
      <c r="D789" s="44">
        <v>5579692362</v>
      </c>
      <c r="E789" s="44">
        <v>184509</v>
      </c>
      <c r="F789" s="87">
        <v>977</v>
      </c>
      <c r="G789" s="46">
        <v>46074</v>
      </c>
    </row>
    <row r="790" spans="1:7" hidden="1" x14ac:dyDescent="0.3">
      <c r="A790" s="44" t="s">
        <v>11</v>
      </c>
      <c r="B790" s="44" t="s">
        <v>1081</v>
      </c>
      <c r="C790" s="44" t="s">
        <v>1082</v>
      </c>
      <c r="D790" s="44">
        <v>5629088459</v>
      </c>
      <c r="E790" s="44">
        <v>184816</v>
      </c>
      <c r="F790" s="87">
        <v>3354</v>
      </c>
      <c r="G790" s="46">
        <v>46074</v>
      </c>
    </row>
    <row r="791" spans="1:7" s="51" customFormat="1" hidden="1" x14ac:dyDescent="0.3">
      <c r="A791" s="44" t="s">
        <v>11</v>
      </c>
      <c r="B791" s="44" t="s">
        <v>1078</v>
      </c>
      <c r="C791" s="44" t="s">
        <v>425</v>
      </c>
      <c r="D791" s="44">
        <v>7208175800</v>
      </c>
      <c r="E791" s="44">
        <v>185318</v>
      </c>
      <c r="F791" s="87">
        <v>982</v>
      </c>
      <c r="G791" s="46">
        <v>46074</v>
      </c>
    </row>
    <row r="792" spans="1:7" hidden="1" x14ac:dyDescent="0.3">
      <c r="A792" s="48" t="s">
        <v>10</v>
      </c>
      <c r="B792" s="48" t="s">
        <v>121</v>
      </c>
      <c r="C792" s="48" t="s">
        <v>41</v>
      </c>
      <c r="D792" s="48">
        <f>IFERROR(VLOOKUP(C792,Base2026!B:D,2,FALSE),"")</f>
        <v>5517473496</v>
      </c>
      <c r="E792" s="48">
        <v>351924</v>
      </c>
      <c r="F792" s="88">
        <v>8229.99</v>
      </c>
      <c r="G792" s="50">
        <v>46076</v>
      </c>
    </row>
    <row r="793" spans="1:7" s="48" customFormat="1" hidden="1" x14ac:dyDescent="0.3">
      <c r="A793" s="48" t="s">
        <v>10</v>
      </c>
      <c r="B793" s="48" t="s">
        <v>1073</v>
      </c>
      <c r="C793" s="48" t="s">
        <v>1074</v>
      </c>
      <c r="D793" s="48">
        <v>5519637053</v>
      </c>
      <c r="E793" s="48">
        <v>185423</v>
      </c>
      <c r="F793" s="88">
        <v>10875</v>
      </c>
      <c r="G793" s="50">
        <v>46076</v>
      </c>
    </row>
    <row r="794" spans="1:7" hidden="1" x14ac:dyDescent="0.3">
      <c r="A794" s="44" t="s">
        <v>10</v>
      </c>
      <c r="B794" s="44" t="s">
        <v>718</v>
      </c>
      <c r="C794" s="44" t="s">
        <v>161</v>
      </c>
      <c r="D794" s="44">
        <f>IFERROR(VLOOKUP(C794,Base2026!B:D,2,FALSE),"")</f>
        <v>5528013590</v>
      </c>
      <c r="E794" s="44">
        <v>185376</v>
      </c>
      <c r="F794" s="87">
        <v>3668</v>
      </c>
      <c r="G794" s="46">
        <v>46076</v>
      </c>
    </row>
    <row r="795" spans="1:7" s="48" customFormat="1" hidden="1" x14ac:dyDescent="0.3">
      <c r="A795" s="44" t="s">
        <v>10</v>
      </c>
      <c r="B795" s="44" t="s">
        <v>1086</v>
      </c>
      <c r="C795" s="44" t="s">
        <v>1087</v>
      </c>
      <c r="D795" s="44">
        <v>5534239252</v>
      </c>
      <c r="E795" s="44">
        <v>184946</v>
      </c>
      <c r="F795" s="87">
        <v>3191.16</v>
      </c>
      <c r="G795" s="46">
        <v>46076</v>
      </c>
    </row>
    <row r="796" spans="1:7" hidden="1" x14ac:dyDescent="0.3">
      <c r="A796" s="48" t="s">
        <v>10</v>
      </c>
      <c r="B796" s="48" t="s">
        <v>1088</v>
      </c>
      <c r="C796" s="48" t="s">
        <v>1089</v>
      </c>
      <c r="D796" s="48">
        <v>5539141746</v>
      </c>
      <c r="E796" s="48">
        <v>352066</v>
      </c>
      <c r="F796" s="88">
        <v>14799.99</v>
      </c>
      <c r="G796" s="50">
        <v>46076</v>
      </c>
    </row>
    <row r="797" spans="1:7" s="48" customFormat="1" hidden="1" x14ac:dyDescent="0.3">
      <c r="A797" s="44" t="s">
        <v>10</v>
      </c>
      <c r="B797" s="44" t="s">
        <v>121</v>
      </c>
      <c r="C797" s="44" t="s">
        <v>41</v>
      </c>
      <c r="D797" s="44">
        <v>5612852406</v>
      </c>
      <c r="E797" s="44">
        <v>352187</v>
      </c>
      <c r="F797" s="87">
        <v>4871.59</v>
      </c>
      <c r="G797" s="46">
        <v>46076</v>
      </c>
    </row>
    <row r="798" spans="1:7" hidden="1" x14ac:dyDescent="0.3">
      <c r="A798" s="44" t="s">
        <v>1077</v>
      </c>
      <c r="B798" s="44" t="s">
        <v>1076</v>
      </c>
      <c r="C798" s="44" t="s">
        <v>923</v>
      </c>
      <c r="D798" s="44">
        <v>5540809412</v>
      </c>
      <c r="E798" s="44">
        <v>296173</v>
      </c>
      <c r="F798" s="87">
        <v>189098.71</v>
      </c>
      <c r="G798" s="46">
        <v>46076</v>
      </c>
    </row>
    <row r="799" spans="1:7" s="48" customFormat="1" hidden="1" x14ac:dyDescent="0.3">
      <c r="A799" s="48" t="s">
        <v>1077</v>
      </c>
      <c r="B799" s="48" t="s">
        <v>1076</v>
      </c>
      <c r="C799" s="48" t="s">
        <v>923</v>
      </c>
      <c r="D799" s="48">
        <v>5540809412</v>
      </c>
      <c r="E799" s="48">
        <v>352329</v>
      </c>
      <c r="F799" s="88">
        <v>2256.9699999999998</v>
      </c>
      <c r="G799" s="50">
        <v>46076</v>
      </c>
    </row>
    <row r="800" spans="1:7" hidden="1" x14ac:dyDescent="0.3">
      <c r="A800" s="48" t="s">
        <v>11</v>
      </c>
      <c r="B800" s="48" t="s">
        <v>1084</v>
      </c>
      <c r="C800" s="48" t="s">
        <v>107</v>
      </c>
      <c r="D800" s="48">
        <v>5514795402</v>
      </c>
      <c r="E800" s="48">
        <v>185324</v>
      </c>
      <c r="F800" s="88">
        <v>6452.02</v>
      </c>
      <c r="G800" s="50">
        <v>46076</v>
      </c>
    </row>
    <row r="801" spans="1:7" s="48" customFormat="1" hidden="1" x14ac:dyDescent="0.3">
      <c r="A801" s="44" t="s">
        <v>11</v>
      </c>
      <c r="B801" s="44" t="s">
        <v>270</v>
      </c>
      <c r="C801" s="44" t="str">
        <f>IFERROR(VLOOKUP(B801,Base2026!A:C,2,FALSE),"")</f>
        <v xml:space="preserve">TOLOTZIN </v>
      </c>
      <c r="D801" s="44">
        <v>5527842592</v>
      </c>
      <c r="E801" s="44">
        <v>352263</v>
      </c>
      <c r="F801" s="87">
        <v>1529.28</v>
      </c>
      <c r="G801" s="46">
        <v>46076</v>
      </c>
    </row>
    <row r="802" spans="1:7" hidden="1" x14ac:dyDescent="0.3">
      <c r="A802" s="48" t="s">
        <v>11</v>
      </c>
      <c r="B802" s="48" t="s">
        <v>1085</v>
      </c>
      <c r="C802" s="48" t="s">
        <v>248</v>
      </c>
      <c r="D802" s="48">
        <v>5530458235</v>
      </c>
      <c r="E802" s="48">
        <v>183546</v>
      </c>
      <c r="F802" s="88">
        <v>63156.82</v>
      </c>
      <c r="G802" s="50">
        <v>46076</v>
      </c>
    </row>
    <row r="803" spans="1:7" s="48" customFormat="1" hidden="1" x14ac:dyDescent="0.3">
      <c r="A803" s="48" t="s">
        <v>11</v>
      </c>
      <c r="B803" s="48" t="s">
        <v>57</v>
      </c>
      <c r="C803" s="48" t="str">
        <f>IFERROR(VLOOKUP(B803,Base2026!A:C,2,FALSE),"")</f>
        <v>EJE 8</v>
      </c>
      <c r="D803" s="48">
        <v>5554550976</v>
      </c>
      <c r="E803" s="48">
        <v>298649</v>
      </c>
      <c r="F803" s="88">
        <v>8735</v>
      </c>
      <c r="G803" s="50">
        <v>46076</v>
      </c>
    </row>
    <row r="804" spans="1:7" hidden="1" x14ac:dyDescent="0.3">
      <c r="A804" s="44" t="s">
        <v>11</v>
      </c>
      <c r="B804" s="44" t="s">
        <v>57</v>
      </c>
      <c r="C804" s="44" t="str">
        <f>IFERROR(VLOOKUP(B804,Base2026!A:C,2,FALSE),"")</f>
        <v>EJE 8</v>
      </c>
      <c r="D804" s="44">
        <v>5554550976</v>
      </c>
      <c r="E804" s="44">
        <v>297650</v>
      </c>
      <c r="F804" s="87">
        <v>28964.75</v>
      </c>
      <c r="G804" s="46">
        <v>46076</v>
      </c>
    </row>
    <row r="805" spans="1:7" s="48" customFormat="1" hidden="1" x14ac:dyDescent="0.3">
      <c r="A805" s="51" t="s">
        <v>10</v>
      </c>
      <c r="B805" s="51" t="s">
        <v>1094</v>
      </c>
      <c r="C805" s="51" t="s">
        <v>253</v>
      </c>
      <c r="D805" s="51">
        <v>5514150659</v>
      </c>
      <c r="E805" s="51">
        <v>298740</v>
      </c>
      <c r="F805" s="68">
        <v>6701.99</v>
      </c>
      <c r="G805" s="52">
        <v>46077</v>
      </c>
    </row>
    <row r="806" spans="1:7" hidden="1" x14ac:dyDescent="0.3">
      <c r="A806" s="44" t="s">
        <v>10</v>
      </c>
      <c r="B806" s="44" t="s">
        <v>1098</v>
      </c>
      <c r="C806" s="44" t="s">
        <v>138</v>
      </c>
      <c r="D806" s="44">
        <v>5514851554</v>
      </c>
      <c r="E806" s="44">
        <v>352328</v>
      </c>
      <c r="F806" s="87">
        <v>814.64</v>
      </c>
      <c r="G806" s="46">
        <v>46077</v>
      </c>
    </row>
    <row r="807" spans="1:7" s="51" customFormat="1" hidden="1" x14ac:dyDescent="0.3">
      <c r="A807" s="44" t="s">
        <v>10</v>
      </c>
      <c r="B807" s="44" t="s">
        <v>217</v>
      </c>
      <c r="C807" s="44" t="str">
        <f>IFERROR(VLOOKUP(B807,Base2026!A:C,2,FALSE),"")</f>
        <v>CERRO GORDO</v>
      </c>
      <c r="D807" s="44">
        <f>IFERROR(VLOOKUP(C807,Base2026!B:D,2,FALSE),"")</f>
        <v>5521745267</v>
      </c>
      <c r="E807" s="44">
        <v>352563</v>
      </c>
      <c r="F807" s="87">
        <v>746</v>
      </c>
      <c r="G807" s="46">
        <v>46077</v>
      </c>
    </row>
    <row r="808" spans="1:7" hidden="1" x14ac:dyDescent="0.3">
      <c r="A808" s="51" t="s">
        <v>10</v>
      </c>
      <c r="B808" s="51" t="s">
        <v>1096</v>
      </c>
      <c r="C808" s="51" t="s">
        <v>739</v>
      </c>
      <c r="D808" s="51">
        <v>5539133657</v>
      </c>
      <c r="E808" s="51">
        <v>185594</v>
      </c>
      <c r="F808" s="68">
        <v>5972</v>
      </c>
      <c r="G808" s="52">
        <v>46077</v>
      </c>
    </row>
    <row r="809" spans="1:7" s="51" customFormat="1" hidden="1" x14ac:dyDescent="0.3">
      <c r="A809" s="44" t="s">
        <v>10</v>
      </c>
      <c r="B809" s="44" t="s">
        <v>1095</v>
      </c>
      <c r="C809" s="44" t="s">
        <v>490</v>
      </c>
      <c r="D809" s="44">
        <v>5624000717</v>
      </c>
      <c r="E809" s="44">
        <v>352369</v>
      </c>
      <c r="F809" s="87">
        <v>2600</v>
      </c>
      <c r="G809" s="46">
        <v>46077</v>
      </c>
    </row>
    <row r="810" spans="1:7" hidden="1" x14ac:dyDescent="0.3">
      <c r="A810" s="51" t="s">
        <v>10</v>
      </c>
      <c r="B810" s="51" t="s">
        <v>1097</v>
      </c>
      <c r="C810" s="51" t="s">
        <v>148</v>
      </c>
      <c r="D810" s="51">
        <v>5624251365</v>
      </c>
      <c r="E810" s="51">
        <v>185261</v>
      </c>
      <c r="F810" s="68">
        <v>1235</v>
      </c>
      <c r="G810" s="52">
        <v>46077</v>
      </c>
    </row>
    <row r="811" spans="1:7" s="51" customFormat="1" hidden="1" x14ac:dyDescent="0.3">
      <c r="A811" s="51" t="s">
        <v>17</v>
      </c>
      <c r="B811" s="51" t="s">
        <v>1091</v>
      </c>
      <c r="C811" s="51" t="s">
        <v>41</v>
      </c>
      <c r="D811" s="51">
        <v>5527288634</v>
      </c>
      <c r="E811" s="51">
        <v>352540</v>
      </c>
      <c r="F811" s="68">
        <v>4821</v>
      </c>
      <c r="G811" s="52">
        <v>46077</v>
      </c>
    </row>
    <row r="812" spans="1:7" hidden="1" x14ac:dyDescent="0.3">
      <c r="A812" s="51" t="s">
        <v>17</v>
      </c>
      <c r="B812" s="51" t="s">
        <v>1093</v>
      </c>
      <c r="C812" s="51" t="s">
        <v>152</v>
      </c>
      <c r="D812" s="51">
        <v>5527570550</v>
      </c>
      <c r="E812" s="51">
        <v>185637</v>
      </c>
      <c r="F812" s="68">
        <v>4182.01</v>
      </c>
      <c r="G812" s="52">
        <v>46077</v>
      </c>
    </row>
    <row r="813" spans="1:7" s="51" customFormat="1" hidden="1" x14ac:dyDescent="0.3">
      <c r="A813" s="44" t="s">
        <v>17</v>
      </c>
      <c r="B813" s="44" t="s">
        <v>1092</v>
      </c>
      <c r="C813" s="44" t="s">
        <v>1998</v>
      </c>
      <c r="D813" s="44">
        <v>5541945913</v>
      </c>
      <c r="E813" s="44">
        <v>185216</v>
      </c>
      <c r="F813" s="87">
        <v>741</v>
      </c>
      <c r="G813" s="46">
        <v>46077</v>
      </c>
    </row>
    <row r="814" spans="1:7" hidden="1" x14ac:dyDescent="0.3">
      <c r="A814" s="44" t="s">
        <v>17</v>
      </c>
      <c r="B814" s="44" t="s">
        <v>496</v>
      </c>
      <c r="C814" s="44" t="str">
        <f>IFERROR(VLOOKUP(B814,Base2026!A:C,2,FALSE),"")</f>
        <v>LAZARO CARDENAS</v>
      </c>
      <c r="D814" s="44">
        <v>5626009250</v>
      </c>
      <c r="E814" s="44">
        <v>185064</v>
      </c>
      <c r="F814" s="87">
        <v>8893</v>
      </c>
      <c r="G814" s="46">
        <v>46077</v>
      </c>
    </row>
    <row r="815" spans="1:7" s="51" customFormat="1" hidden="1" x14ac:dyDescent="0.3">
      <c r="A815" s="44" t="s">
        <v>890</v>
      </c>
      <c r="B815" s="44" t="s">
        <v>363</v>
      </c>
      <c r="C815" s="44" t="s">
        <v>1090</v>
      </c>
      <c r="D815" s="44">
        <v>5591940032</v>
      </c>
      <c r="E815" s="44">
        <v>298400</v>
      </c>
      <c r="F815" s="87">
        <v>13944.23</v>
      </c>
      <c r="G815" s="46">
        <v>46077</v>
      </c>
    </row>
    <row r="816" spans="1:7" hidden="1" x14ac:dyDescent="0.3">
      <c r="A816" s="44" t="s">
        <v>11</v>
      </c>
      <c r="B816" s="44" t="s">
        <v>1099</v>
      </c>
      <c r="C816" s="44" t="s">
        <v>1100</v>
      </c>
      <c r="D816" s="44">
        <v>5518121123</v>
      </c>
      <c r="E816" s="44">
        <v>352561</v>
      </c>
      <c r="F816" s="87">
        <v>2020</v>
      </c>
      <c r="G816" s="46">
        <v>46077</v>
      </c>
    </row>
    <row r="817" spans="1:7" s="51" customFormat="1" hidden="1" x14ac:dyDescent="0.3">
      <c r="A817" s="51" t="s">
        <v>11</v>
      </c>
      <c r="B817" s="51" t="s">
        <v>464</v>
      </c>
      <c r="C817" s="51" t="str">
        <f>IFERROR(VLOOKUP(B817,Base2026!A:C,2,FALSE),"")</f>
        <v>VERGEL DE GUADALUPE</v>
      </c>
      <c r="D817" s="51">
        <v>5530077795</v>
      </c>
      <c r="E817" s="51">
        <v>325558</v>
      </c>
      <c r="F817" s="68">
        <v>964</v>
      </c>
      <c r="G817" s="52">
        <v>46077</v>
      </c>
    </row>
    <row r="818" spans="1:7" hidden="1" x14ac:dyDescent="0.3">
      <c r="A818" s="51" t="s">
        <v>11</v>
      </c>
      <c r="B818" s="51" t="s">
        <v>71</v>
      </c>
      <c r="C818" s="51" t="s">
        <v>1101</v>
      </c>
      <c r="D818" s="51">
        <v>5540903766</v>
      </c>
      <c r="E818" s="51">
        <v>185619</v>
      </c>
      <c r="F818" s="68">
        <v>4530</v>
      </c>
      <c r="G818" s="52">
        <v>46077</v>
      </c>
    </row>
    <row r="819" spans="1:7" s="51" customFormat="1" hidden="1" x14ac:dyDescent="0.3">
      <c r="A819" s="44" t="s">
        <v>11</v>
      </c>
      <c r="B819" s="44" t="s">
        <v>1103</v>
      </c>
      <c r="C819" s="44" t="s">
        <v>543</v>
      </c>
      <c r="D819" s="44">
        <f>IFERROR(VLOOKUP(C819,Base2026!B:D,2,FALSE),"")</f>
        <v>5548815048</v>
      </c>
      <c r="E819" s="44">
        <v>298349</v>
      </c>
      <c r="F819" s="87">
        <v>2770.16</v>
      </c>
      <c r="G819" s="46">
        <v>46077</v>
      </c>
    </row>
    <row r="820" spans="1:7" hidden="1" x14ac:dyDescent="0.3">
      <c r="A820" s="44" t="s">
        <v>11</v>
      </c>
      <c r="B820" s="44" t="s">
        <v>284</v>
      </c>
      <c r="C820" s="44" t="s">
        <v>1102</v>
      </c>
      <c r="D820" s="44">
        <v>5575268727</v>
      </c>
      <c r="E820" s="44">
        <v>185693</v>
      </c>
      <c r="F820" s="87">
        <v>3002</v>
      </c>
      <c r="G820" s="46">
        <v>46077</v>
      </c>
    </row>
    <row r="821" spans="1:7" s="51" customFormat="1" hidden="1" x14ac:dyDescent="0.3">
      <c r="A821" s="51" t="s">
        <v>11</v>
      </c>
      <c r="B821" s="51" t="s">
        <v>284</v>
      </c>
      <c r="C821" s="51" t="s">
        <v>1102</v>
      </c>
      <c r="D821" s="51">
        <v>5575268727</v>
      </c>
      <c r="E821" s="51">
        <v>185692</v>
      </c>
      <c r="F821" s="68">
        <v>2160</v>
      </c>
      <c r="G821" s="52">
        <v>46077</v>
      </c>
    </row>
    <row r="822" spans="1:7" hidden="1" x14ac:dyDescent="0.3">
      <c r="A822" s="48" t="s">
        <v>10</v>
      </c>
      <c r="B822" s="48" t="s">
        <v>526</v>
      </c>
      <c r="C822" s="48" t="str">
        <f>IFERROR(VLOOKUP(B822,Base2026!A:C,2,FALSE),"")</f>
        <v>VALLE DE ANAHUAC</v>
      </c>
      <c r="D822" s="48">
        <f>IFERROR(VLOOKUP(C822,Base2026!B:D,2,FALSE),"")</f>
        <v>5514407771</v>
      </c>
      <c r="E822" s="48">
        <v>352403</v>
      </c>
      <c r="F822" s="88">
        <v>2096</v>
      </c>
      <c r="G822" s="50">
        <v>46078</v>
      </c>
    </row>
    <row r="823" spans="1:7" s="48" customFormat="1" hidden="1" x14ac:dyDescent="0.3">
      <c r="A823" s="44" t="s">
        <v>10</v>
      </c>
      <c r="B823" s="44" t="s">
        <v>1117</v>
      </c>
      <c r="C823" s="44" t="s">
        <v>72</v>
      </c>
      <c r="D823" s="44">
        <v>5520390815</v>
      </c>
      <c r="E823" s="44">
        <v>352414</v>
      </c>
      <c r="F823" s="87">
        <v>744.16</v>
      </c>
      <c r="G823" s="46">
        <v>46078</v>
      </c>
    </row>
    <row r="824" spans="1:7" hidden="1" x14ac:dyDescent="0.3">
      <c r="A824" s="48" t="s">
        <v>10</v>
      </c>
      <c r="B824" s="48" t="s">
        <v>1105</v>
      </c>
      <c r="C824" s="48" t="s">
        <v>306</v>
      </c>
      <c r="D824" s="48">
        <v>5533352197</v>
      </c>
      <c r="E824" s="48">
        <v>298554</v>
      </c>
      <c r="F824" s="88">
        <v>3694</v>
      </c>
      <c r="G824" s="50">
        <v>46078</v>
      </c>
    </row>
    <row r="825" spans="1:7" s="48" customFormat="1" hidden="1" x14ac:dyDescent="0.3">
      <c r="A825" s="44" t="s">
        <v>10</v>
      </c>
      <c r="B825" s="44" t="s">
        <v>532</v>
      </c>
      <c r="C825" s="44" t="str">
        <f>IFERROR(VLOOKUP(B825,Base2026!A:C,2,FALSE),"")</f>
        <v>VILLA DE GUADALUPE</v>
      </c>
      <c r="D825" s="44">
        <v>5535537817</v>
      </c>
      <c r="E825" s="44">
        <v>298609</v>
      </c>
      <c r="F825" s="87">
        <v>4770.72</v>
      </c>
      <c r="G825" s="46">
        <v>46078</v>
      </c>
    </row>
    <row r="826" spans="1:7" hidden="1" x14ac:dyDescent="0.3">
      <c r="A826" s="48" t="s">
        <v>10</v>
      </c>
      <c r="B826" s="48" t="s">
        <v>1106</v>
      </c>
      <c r="C826" s="48" t="s">
        <v>1107</v>
      </c>
      <c r="D826" s="48">
        <v>5539505043</v>
      </c>
      <c r="E826" s="48">
        <v>184378</v>
      </c>
      <c r="F826" s="88">
        <v>3311</v>
      </c>
      <c r="G826" s="50">
        <v>46078</v>
      </c>
    </row>
    <row r="827" spans="1:7" s="48" customFormat="1" hidden="1" x14ac:dyDescent="0.3">
      <c r="A827" s="44" t="s">
        <v>10</v>
      </c>
      <c r="B827" s="44" t="s">
        <v>1106</v>
      </c>
      <c r="C827" s="44" t="s">
        <v>1107</v>
      </c>
      <c r="D827" s="44">
        <v>5539505043</v>
      </c>
      <c r="E827" s="44">
        <v>184465</v>
      </c>
      <c r="F827" s="87">
        <v>1390</v>
      </c>
      <c r="G827" s="46">
        <v>46078</v>
      </c>
    </row>
    <row r="828" spans="1:7" hidden="1" x14ac:dyDescent="0.3">
      <c r="A828" s="48" t="s">
        <v>10</v>
      </c>
      <c r="B828" s="48" t="s">
        <v>1106</v>
      </c>
      <c r="C828" s="48" t="s">
        <v>1107</v>
      </c>
      <c r="D828" s="48">
        <v>5539505043</v>
      </c>
      <c r="E828" s="48">
        <v>184376</v>
      </c>
      <c r="F828" s="88">
        <v>4694</v>
      </c>
      <c r="G828" s="50">
        <v>46078</v>
      </c>
    </row>
    <row r="829" spans="1:7" s="48" customFormat="1" hidden="1" x14ac:dyDescent="0.3">
      <c r="A829" s="44" t="s">
        <v>10</v>
      </c>
      <c r="B829" s="44" t="s">
        <v>1106</v>
      </c>
      <c r="C829" s="44" t="s">
        <v>1107</v>
      </c>
      <c r="D829" s="44">
        <v>5539505043</v>
      </c>
      <c r="E829" s="44">
        <v>184464</v>
      </c>
      <c r="F829" s="87">
        <v>3374</v>
      </c>
      <c r="G829" s="46">
        <v>46078</v>
      </c>
    </row>
    <row r="830" spans="1:7" hidden="1" x14ac:dyDescent="0.3">
      <c r="A830" s="48" t="s">
        <v>10</v>
      </c>
      <c r="B830" s="48" t="s">
        <v>1106</v>
      </c>
      <c r="C830" s="48" t="s">
        <v>1107</v>
      </c>
      <c r="D830" s="48">
        <v>5539505043</v>
      </c>
      <c r="E830" s="48">
        <v>184379</v>
      </c>
      <c r="F830" s="88">
        <v>3128</v>
      </c>
      <c r="G830" s="50">
        <v>46078</v>
      </c>
    </row>
    <row r="831" spans="1:7" s="48" customFormat="1" hidden="1" x14ac:dyDescent="0.3">
      <c r="A831" s="48" t="s">
        <v>10</v>
      </c>
      <c r="B831" s="48" t="s">
        <v>1118</v>
      </c>
      <c r="C831" s="48" t="s">
        <v>113</v>
      </c>
      <c r="D831" s="48">
        <v>5564492703</v>
      </c>
      <c r="E831" s="48">
        <v>185452</v>
      </c>
      <c r="F831" s="88">
        <v>742</v>
      </c>
      <c r="G831" s="50">
        <v>46078</v>
      </c>
    </row>
    <row r="832" spans="1:7" hidden="1" x14ac:dyDescent="0.3">
      <c r="A832" s="48" t="s">
        <v>17</v>
      </c>
      <c r="B832" s="48" t="s">
        <v>1110</v>
      </c>
      <c r="C832" s="48" t="s">
        <v>458</v>
      </c>
      <c r="D832" s="48">
        <v>5511961614</v>
      </c>
      <c r="E832" s="48">
        <v>185443</v>
      </c>
      <c r="F832" s="88">
        <v>2347</v>
      </c>
      <c r="G832" s="50">
        <v>46078</v>
      </c>
    </row>
    <row r="833" spans="1:7" s="48" customFormat="1" hidden="1" x14ac:dyDescent="0.3">
      <c r="A833" s="48" t="s">
        <v>17</v>
      </c>
      <c r="B833" s="48" t="s">
        <v>1112</v>
      </c>
      <c r="C833" s="48" t="s">
        <v>68</v>
      </c>
      <c r="D833" s="48">
        <f>IFERROR(VLOOKUP(C833,Base2026!B:D,2,FALSE),"")</f>
        <v>5520706498</v>
      </c>
      <c r="E833" s="48">
        <v>298870</v>
      </c>
      <c r="F833" s="88">
        <v>2969.06</v>
      </c>
      <c r="G833" s="50">
        <v>46078</v>
      </c>
    </row>
    <row r="834" spans="1:7" hidden="1" x14ac:dyDescent="0.3">
      <c r="A834" s="44" t="s">
        <v>17</v>
      </c>
      <c r="B834" s="44" t="s">
        <v>1112</v>
      </c>
      <c r="C834" s="44" t="s">
        <v>68</v>
      </c>
      <c r="D834" s="44">
        <v>5534651744</v>
      </c>
      <c r="E834" s="44">
        <v>298845</v>
      </c>
      <c r="F834" s="87">
        <v>6942</v>
      </c>
      <c r="G834" s="46">
        <v>46078</v>
      </c>
    </row>
    <row r="835" spans="1:7" s="48" customFormat="1" hidden="1" x14ac:dyDescent="0.3">
      <c r="A835" s="48" t="s">
        <v>17</v>
      </c>
      <c r="B835" s="48" t="s">
        <v>1115</v>
      </c>
      <c r="C835" s="48" t="s">
        <v>798</v>
      </c>
      <c r="D835" s="48">
        <v>5540498614</v>
      </c>
      <c r="E835" s="48">
        <v>184539</v>
      </c>
      <c r="F835" s="88">
        <v>13961.1</v>
      </c>
      <c r="G835" s="50">
        <v>46078</v>
      </c>
    </row>
    <row r="836" spans="1:7" hidden="1" x14ac:dyDescent="0.3">
      <c r="A836" s="44" t="s">
        <v>17</v>
      </c>
      <c r="B836" s="44" t="s">
        <v>772</v>
      </c>
      <c r="C836" s="44" t="str">
        <f>IFERROR(VLOOKUP(B836,Base2026!A:C,2,FALSE),"")</f>
        <v>VALLE DE ARAGON</v>
      </c>
      <c r="D836" s="44">
        <v>5551013891</v>
      </c>
      <c r="E836" s="44">
        <v>181806</v>
      </c>
      <c r="F836" s="87">
        <v>2970.8</v>
      </c>
      <c r="G836" s="46">
        <v>46078</v>
      </c>
    </row>
    <row r="837" spans="1:7" s="48" customFormat="1" hidden="1" x14ac:dyDescent="0.3">
      <c r="A837" s="44" t="s">
        <v>17</v>
      </c>
      <c r="B837" s="44" t="s">
        <v>685</v>
      </c>
      <c r="C837" s="44" t="str">
        <f>IFERROR(VLOOKUP(B837,Base2026!A:C,2,FALSE),"")</f>
        <v>PLAZAS DE ARAGON</v>
      </c>
      <c r="D837" s="44">
        <v>5561730787</v>
      </c>
      <c r="E837" s="44">
        <v>184587</v>
      </c>
      <c r="F837" s="87">
        <v>19453.64</v>
      </c>
      <c r="G837" s="46">
        <v>46078</v>
      </c>
    </row>
    <row r="838" spans="1:7" hidden="1" x14ac:dyDescent="0.3">
      <c r="A838" s="44" t="s">
        <v>17</v>
      </c>
      <c r="B838" s="44" t="s">
        <v>1114</v>
      </c>
      <c r="C838" s="44" t="s">
        <v>674</v>
      </c>
      <c r="D838" s="44">
        <f>IFERROR(VLOOKUP(C838,Base2026!B:D,2,FALSE),"")</f>
        <v>5563285106</v>
      </c>
      <c r="E838" s="44">
        <v>185741</v>
      </c>
      <c r="F838" s="87">
        <v>6030</v>
      </c>
      <c r="G838" s="46">
        <v>46078</v>
      </c>
    </row>
    <row r="839" spans="1:7" s="48" customFormat="1" hidden="1" x14ac:dyDescent="0.3">
      <c r="A839" s="44" t="s">
        <v>17</v>
      </c>
      <c r="B839" s="44" t="s">
        <v>1108</v>
      </c>
      <c r="C839" s="44" t="s">
        <v>1109</v>
      </c>
      <c r="D839" s="44">
        <v>5566729678</v>
      </c>
      <c r="E839" s="44">
        <v>185206</v>
      </c>
      <c r="F839" s="87">
        <v>2365</v>
      </c>
      <c r="G839" s="46">
        <v>46078</v>
      </c>
    </row>
    <row r="840" spans="1:7" hidden="1" x14ac:dyDescent="0.3">
      <c r="A840" s="44" t="s">
        <v>17</v>
      </c>
      <c r="B840" s="44" t="s">
        <v>1116</v>
      </c>
      <c r="C840" s="44" t="s">
        <v>107</v>
      </c>
      <c r="D840" s="44">
        <v>5567608904</v>
      </c>
      <c r="E840" s="44">
        <v>298938</v>
      </c>
      <c r="F840" s="87">
        <v>610</v>
      </c>
      <c r="G840" s="46">
        <v>46078</v>
      </c>
    </row>
    <row r="841" spans="1:7" s="48" customFormat="1" hidden="1" x14ac:dyDescent="0.3">
      <c r="A841" s="48" t="s">
        <v>17</v>
      </c>
      <c r="B841" s="48" t="s">
        <v>1111</v>
      </c>
      <c r="C841" s="48" t="s">
        <v>167</v>
      </c>
      <c r="D841" s="48">
        <v>5567717263</v>
      </c>
      <c r="E841" s="48">
        <v>352649</v>
      </c>
      <c r="F841" s="88">
        <v>3694</v>
      </c>
      <c r="G841" s="50">
        <v>46078</v>
      </c>
    </row>
    <row r="842" spans="1:7" hidden="1" x14ac:dyDescent="0.3">
      <c r="A842" s="48" t="s">
        <v>17</v>
      </c>
      <c r="B842" s="48" t="s">
        <v>1113</v>
      </c>
      <c r="C842" s="48" t="s">
        <v>65</v>
      </c>
      <c r="D842" s="48">
        <v>5571363399</v>
      </c>
      <c r="E842" s="48">
        <v>352373</v>
      </c>
      <c r="F842" s="88">
        <v>6502</v>
      </c>
      <c r="G842" s="50">
        <v>46078</v>
      </c>
    </row>
    <row r="843" spans="1:7" s="48" customFormat="1" hidden="1" x14ac:dyDescent="0.3">
      <c r="A843" s="44" t="s">
        <v>11</v>
      </c>
      <c r="B843" s="44" t="s">
        <v>1085</v>
      </c>
      <c r="C843" s="44" t="s">
        <v>1104</v>
      </c>
      <c r="D843" s="44">
        <v>5530458235</v>
      </c>
      <c r="E843" s="44">
        <v>183546</v>
      </c>
      <c r="F843" s="87">
        <v>63156.82</v>
      </c>
      <c r="G843" s="46">
        <v>46078</v>
      </c>
    </row>
    <row r="844" spans="1:7" x14ac:dyDescent="0.3">
      <c r="A844" s="44" t="s">
        <v>11</v>
      </c>
      <c r="B844" s="44" t="s">
        <v>528</v>
      </c>
      <c r="C844" s="44" t="str">
        <f>IFERROR(VLOOKUP(B844,Base2026!A:C,2,FALSE),"")</f>
        <v>TEXCOCO</v>
      </c>
      <c r="D844" s="44">
        <f>IFERROR(VLOOKUP(C844,Base2026!B:D,2,FALSE),"")</f>
        <v>5536695063</v>
      </c>
      <c r="E844" s="44">
        <v>298648</v>
      </c>
      <c r="F844" s="87">
        <v>10325.02</v>
      </c>
      <c r="G844" s="46">
        <v>46078</v>
      </c>
    </row>
    <row r="845" spans="1:7" s="48" customFormat="1" hidden="1" x14ac:dyDescent="0.3">
      <c r="A845" s="48" t="s">
        <v>11</v>
      </c>
      <c r="B845" s="48" t="s">
        <v>1048</v>
      </c>
      <c r="C845" s="48" t="str">
        <f>IFERROR(VLOOKUP(B845,Base2026!A:C,2,FALSE),"")</f>
        <v>JARDINES DE MORELOS</v>
      </c>
      <c r="D845" s="48">
        <f>IFERROR(VLOOKUP(C845,Base2026!B:D,2,FALSE),"")</f>
        <v>5558383479</v>
      </c>
      <c r="E845" s="48">
        <v>297224</v>
      </c>
      <c r="F845" s="88">
        <v>4730</v>
      </c>
      <c r="G845" s="50">
        <v>46078</v>
      </c>
    </row>
    <row r="846" spans="1:7" hidden="1" x14ac:dyDescent="0.3">
      <c r="A846" s="48" t="s">
        <v>11</v>
      </c>
      <c r="B846" s="48" t="s">
        <v>610</v>
      </c>
      <c r="C846" s="48" t="str">
        <f>IFERROR(VLOOKUP(B846,Base2026!A:C,2,FALSE),"")</f>
        <v>SAN PABLO TEXCOCO</v>
      </c>
      <c r="D846" s="48">
        <f>IFERROR(VLOOKUP(C846,Base2026!B:D,2,FALSE),"")</f>
        <v>5582860407</v>
      </c>
      <c r="E846" s="48">
        <v>298243</v>
      </c>
      <c r="F846" s="88">
        <v>11252.01</v>
      </c>
      <c r="G846" s="50">
        <v>46078</v>
      </c>
    </row>
    <row r="847" spans="1:7" s="48" customFormat="1" hidden="1" x14ac:dyDescent="0.3">
      <c r="A847" s="51" t="s">
        <v>10</v>
      </c>
      <c r="B847" s="51" t="s">
        <v>1129</v>
      </c>
      <c r="C847" s="51" t="s">
        <v>43</v>
      </c>
      <c r="D847" s="51">
        <v>5528353565</v>
      </c>
      <c r="E847" s="51">
        <v>185278</v>
      </c>
      <c r="F847" s="68">
        <v>3760</v>
      </c>
      <c r="G847" s="52">
        <v>46079</v>
      </c>
    </row>
    <row r="848" spans="1:7" hidden="1" x14ac:dyDescent="0.3">
      <c r="A848" s="51" t="s">
        <v>10</v>
      </c>
      <c r="B848" s="51" t="s">
        <v>1124</v>
      </c>
      <c r="C848" s="51" t="s">
        <v>1125</v>
      </c>
      <c r="D848" s="51">
        <v>5528651464</v>
      </c>
      <c r="E848" s="51">
        <v>185703</v>
      </c>
      <c r="F848" s="68">
        <v>1950</v>
      </c>
      <c r="G848" s="52">
        <v>46079</v>
      </c>
    </row>
    <row r="849" spans="1:7" s="51" customFormat="1" hidden="1" x14ac:dyDescent="0.3">
      <c r="A849" s="44" t="s">
        <v>10</v>
      </c>
      <c r="B849" s="44" t="s">
        <v>1123</v>
      </c>
      <c r="C849" s="44" t="s">
        <v>6</v>
      </c>
      <c r="D849" s="44">
        <v>5529436388</v>
      </c>
      <c r="E849" s="44">
        <v>185428</v>
      </c>
      <c r="F849" s="87">
        <v>2879.68</v>
      </c>
      <c r="G849" s="46">
        <v>46079</v>
      </c>
    </row>
    <row r="850" spans="1:7" hidden="1" x14ac:dyDescent="0.3">
      <c r="A850" s="51" t="s">
        <v>10</v>
      </c>
      <c r="B850" s="51" t="s">
        <v>1131</v>
      </c>
      <c r="C850" s="51" t="s">
        <v>425</v>
      </c>
      <c r="D850" s="51">
        <v>5545735033</v>
      </c>
      <c r="E850" s="51">
        <v>298839</v>
      </c>
      <c r="F850" s="68">
        <v>1434.56</v>
      </c>
      <c r="G850" s="52">
        <v>46079</v>
      </c>
    </row>
    <row r="851" spans="1:7" s="51" customFormat="1" hidden="1" x14ac:dyDescent="0.3">
      <c r="A851" s="51" t="s">
        <v>10</v>
      </c>
      <c r="B851" s="51" t="s">
        <v>89</v>
      </c>
      <c r="C851" s="51" t="s">
        <v>90</v>
      </c>
      <c r="D851" s="51">
        <v>5560116199</v>
      </c>
      <c r="E851" s="51">
        <v>185724</v>
      </c>
      <c r="F851" s="68">
        <v>1179.32</v>
      </c>
      <c r="G851" s="52">
        <v>46079</v>
      </c>
    </row>
    <row r="852" spans="1:7" hidden="1" x14ac:dyDescent="0.3">
      <c r="A852" s="44" t="s">
        <v>10</v>
      </c>
      <c r="B852" s="44" t="s">
        <v>1126</v>
      </c>
      <c r="C852" s="44" t="s">
        <v>46</v>
      </c>
      <c r="D852" s="44">
        <v>5562900702</v>
      </c>
      <c r="E852" s="44">
        <v>325534</v>
      </c>
      <c r="F852" s="87">
        <v>3772</v>
      </c>
      <c r="G852" s="46">
        <v>46079</v>
      </c>
    </row>
    <row r="853" spans="1:7" s="51" customFormat="1" hidden="1" x14ac:dyDescent="0.3">
      <c r="A853" s="44" t="s">
        <v>10</v>
      </c>
      <c r="B853" s="44" t="s">
        <v>1130</v>
      </c>
      <c r="C853" s="44" t="s">
        <v>425</v>
      </c>
      <c r="D853" s="44">
        <v>5575734157</v>
      </c>
      <c r="E853" s="44">
        <v>185546</v>
      </c>
      <c r="F853" s="87">
        <v>1813.52</v>
      </c>
      <c r="G853" s="46">
        <v>46079</v>
      </c>
    </row>
    <row r="854" spans="1:7" hidden="1" x14ac:dyDescent="0.3">
      <c r="A854" s="44" t="s">
        <v>10</v>
      </c>
      <c r="B854" s="44" t="s">
        <v>861</v>
      </c>
      <c r="C854" s="44" t="str">
        <f>IFERROR(VLOOKUP(B854,Base2026!A:C,2,FALSE),"")</f>
        <v>XALOSTOC</v>
      </c>
      <c r="D854" s="44">
        <v>5586772887</v>
      </c>
      <c r="E854" s="44">
        <v>301772</v>
      </c>
      <c r="F854" s="87">
        <v>1302</v>
      </c>
      <c r="G854" s="46">
        <v>46079</v>
      </c>
    </row>
    <row r="855" spans="1:7" s="51" customFormat="1" hidden="1" x14ac:dyDescent="0.3">
      <c r="A855" s="51" t="s">
        <v>17</v>
      </c>
      <c r="B855" s="51" t="s">
        <v>1128</v>
      </c>
      <c r="C855" s="51" t="s">
        <v>782</v>
      </c>
      <c r="D855" s="51">
        <f>IFERROR(VLOOKUP(C855,Base2026!B:D,2,FALSE),"")</f>
        <v>5511607872</v>
      </c>
      <c r="E855" s="51">
        <v>298719</v>
      </c>
      <c r="F855" s="68">
        <v>7610.23</v>
      </c>
      <c r="G855" s="52">
        <v>46079</v>
      </c>
    </row>
    <row r="856" spans="1:7" hidden="1" x14ac:dyDescent="0.3">
      <c r="A856" s="51" t="s">
        <v>17</v>
      </c>
      <c r="B856" s="51" t="s">
        <v>1041</v>
      </c>
      <c r="C856" s="51" t="str">
        <f>IFERROR(VLOOKUP(B856,Base2026!A:C,2,FALSE),"")</f>
        <v>LA PRADERA</v>
      </c>
      <c r="D856" s="51">
        <v>5561759355</v>
      </c>
      <c r="E856" s="51">
        <v>186437</v>
      </c>
      <c r="F856" s="68">
        <v>1868.27</v>
      </c>
      <c r="G856" s="52">
        <v>46079</v>
      </c>
    </row>
    <row r="857" spans="1:7" s="51" customFormat="1" hidden="1" x14ac:dyDescent="0.3">
      <c r="A857" s="51" t="s">
        <v>17</v>
      </c>
      <c r="B857" s="51" t="s">
        <v>1127</v>
      </c>
      <c r="C857" s="51" t="s">
        <v>107</v>
      </c>
      <c r="D857" s="51">
        <v>5567608904</v>
      </c>
      <c r="E857" s="51">
        <v>298838</v>
      </c>
      <c r="F857" s="68">
        <v>610</v>
      </c>
      <c r="G857" s="52">
        <v>46079</v>
      </c>
    </row>
    <row r="858" spans="1:7" hidden="1" x14ac:dyDescent="0.3">
      <c r="A858" s="44" t="s">
        <v>17</v>
      </c>
      <c r="B858" s="44" t="s">
        <v>184</v>
      </c>
      <c r="C858" s="44" t="str">
        <f>IFERROR(VLOOKUP(B858,Base2026!A:C,2,FALSE),"")</f>
        <v>MALINCHE</v>
      </c>
      <c r="D858" s="44">
        <f>IFERROR(VLOOKUP(C858,Base2026!B:D,2,FALSE),"")</f>
        <v>5572111897</v>
      </c>
      <c r="E858" s="44">
        <v>185839</v>
      </c>
      <c r="F858" s="87">
        <v>11508</v>
      </c>
      <c r="G858" s="46">
        <v>46079</v>
      </c>
    </row>
    <row r="859" spans="1:7" s="51" customFormat="1" hidden="1" x14ac:dyDescent="0.3">
      <c r="A859" s="44" t="s">
        <v>17</v>
      </c>
      <c r="B859" s="44" t="s">
        <v>55</v>
      </c>
      <c r="C859" s="44" t="s">
        <v>180</v>
      </c>
      <c r="D859" s="44">
        <v>5620807201</v>
      </c>
      <c r="E859" s="44">
        <v>352081</v>
      </c>
      <c r="F859" s="87">
        <v>4584</v>
      </c>
      <c r="G859" s="46">
        <v>46079</v>
      </c>
    </row>
    <row r="860" spans="1:7" hidden="1" x14ac:dyDescent="0.3">
      <c r="A860" s="51" t="s">
        <v>17</v>
      </c>
      <c r="B860" s="51" t="s">
        <v>55</v>
      </c>
      <c r="C860" s="51" t="s">
        <v>180</v>
      </c>
      <c r="D860" s="51">
        <v>5620807201</v>
      </c>
      <c r="E860" s="51">
        <v>301715</v>
      </c>
      <c r="F860" s="68">
        <v>1056</v>
      </c>
      <c r="G860" s="52">
        <v>46079</v>
      </c>
    </row>
    <row r="861" spans="1:7" s="51" customFormat="1" hidden="1" x14ac:dyDescent="0.3">
      <c r="A861" s="44" t="s">
        <v>17</v>
      </c>
      <c r="B861" s="44" t="s">
        <v>55</v>
      </c>
      <c r="C861" s="44" t="s">
        <v>180</v>
      </c>
      <c r="D861" s="44">
        <v>5620807201</v>
      </c>
      <c r="E861" s="44">
        <v>352082</v>
      </c>
      <c r="F861" s="87">
        <v>877</v>
      </c>
      <c r="G861" s="46">
        <v>46079</v>
      </c>
    </row>
    <row r="862" spans="1:7" hidden="1" x14ac:dyDescent="0.3">
      <c r="A862" s="44" t="s">
        <v>17</v>
      </c>
      <c r="B862" s="44" t="s">
        <v>374</v>
      </c>
      <c r="C862" s="44" t="s">
        <v>297</v>
      </c>
      <c r="D862" s="44">
        <v>5621030826</v>
      </c>
      <c r="E862" s="44">
        <v>298990</v>
      </c>
      <c r="F862" s="87">
        <v>2685</v>
      </c>
      <c r="G862" s="46">
        <v>46079</v>
      </c>
    </row>
    <row r="863" spans="1:7" s="51" customFormat="1" hidden="1" x14ac:dyDescent="0.3">
      <c r="A863" s="51" t="s">
        <v>11</v>
      </c>
      <c r="B863" s="51" t="s">
        <v>920</v>
      </c>
      <c r="C863" s="51" t="str">
        <f>IFERROR(VLOOKUP(B863,Base2026!A:C,2,FALSE),"")</f>
        <v>LAZARO CARDENAS</v>
      </c>
      <c r="D863" s="51">
        <f>IFERROR(VLOOKUP(C863,Base2026!B:D,2,FALSE),"")</f>
        <v>5517473496</v>
      </c>
      <c r="E863" s="51">
        <v>351712</v>
      </c>
      <c r="F863" s="68">
        <v>17391.97</v>
      </c>
      <c r="G863" s="52">
        <v>46079</v>
      </c>
    </row>
    <row r="864" spans="1:7" hidden="1" x14ac:dyDescent="0.3">
      <c r="A864" s="44" t="s">
        <v>11</v>
      </c>
      <c r="B864" s="44" t="s">
        <v>920</v>
      </c>
      <c r="C864" s="44" t="str">
        <f>IFERROR(VLOOKUP(B864,Base2026!A:C,2,FALSE),"")</f>
        <v>LAZARO CARDENAS</v>
      </c>
      <c r="D864" s="44">
        <f>IFERROR(VLOOKUP(C864,Base2026!B:D,2,FALSE),"")</f>
        <v>5517473496</v>
      </c>
      <c r="E864" s="44">
        <v>301669</v>
      </c>
      <c r="F864" s="87">
        <v>3948</v>
      </c>
      <c r="G864" s="46">
        <v>46079</v>
      </c>
    </row>
    <row r="865" spans="1:7" s="51" customFormat="1" hidden="1" x14ac:dyDescent="0.3">
      <c r="A865" s="51" t="s">
        <v>11</v>
      </c>
      <c r="B865" s="51" t="s">
        <v>1121</v>
      </c>
      <c r="C865" s="51" t="s">
        <v>1998</v>
      </c>
      <c r="D865" s="51">
        <v>5521264726</v>
      </c>
      <c r="E865" s="51">
        <v>185875</v>
      </c>
      <c r="F865" s="68">
        <v>7024</v>
      </c>
      <c r="G865" s="52">
        <v>46079</v>
      </c>
    </row>
    <row r="866" spans="1:7" hidden="1" x14ac:dyDescent="0.3">
      <c r="A866" s="44" t="s">
        <v>11</v>
      </c>
      <c r="B866" s="44" t="s">
        <v>1122</v>
      </c>
      <c r="C866" s="44" t="s">
        <v>138</v>
      </c>
      <c r="D866" s="44">
        <v>5528100644</v>
      </c>
      <c r="E866" s="44">
        <v>298916</v>
      </c>
      <c r="F866" s="87">
        <v>15938.99</v>
      </c>
      <c r="G866" s="46">
        <v>46079</v>
      </c>
    </row>
    <row r="867" spans="1:7" s="51" customFormat="1" hidden="1" x14ac:dyDescent="0.3">
      <c r="A867" s="44" t="s">
        <v>11</v>
      </c>
      <c r="B867" s="44" t="s">
        <v>1119</v>
      </c>
      <c r="C867" s="44" t="s">
        <v>1120</v>
      </c>
      <c r="D867" s="44">
        <v>5574786389</v>
      </c>
      <c r="E867" s="44">
        <v>352411</v>
      </c>
      <c r="F867" s="87">
        <v>3167</v>
      </c>
      <c r="G867" s="46">
        <v>46079</v>
      </c>
    </row>
    <row r="868" spans="1:7" hidden="1" x14ac:dyDescent="0.3">
      <c r="A868" s="44" t="s">
        <v>47</v>
      </c>
      <c r="B868" s="44" t="s">
        <v>1139</v>
      </c>
      <c r="C868" s="44" t="s">
        <v>973</v>
      </c>
      <c r="D868" s="44">
        <v>2206119277</v>
      </c>
      <c r="E868" s="44">
        <v>299060</v>
      </c>
      <c r="F868" s="87">
        <v>2960</v>
      </c>
      <c r="G868" s="46">
        <v>46080</v>
      </c>
    </row>
    <row r="869" spans="1:7" s="60" customFormat="1" hidden="1" x14ac:dyDescent="0.3">
      <c r="A869" s="44" t="s">
        <v>47</v>
      </c>
      <c r="B869" s="44" t="s">
        <v>1135</v>
      </c>
      <c r="C869" s="44" t="s">
        <v>1136</v>
      </c>
      <c r="D869" s="44">
        <v>5513945570</v>
      </c>
      <c r="E869" s="44">
        <v>352505</v>
      </c>
      <c r="F869" s="87">
        <v>2764</v>
      </c>
      <c r="G869" s="46">
        <v>46080</v>
      </c>
    </row>
    <row r="870" spans="1:7" hidden="1" x14ac:dyDescent="0.3">
      <c r="A870" s="60" t="s">
        <v>47</v>
      </c>
      <c r="B870" s="60" t="s">
        <v>1137</v>
      </c>
      <c r="C870" s="60" t="s">
        <v>1138</v>
      </c>
      <c r="D870" s="60">
        <v>5618521749</v>
      </c>
      <c r="E870" s="60">
        <v>185401</v>
      </c>
      <c r="F870" s="79">
        <v>20370</v>
      </c>
      <c r="G870" s="69">
        <v>46080</v>
      </c>
    </row>
    <row r="871" spans="1:7" s="60" customFormat="1" hidden="1" x14ac:dyDescent="0.3">
      <c r="A871" s="60" t="s">
        <v>47</v>
      </c>
      <c r="B871" s="60" t="s">
        <v>1140</v>
      </c>
      <c r="C871" s="60" t="s">
        <v>190</v>
      </c>
      <c r="D871" s="80" t="s">
        <v>146</v>
      </c>
      <c r="E871" s="60">
        <v>352119</v>
      </c>
      <c r="F871" s="79">
        <v>31055.47</v>
      </c>
      <c r="G871" s="69">
        <v>46080</v>
      </c>
    </row>
    <row r="872" spans="1:7" hidden="1" x14ac:dyDescent="0.3">
      <c r="A872" s="44" t="s">
        <v>10</v>
      </c>
      <c r="B872" s="44" t="s">
        <v>270</v>
      </c>
      <c r="C872" s="44" t="s">
        <v>478</v>
      </c>
      <c r="D872" s="44">
        <v>5527842592</v>
      </c>
      <c r="E872" s="44">
        <v>185649</v>
      </c>
      <c r="F872" s="87">
        <v>2073</v>
      </c>
      <c r="G872" s="46">
        <v>46080</v>
      </c>
    </row>
    <row r="873" spans="1:7" s="60" customFormat="1" hidden="1" x14ac:dyDescent="0.3">
      <c r="A873" s="60" t="s">
        <v>10</v>
      </c>
      <c r="B873" s="60" t="s">
        <v>251</v>
      </c>
      <c r="C873" s="60" t="s">
        <v>1020</v>
      </c>
      <c r="D873" s="60">
        <f>IFERROR(VLOOKUP(C873,Base2026!B:D,2,FALSE),"")</f>
        <v>5534704647</v>
      </c>
      <c r="E873" s="60">
        <v>298140</v>
      </c>
      <c r="F873" s="79">
        <v>8224.2000000000007</v>
      </c>
      <c r="G873" s="69">
        <v>46080</v>
      </c>
    </row>
    <row r="874" spans="1:7" hidden="1" x14ac:dyDescent="0.3">
      <c r="A874" s="44" t="s">
        <v>10</v>
      </c>
      <c r="B874" s="44" t="s">
        <v>249</v>
      </c>
      <c r="C874" s="44" t="str">
        <f>IFERROR(VLOOKUP(B874,Base2026!A:C,2,FALSE),"")</f>
        <v>TONATITLA</v>
      </c>
      <c r="D874" s="44">
        <f>IFERROR(VLOOKUP(C874,Base2026!B:D,2,FALSE),"")</f>
        <v>5535334019</v>
      </c>
      <c r="E874" s="44">
        <v>352420</v>
      </c>
      <c r="F874" s="87">
        <v>1856</v>
      </c>
      <c r="G874" s="46">
        <v>46080</v>
      </c>
    </row>
    <row r="875" spans="1:7" s="60" customFormat="1" hidden="1" x14ac:dyDescent="0.3">
      <c r="A875" s="60" t="s">
        <v>10</v>
      </c>
      <c r="B875" s="60" t="s">
        <v>249</v>
      </c>
      <c r="C875" s="60" t="str">
        <f>IFERROR(VLOOKUP(B875,Base2026!A:C,2,FALSE),"")</f>
        <v>TONATITLA</v>
      </c>
      <c r="D875" s="60">
        <f>IFERROR(VLOOKUP(C875,Base2026!B:D,2,FALSE),"")</f>
        <v>5535334019</v>
      </c>
      <c r="E875" s="60">
        <v>352423</v>
      </c>
      <c r="F875" s="79">
        <v>2184</v>
      </c>
      <c r="G875" s="69">
        <v>46080</v>
      </c>
    </row>
    <row r="876" spans="1:7" hidden="1" x14ac:dyDescent="0.3">
      <c r="A876" s="44" t="s">
        <v>10</v>
      </c>
      <c r="B876" s="44" t="s">
        <v>249</v>
      </c>
      <c r="C876" s="44" t="str">
        <f>IFERROR(VLOOKUP(B876,Base2026!A:C,2,FALSE),"")</f>
        <v>TONATITLA</v>
      </c>
      <c r="D876" s="44">
        <f>IFERROR(VLOOKUP(C876,Base2026!B:D,2,FALSE),"")</f>
        <v>5535334019</v>
      </c>
      <c r="E876" s="44">
        <v>352422</v>
      </c>
      <c r="F876" s="87">
        <v>1790</v>
      </c>
      <c r="G876" s="46">
        <v>46080</v>
      </c>
    </row>
    <row r="877" spans="1:7" s="60" customFormat="1" hidden="1" x14ac:dyDescent="0.3">
      <c r="A877" s="60" t="s">
        <v>10</v>
      </c>
      <c r="B877" s="60" t="s">
        <v>477</v>
      </c>
      <c r="C877" s="60" t="str">
        <f>IFERROR(VLOOKUP(B877,Base2026!A:C,2,FALSE),"")</f>
        <v xml:space="preserve">TOLOTZIN </v>
      </c>
      <c r="D877" s="60">
        <v>5631001917</v>
      </c>
      <c r="E877" s="60">
        <v>184448</v>
      </c>
      <c r="F877" s="79">
        <v>15224.8</v>
      </c>
      <c r="G877" s="69">
        <v>46080</v>
      </c>
    </row>
    <row r="878" spans="1:7" hidden="1" x14ac:dyDescent="0.3">
      <c r="A878" s="60" t="s">
        <v>17</v>
      </c>
      <c r="B878" s="60" t="s">
        <v>224</v>
      </c>
      <c r="C878" s="60" t="str">
        <f>IFERROR(VLOOKUP(B878,Base2026!A:C,2,FALSE),"")</f>
        <v>EL SALADO XALOSTOC</v>
      </c>
      <c r="D878" s="60">
        <f>IFERROR(VLOOKUP(C878,Base2026!B:D,2,FALSE),"")</f>
        <v>5539564988</v>
      </c>
      <c r="E878" s="60">
        <v>298779</v>
      </c>
      <c r="F878" s="79">
        <v>3159.11</v>
      </c>
      <c r="G878" s="69">
        <v>46080</v>
      </c>
    </row>
    <row r="879" spans="1:7" s="60" customFormat="1" hidden="1" x14ac:dyDescent="0.3">
      <c r="A879" s="60" t="s">
        <v>17</v>
      </c>
      <c r="B879" s="60" t="s">
        <v>314</v>
      </c>
      <c r="C879" s="60" t="s">
        <v>43</v>
      </c>
      <c r="D879" s="60">
        <v>5544844808</v>
      </c>
      <c r="E879" s="60">
        <v>185501</v>
      </c>
      <c r="F879" s="79">
        <v>7023.99</v>
      </c>
      <c r="G879" s="69">
        <v>46080</v>
      </c>
    </row>
    <row r="880" spans="1:7" s="60" customFormat="1" hidden="1" x14ac:dyDescent="0.3">
      <c r="A880" s="44" t="s">
        <v>17</v>
      </c>
      <c r="B880" s="44" t="s">
        <v>1103</v>
      </c>
      <c r="C880" s="44" t="s">
        <v>543</v>
      </c>
      <c r="D880" s="44">
        <f>IFERROR(VLOOKUP(C880,Base2026!B:D,2,FALSE),"")</f>
        <v>5548815048</v>
      </c>
      <c r="E880" s="44">
        <v>298776</v>
      </c>
      <c r="F880" s="87">
        <v>1968</v>
      </c>
      <c r="G880" s="46">
        <v>46080</v>
      </c>
    </row>
    <row r="881" spans="1:7" hidden="1" x14ac:dyDescent="0.3">
      <c r="A881" s="44" t="s">
        <v>17</v>
      </c>
      <c r="B881" s="44" t="s">
        <v>1108</v>
      </c>
      <c r="C881" s="44" t="s">
        <v>431</v>
      </c>
      <c r="D881" s="44">
        <f>IFERROR(VLOOKUP(C881,Base2026!B:D,2,FALSE),"")</f>
        <v>5566729678</v>
      </c>
      <c r="E881" s="44">
        <v>185205</v>
      </c>
      <c r="F881" s="87">
        <v>4578</v>
      </c>
      <c r="G881" s="46">
        <v>46080</v>
      </c>
    </row>
    <row r="882" spans="1:7" s="60" customFormat="1" hidden="1" x14ac:dyDescent="0.3">
      <c r="A882" s="60" t="s">
        <v>17</v>
      </c>
      <c r="B882" s="60" t="s">
        <v>1133</v>
      </c>
      <c r="C882" s="60" t="s">
        <v>297</v>
      </c>
      <c r="D882" s="60">
        <f>IFERROR(VLOOKUP(C882,Base2026!B:D,2,FALSE),"")</f>
        <v>5584978785</v>
      </c>
      <c r="E882" s="60">
        <v>298829</v>
      </c>
      <c r="F882" s="79">
        <v>1576.04</v>
      </c>
      <c r="G882" s="69">
        <v>46080</v>
      </c>
    </row>
    <row r="883" spans="1:7" hidden="1" x14ac:dyDescent="0.3">
      <c r="A883" s="60" t="s">
        <v>17</v>
      </c>
      <c r="B883" s="60" t="s">
        <v>1132</v>
      </c>
      <c r="C883" s="60" t="s">
        <v>167</v>
      </c>
      <c r="D883" s="60">
        <f>IFERROR(VLOOKUP(C883,Base2026!B:D,2,FALSE),"")</f>
        <v>5616065307</v>
      </c>
      <c r="E883" s="60">
        <v>352685</v>
      </c>
      <c r="F883" s="79">
        <v>1434.56</v>
      </c>
      <c r="G883" s="69">
        <v>46080</v>
      </c>
    </row>
    <row r="884" spans="1:7" s="60" customFormat="1" hidden="1" x14ac:dyDescent="0.3">
      <c r="A884" s="44" t="s">
        <v>17</v>
      </c>
      <c r="B884" s="44" t="s">
        <v>1132</v>
      </c>
      <c r="C884" s="44" t="s">
        <v>167</v>
      </c>
      <c r="D884" s="44">
        <f>IFERROR(VLOOKUP(C884,Base2026!B:D,2,FALSE),"")</f>
        <v>5616065307</v>
      </c>
      <c r="E884" s="44">
        <v>352684</v>
      </c>
      <c r="F884" s="87">
        <v>432</v>
      </c>
      <c r="G884" s="46">
        <v>46080</v>
      </c>
    </row>
    <row r="885" spans="1:7" hidden="1" x14ac:dyDescent="0.3">
      <c r="A885" s="60" t="s">
        <v>11</v>
      </c>
      <c r="B885" s="60" t="s">
        <v>1085</v>
      </c>
      <c r="C885" s="60" t="s">
        <v>1104</v>
      </c>
      <c r="D885" s="60">
        <v>5530458235</v>
      </c>
      <c r="E885" s="60">
        <v>183547</v>
      </c>
      <c r="F885" s="79">
        <v>38822.15</v>
      </c>
      <c r="G885" s="69">
        <v>46080</v>
      </c>
    </row>
    <row r="886" spans="1:7" s="60" customFormat="1" hidden="1" x14ac:dyDescent="0.3">
      <c r="A886" s="44" t="s">
        <v>11</v>
      </c>
      <c r="B886" s="44" t="s">
        <v>709</v>
      </c>
      <c r="C886" s="44" t="str">
        <f>IFERROR(VLOOKUP(B886,Base2026!A:C,2,FALSE),"")</f>
        <v>TERMOELECTRICA</v>
      </c>
      <c r="D886" s="44">
        <v>5578854795</v>
      </c>
      <c r="E886" s="44">
        <v>1673</v>
      </c>
      <c r="F886" s="87">
        <v>92028.93</v>
      </c>
      <c r="G886" s="46">
        <v>46080</v>
      </c>
    </row>
    <row r="887" spans="1:7" hidden="1" x14ac:dyDescent="0.3">
      <c r="A887" s="60" t="s">
        <v>11</v>
      </c>
      <c r="B887" s="60" t="s">
        <v>709</v>
      </c>
      <c r="C887" s="60" t="str">
        <f>IFERROR(VLOOKUP(B887,Base2026!A:C,2,FALSE),"")</f>
        <v>TERMOELECTRICA</v>
      </c>
      <c r="D887" s="44">
        <v>5578854795</v>
      </c>
      <c r="E887" s="60">
        <v>1671</v>
      </c>
      <c r="F887" s="79">
        <v>43116.71</v>
      </c>
      <c r="G887" s="69">
        <v>46080</v>
      </c>
    </row>
    <row r="888" spans="1:7" s="60" customFormat="1" hidden="1" x14ac:dyDescent="0.3">
      <c r="A888" s="44" t="s">
        <v>11</v>
      </c>
      <c r="B888" s="44" t="s">
        <v>709</v>
      </c>
      <c r="C888" s="44" t="str">
        <f>IFERROR(VLOOKUP(B888,Base2026!A:C,2,FALSE),"")</f>
        <v>TERMOELECTRICA</v>
      </c>
      <c r="D888" s="44">
        <v>5578854795</v>
      </c>
      <c r="E888" s="44">
        <v>1672</v>
      </c>
      <c r="F888" s="87">
        <v>60054.14</v>
      </c>
      <c r="G888" s="46">
        <v>46080</v>
      </c>
    </row>
    <row r="889" spans="1:7" hidden="1" x14ac:dyDescent="0.3">
      <c r="A889" s="44" t="s">
        <v>47</v>
      </c>
      <c r="B889" s="44" t="s">
        <v>1153</v>
      </c>
      <c r="C889" s="44" t="s">
        <v>1154</v>
      </c>
      <c r="D889" s="44">
        <v>5512288608</v>
      </c>
      <c r="E889" s="44">
        <v>352640</v>
      </c>
      <c r="F889" s="87">
        <v>1787</v>
      </c>
      <c r="G889" s="46">
        <v>46081</v>
      </c>
    </row>
    <row r="890" spans="1:7" s="51" customFormat="1" hidden="1" x14ac:dyDescent="0.3">
      <c r="A890" s="51" t="s">
        <v>47</v>
      </c>
      <c r="B890" s="51" t="s">
        <v>619</v>
      </c>
      <c r="C890" s="51" t="s">
        <v>41</v>
      </c>
      <c r="D890" s="51">
        <v>5527288634</v>
      </c>
      <c r="E890" s="51">
        <v>186029</v>
      </c>
      <c r="F890" s="68">
        <v>3022</v>
      </c>
      <c r="G890" s="52">
        <v>46081</v>
      </c>
    </row>
    <row r="891" spans="1:7" hidden="1" x14ac:dyDescent="0.3">
      <c r="A891" s="44" t="s">
        <v>47</v>
      </c>
      <c r="B891" s="44" t="s">
        <v>120</v>
      </c>
      <c r="C891" s="44" t="str">
        <f>IFERROR(VLOOKUP(B891,Base2026!A:C,2,FALSE),"")</f>
        <v>URBANA IXHUATEPEC</v>
      </c>
      <c r="D891" s="44">
        <f>IFERROR(VLOOKUP(C891,Base2026!B:D,2,FALSE),"")</f>
        <v>5545758293</v>
      </c>
      <c r="E891" s="44">
        <v>185520</v>
      </c>
      <c r="F891" s="87">
        <v>6087.8</v>
      </c>
      <c r="G891" s="46">
        <v>46081</v>
      </c>
    </row>
    <row r="892" spans="1:7" s="51" customFormat="1" hidden="1" x14ac:dyDescent="0.3">
      <c r="A892" s="51" t="s">
        <v>47</v>
      </c>
      <c r="B892" s="51" t="s">
        <v>357</v>
      </c>
      <c r="C892" s="51" t="s">
        <v>806</v>
      </c>
      <c r="D892" s="51">
        <v>5546082795</v>
      </c>
      <c r="E892" s="51">
        <v>299058</v>
      </c>
      <c r="F892" s="68">
        <v>12074.59</v>
      </c>
      <c r="G892" s="52">
        <v>46081</v>
      </c>
    </row>
    <row r="893" spans="1:7" hidden="1" x14ac:dyDescent="0.3">
      <c r="A893" s="51" t="s">
        <v>47</v>
      </c>
      <c r="B893" s="51" t="s">
        <v>1155</v>
      </c>
      <c r="C893" s="51" t="s">
        <v>41</v>
      </c>
      <c r="D893" s="51">
        <v>5616396963</v>
      </c>
      <c r="E893" s="51">
        <v>298038</v>
      </c>
      <c r="F893" s="68">
        <v>28837.89</v>
      </c>
      <c r="G893" s="52">
        <v>46081</v>
      </c>
    </row>
    <row r="894" spans="1:7" s="51" customFormat="1" hidden="1" x14ac:dyDescent="0.3">
      <c r="A894" s="44" t="s">
        <v>47</v>
      </c>
      <c r="B894" s="44" t="s">
        <v>1152</v>
      </c>
      <c r="C894" s="44" t="s">
        <v>41</v>
      </c>
      <c r="D894" s="44">
        <v>5639776529</v>
      </c>
      <c r="E894" s="44">
        <v>185553</v>
      </c>
      <c r="F894" s="87">
        <v>3730</v>
      </c>
      <c r="G894" s="46">
        <v>46081</v>
      </c>
    </row>
    <row r="895" spans="1:7" hidden="1" x14ac:dyDescent="0.3">
      <c r="A895" s="44" t="s">
        <v>10</v>
      </c>
      <c r="B895" s="44" t="s">
        <v>1149</v>
      </c>
      <c r="C895" s="44" t="s">
        <v>425</v>
      </c>
      <c r="D895" s="44">
        <v>5531994500</v>
      </c>
      <c r="E895" s="44">
        <v>352678</v>
      </c>
      <c r="F895" s="87">
        <v>1692.2</v>
      </c>
      <c r="G895" s="46">
        <v>46081</v>
      </c>
    </row>
    <row r="896" spans="1:7" s="51" customFormat="1" hidden="1" x14ac:dyDescent="0.3">
      <c r="A896" s="51" t="s">
        <v>10</v>
      </c>
      <c r="B896" s="51" t="s">
        <v>1149</v>
      </c>
      <c r="C896" s="51" t="s">
        <v>425</v>
      </c>
      <c r="D896" s="51">
        <v>5531994500</v>
      </c>
      <c r="E896" s="51">
        <v>352679</v>
      </c>
      <c r="F896" s="68">
        <v>1218.8399999999999</v>
      </c>
      <c r="G896" s="52">
        <v>46081</v>
      </c>
    </row>
    <row r="897" spans="1:7" hidden="1" x14ac:dyDescent="0.3">
      <c r="A897" s="51" t="s">
        <v>10</v>
      </c>
      <c r="B897" s="51" t="s">
        <v>1148</v>
      </c>
      <c r="C897" s="51" t="s">
        <v>425</v>
      </c>
      <c r="D897" s="51">
        <v>5539511994</v>
      </c>
      <c r="E897" s="51">
        <v>185965</v>
      </c>
      <c r="F897" s="68">
        <v>1378.88</v>
      </c>
      <c r="G897" s="52">
        <v>46081</v>
      </c>
    </row>
    <row r="898" spans="1:7" s="51" customFormat="1" hidden="1" x14ac:dyDescent="0.3">
      <c r="A898" s="44" t="s">
        <v>10</v>
      </c>
      <c r="B898" s="44" t="s">
        <v>1146</v>
      </c>
      <c r="C898" s="44" t="s">
        <v>1147</v>
      </c>
      <c r="D898" s="44">
        <v>5550768669</v>
      </c>
      <c r="E898" s="44">
        <v>352672</v>
      </c>
      <c r="F898" s="87">
        <v>2186.56</v>
      </c>
      <c r="G898" s="46">
        <v>46081</v>
      </c>
    </row>
    <row r="899" spans="1:7" hidden="1" x14ac:dyDescent="0.3">
      <c r="A899" s="51" t="s">
        <v>10</v>
      </c>
      <c r="B899" s="51" t="s">
        <v>1134</v>
      </c>
      <c r="C899" s="51" t="s">
        <v>138</v>
      </c>
      <c r="D899" s="51">
        <f>IFERROR(VLOOKUP(C899,Base2026!B:D,2,FALSE),"")</f>
        <v>5558383479</v>
      </c>
      <c r="E899" s="51">
        <v>299022</v>
      </c>
      <c r="F899" s="68">
        <v>14086</v>
      </c>
      <c r="G899" s="52">
        <v>46081</v>
      </c>
    </row>
    <row r="900" spans="1:7" s="51" customFormat="1" hidden="1" x14ac:dyDescent="0.3">
      <c r="A900" s="44" t="s">
        <v>10</v>
      </c>
      <c r="B900" s="44" t="s">
        <v>1145</v>
      </c>
      <c r="C900" s="44" t="s">
        <v>458</v>
      </c>
      <c r="D900" s="44">
        <v>5626963628</v>
      </c>
      <c r="E900" s="44">
        <v>298746</v>
      </c>
      <c r="F900" s="87">
        <v>2154.1799999999998</v>
      </c>
      <c r="G900" s="46">
        <v>46081</v>
      </c>
    </row>
    <row r="901" spans="1:7" hidden="1" x14ac:dyDescent="0.3">
      <c r="A901" s="44" t="s">
        <v>17</v>
      </c>
      <c r="B901" s="44" t="s">
        <v>1142</v>
      </c>
      <c r="C901" s="44" t="s">
        <v>1143</v>
      </c>
      <c r="D901" s="44">
        <v>5534807817</v>
      </c>
      <c r="E901" s="44">
        <v>352596</v>
      </c>
      <c r="F901" s="87">
        <v>6800</v>
      </c>
      <c r="G901" s="46">
        <v>46081</v>
      </c>
    </row>
    <row r="902" spans="1:7" s="51" customFormat="1" hidden="1" x14ac:dyDescent="0.3">
      <c r="A902" s="51" t="s">
        <v>17</v>
      </c>
      <c r="B902" s="51" t="s">
        <v>1060</v>
      </c>
      <c r="C902" s="51" t="str">
        <f>IFERROR(VLOOKUP(B902,Base2026!A:C,2,FALSE),"")</f>
        <v>PLAZAS DE ARAGON</v>
      </c>
      <c r="D902" s="51">
        <f>IFERROR(VLOOKUP(C902,Base2026!B:D,2,FALSE),"")</f>
        <v>5570826626</v>
      </c>
      <c r="E902" s="51">
        <v>398705</v>
      </c>
      <c r="F902" s="68">
        <v>12903.05</v>
      </c>
      <c r="G902" s="52">
        <v>46081</v>
      </c>
    </row>
    <row r="903" spans="1:7" hidden="1" x14ac:dyDescent="0.3">
      <c r="A903" s="44" t="s">
        <v>17</v>
      </c>
      <c r="B903" s="44" t="s">
        <v>1060</v>
      </c>
      <c r="C903" s="44" t="str">
        <f>IFERROR(VLOOKUP(B903,Base2026!A:C,2,FALSE),"")</f>
        <v>PLAZAS DE ARAGON</v>
      </c>
      <c r="D903" s="44">
        <f>IFERROR(VLOOKUP(C903,Base2026!B:D,2,FALSE),"")</f>
        <v>5570826626</v>
      </c>
      <c r="E903" s="44">
        <v>298989</v>
      </c>
      <c r="F903" s="87">
        <v>3156.24</v>
      </c>
      <c r="G903" s="46">
        <v>46081</v>
      </c>
    </row>
    <row r="904" spans="1:7" s="51" customFormat="1" hidden="1" x14ac:dyDescent="0.3">
      <c r="A904" s="51" t="s">
        <v>17</v>
      </c>
      <c r="B904" s="51" t="s">
        <v>1144</v>
      </c>
      <c r="C904" s="51" t="s">
        <v>119</v>
      </c>
      <c r="D904" s="51">
        <v>5574071325</v>
      </c>
      <c r="E904" s="51">
        <v>298895</v>
      </c>
      <c r="F904" s="68">
        <v>7920.16</v>
      </c>
      <c r="G904" s="52">
        <v>46081</v>
      </c>
    </row>
    <row r="905" spans="1:7" hidden="1" x14ac:dyDescent="0.3">
      <c r="A905" s="51" t="s">
        <v>17</v>
      </c>
      <c r="B905" s="51" t="s">
        <v>1141</v>
      </c>
      <c r="C905" s="51" t="s">
        <v>778</v>
      </c>
      <c r="D905" s="51">
        <v>5656507979</v>
      </c>
      <c r="E905" s="51">
        <v>298798</v>
      </c>
      <c r="F905" s="68">
        <v>8501.2000000000007</v>
      </c>
      <c r="G905" s="52">
        <v>46081</v>
      </c>
    </row>
    <row r="906" spans="1:7" s="51" customFormat="1" hidden="1" x14ac:dyDescent="0.3">
      <c r="A906" s="44" t="s">
        <v>11</v>
      </c>
      <c r="B906" s="44" t="s">
        <v>1150</v>
      </c>
      <c r="C906" s="44" t="s">
        <v>1151</v>
      </c>
      <c r="D906" s="44">
        <v>5516804643</v>
      </c>
      <c r="E906" s="44">
        <v>352054</v>
      </c>
      <c r="F906" s="87">
        <v>14792.03</v>
      </c>
      <c r="G906" s="46">
        <v>46081</v>
      </c>
    </row>
    <row r="907" spans="1:7" hidden="1" x14ac:dyDescent="0.3">
      <c r="A907" s="51" t="s">
        <v>11</v>
      </c>
      <c r="B907" s="51" t="s">
        <v>1150</v>
      </c>
      <c r="C907" s="51" t="s">
        <v>1151</v>
      </c>
      <c r="D907" s="51">
        <v>5516804643</v>
      </c>
      <c r="E907" s="51">
        <v>301711</v>
      </c>
      <c r="F907" s="68">
        <v>3044</v>
      </c>
      <c r="G907" s="52">
        <v>46081</v>
      </c>
    </row>
    <row r="908" spans="1:7" s="51" customFormat="1" hidden="1" x14ac:dyDescent="0.3">
      <c r="A908" s="44" t="s">
        <v>47</v>
      </c>
      <c r="B908" s="44" t="s">
        <v>131</v>
      </c>
      <c r="C908" s="44" t="str">
        <f>IFERROR(VLOOKUP(B908,Base2026!A:C,2,FALSE),"")</f>
        <v>PRIZO</v>
      </c>
      <c r="D908" s="44">
        <f>IFERROR(VLOOKUP(C908,Base2026!B:D,2,FALSE),"")</f>
        <v>5551141444</v>
      </c>
      <c r="E908" s="44">
        <v>185509</v>
      </c>
      <c r="F908" s="87">
        <v>6072.04</v>
      </c>
      <c r="G908" s="46">
        <v>46083</v>
      </c>
    </row>
    <row r="909" spans="1:7" hidden="1" x14ac:dyDescent="0.3">
      <c r="A909" s="48" t="s">
        <v>47</v>
      </c>
      <c r="B909" s="48" t="s">
        <v>1161</v>
      </c>
      <c r="C909" s="48" t="s">
        <v>1162</v>
      </c>
      <c r="D909" s="48">
        <v>5554776503</v>
      </c>
      <c r="E909" s="48">
        <v>325580</v>
      </c>
      <c r="F909" s="88">
        <v>2808</v>
      </c>
      <c r="G909" s="50">
        <v>46083</v>
      </c>
    </row>
    <row r="910" spans="1:7" s="48" customFormat="1" hidden="1" x14ac:dyDescent="0.3">
      <c r="A910" s="48" t="s">
        <v>47</v>
      </c>
      <c r="B910" s="48" t="s">
        <v>685</v>
      </c>
      <c r="C910" s="48" t="str">
        <f>IFERROR(VLOOKUP(B910,Base2026!A:C,2,FALSE),"")</f>
        <v>PLAZAS DE ARAGON</v>
      </c>
      <c r="D910" s="48">
        <v>5573743760</v>
      </c>
      <c r="E910" s="48">
        <v>186331</v>
      </c>
      <c r="F910" s="88">
        <v>2347</v>
      </c>
      <c r="G910" s="50">
        <v>46083</v>
      </c>
    </row>
    <row r="911" spans="1:7" hidden="1" x14ac:dyDescent="0.3">
      <c r="A911" s="44" t="s">
        <v>47</v>
      </c>
      <c r="B911" s="44" t="s">
        <v>523</v>
      </c>
      <c r="C911" s="44" t="str">
        <f>IFERROR(VLOOKUP(B911,Base2026!A:C,2,FALSE),"")</f>
        <v>SAGITARIO</v>
      </c>
      <c r="D911" s="44">
        <v>5613536877</v>
      </c>
      <c r="E911" s="44">
        <v>186313</v>
      </c>
      <c r="F911" s="87">
        <v>4467</v>
      </c>
      <c r="G911" s="46">
        <v>46083</v>
      </c>
    </row>
    <row r="912" spans="1:7" s="48" customFormat="1" hidden="1" x14ac:dyDescent="0.3">
      <c r="A912" s="44" t="s">
        <v>47</v>
      </c>
      <c r="B912" s="44" t="s">
        <v>1163</v>
      </c>
      <c r="C912" s="44" t="s">
        <v>465</v>
      </c>
      <c r="D912" s="44">
        <v>5656507979</v>
      </c>
      <c r="E912" s="44">
        <v>298798</v>
      </c>
      <c r="F912" s="87">
        <v>8501.2000000000007</v>
      </c>
      <c r="G912" s="46">
        <v>46083</v>
      </c>
    </row>
    <row r="913" spans="1:7" hidden="1" x14ac:dyDescent="0.3">
      <c r="A913" s="44" t="s">
        <v>10</v>
      </c>
      <c r="B913" s="44" t="s">
        <v>1157</v>
      </c>
      <c r="C913" s="44" t="s">
        <v>123</v>
      </c>
      <c r="D913" s="44">
        <v>5534006217</v>
      </c>
      <c r="E913" s="44">
        <v>325526</v>
      </c>
      <c r="F913" s="87">
        <v>4409.6899999999996</v>
      </c>
      <c r="G913" s="46">
        <v>46083</v>
      </c>
    </row>
    <row r="914" spans="1:7" s="48" customFormat="1" hidden="1" x14ac:dyDescent="0.3">
      <c r="A914" s="48" t="s">
        <v>10</v>
      </c>
      <c r="B914" s="48" t="s">
        <v>1115</v>
      </c>
      <c r="C914" s="48" t="s">
        <v>798</v>
      </c>
      <c r="D914" s="48">
        <v>5540498614</v>
      </c>
      <c r="E914" s="48">
        <v>298976</v>
      </c>
      <c r="F914" s="88">
        <v>774.36</v>
      </c>
      <c r="G914" s="50">
        <v>46083</v>
      </c>
    </row>
    <row r="915" spans="1:7" hidden="1" x14ac:dyDescent="0.3">
      <c r="A915" s="48" t="s">
        <v>10</v>
      </c>
      <c r="B915" s="48" t="s">
        <v>605</v>
      </c>
      <c r="C915" s="48" t="str">
        <f>IFERROR(VLOOKUP(B915,Base2026!A:C,2,FALSE),"")</f>
        <v>GABRIEL HERNANDEZ</v>
      </c>
      <c r="D915" s="48">
        <f>IFERROR(VLOOKUP(C915,Base2026!B:D,2,FALSE),"")</f>
        <v>5540562652</v>
      </c>
      <c r="E915" s="48">
        <v>186056</v>
      </c>
      <c r="F915" s="88">
        <v>2796</v>
      </c>
      <c r="G915" s="50">
        <v>46083</v>
      </c>
    </row>
    <row r="916" spans="1:7" s="48" customFormat="1" hidden="1" x14ac:dyDescent="0.3">
      <c r="A916" s="44" t="s">
        <v>10</v>
      </c>
      <c r="B916" s="44" t="s">
        <v>1156</v>
      </c>
      <c r="C916" s="44" t="s">
        <v>688</v>
      </c>
      <c r="D916" s="44">
        <f>IFERROR(VLOOKUP(C916,Base2026!B:D,2,FALSE),"")</f>
        <v>5572111897</v>
      </c>
      <c r="E916" s="44">
        <v>185839</v>
      </c>
      <c r="F916" s="87">
        <v>11508</v>
      </c>
      <c r="G916" s="46">
        <v>46083</v>
      </c>
    </row>
    <row r="917" spans="1:7" hidden="1" x14ac:dyDescent="0.3">
      <c r="A917" s="48" t="s">
        <v>10</v>
      </c>
      <c r="B917" s="48" t="s">
        <v>935</v>
      </c>
      <c r="C917" s="48" t="str">
        <f>IFERROR(VLOOKUP(B917,Base2026!A:C,2,FALSE),"")</f>
        <v>EL SALADO XALOSTOC</v>
      </c>
      <c r="D917" s="48">
        <v>5579999484</v>
      </c>
      <c r="E917" s="48">
        <v>298969</v>
      </c>
      <c r="F917" s="88">
        <v>3099.11</v>
      </c>
      <c r="G917" s="50">
        <v>46083</v>
      </c>
    </row>
    <row r="918" spans="1:7" s="48" customFormat="1" hidden="1" x14ac:dyDescent="0.3">
      <c r="A918" s="44" t="s">
        <v>10</v>
      </c>
      <c r="B918" s="44" t="s">
        <v>186</v>
      </c>
      <c r="C918" s="44" t="str">
        <f>IFERROR(VLOOKUP(B918,Base2026!A:C,2,FALSE),"")</f>
        <v>CASAS ALEMAN</v>
      </c>
      <c r="D918" s="44">
        <v>5610944519</v>
      </c>
      <c r="E918" s="44">
        <v>185735</v>
      </c>
      <c r="F918" s="87">
        <v>3258</v>
      </c>
      <c r="G918" s="46">
        <v>46083</v>
      </c>
    </row>
    <row r="919" spans="1:7" hidden="1" x14ac:dyDescent="0.3">
      <c r="A919" s="44" t="s">
        <v>11</v>
      </c>
      <c r="B919" s="44" t="s">
        <v>1159</v>
      </c>
      <c r="C919" s="44" t="s">
        <v>635</v>
      </c>
      <c r="D919" s="44">
        <v>4743993291</v>
      </c>
      <c r="E919" s="44">
        <v>352798</v>
      </c>
      <c r="F919" s="87">
        <v>6700</v>
      </c>
      <c r="G919" s="46">
        <v>46083</v>
      </c>
    </row>
    <row r="920" spans="1:7" s="48" customFormat="1" hidden="1" x14ac:dyDescent="0.3">
      <c r="A920" s="48" t="s">
        <v>11</v>
      </c>
      <c r="B920" s="48" t="s">
        <v>1160</v>
      </c>
      <c r="C920" s="48" t="s">
        <v>1165</v>
      </c>
      <c r="D920" s="48">
        <v>5517439885</v>
      </c>
      <c r="E920" s="48">
        <v>185810</v>
      </c>
      <c r="F920" s="88">
        <v>8550</v>
      </c>
      <c r="G920" s="50">
        <v>46083</v>
      </c>
    </row>
    <row r="921" spans="1:7" hidden="1" x14ac:dyDescent="0.3">
      <c r="A921" s="44" t="s">
        <v>11</v>
      </c>
      <c r="B921" s="44" t="s">
        <v>136</v>
      </c>
      <c r="C921" s="44" t="str">
        <f>IFERROR(VLOOKUP(B921,Base2026!A:C,2,FALSE),"")</f>
        <v>LA PALMA</v>
      </c>
      <c r="D921" s="44">
        <f>IFERROR(VLOOKUP(C921,Base2026!B:D,2,FALSE),"")</f>
        <v>5550543681</v>
      </c>
      <c r="E921" s="44">
        <v>186130</v>
      </c>
      <c r="F921" s="87">
        <v>5899</v>
      </c>
      <c r="G921" s="46">
        <v>46083</v>
      </c>
    </row>
    <row r="922" spans="1:7" s="48" customFormat="1" hidden="1" x14ac:dyDescent="0.3">
      <c r="A922" s="48" t="s">
        <v>11</v>
      </c>
      <c r="B922" s="48" t="s">
        <v>136</v>
      </c>
      <c r="C922" s="48" t="str">
        <f>IFERROR(VLOOKUP(B922,Base2026!A:C,2,FALSE),"")</f>
        <v>LA PALMA</v>
      </c>
      <c r="D922" s="48">
        <f>IFERROR(VLOOKUP(C922,Base2026!B:D,2,FALSE),"")</f>
        <v>5550543681</v>
      </c>
      <c r="E922" s="48">
        <v>186132</v>
      </c>
      <c r="F922" s="88">
        <v>850</v>
      </c>
      <c r="G922" s="50">
        <v>46083</v>
      </c>
    </row>
    <row r="923" spans="1:7" hidden="1" x14ac:dyDescent="0.3">
      <c r="A923" s="44" t="s">
        <v>11</v>
      </c>
      <c r="B923" s="44" t="s">
        <v>136</v>
      </c>
      <c r="C923" s="44" t="str">
        <f>IFERROR(VLOOKUP(B923,Base2026!A:C,2,FALSE),"")</f>
        <v>LA PALMA</v>
      </c>
      <c r="D923" s="44">
        <f>IFERROR(VLOOKUP(C923,Base2026!B:D,2,FALSE),"")</f>
        <v>5550543681</v>
      </c>
      <c r="E923" s="44">
        <v>186131</v>
      </c>
      <c r="F923" s="87">
        <v>400</v>
      </c>
      <c r="G923" s="46">
        <v>46083</v>
      </c>
    </row>
    <row r="924" spans="1:7" s="48" customFormat="1" hidden="1" x14ac:dyDescent="0.3">
      <c r="A924" s="48" t="s">
        <v>11</v>
      </c>
      <c r="B924" s="48" t="s">
        <v>1158</v>
      </c>
      <c r="C924" s="48" t="s">
        <v>1164</v>
      </c>
      <c r="D924" s="48">
        <v>5551262526</v>
      </c>
      <c r="E924" s="48">
        <v>352571</v>
      </c>
      <c r="F924" s="88">
        <v>11821.41</v>
      </c>
      <c r="G924" s="50">
        <v>46083</v>
      </c>
    </row>
    <row r="925" spans="1:7" hidden="1" x14ac:dyDescent="0.3">
      <c r="A925" s="51" t="s">
        <v>47</v>
      </c>
      <c r="B925" s="51" t="s">
        <v>1175</v>
      </c>
      <c r="C925" s="51" t="s">
        <v>68</v>
      </c>
      <c r="D925" s="51">
        <v>5533991403</v>
      </c>
      <c r="E925" s="51">
        <v>352968</v>
      </c>
      <c r="F925" s="68">
        <v>3667</v>
      </c>
      <c r="G925" s="52">
        <v>46084</v>
      </c>
    </row>
    <row r="926" spans="1:7" s="51" customFormat="1" hidden="1" x14ac:dyDescent="0.3">
      <c r="A926" s="44" t="s">
        <v>47</v>
      </c>
      <c r="B926" s="44" t="s">
        <v>1179</v>
      </c>
      <c r="C926" s="44" t="s">
        <v>68</v>
      </c>
      <c r="D926" s="44">
        <v>5557800399</v>
      </c>
      <c r="E926" s="44">
        <v>298930</v>
      </c>
      <c r="F926" s="87">
        <v>6370.04</v>
      </c>
      <c r="G926" s="46">
        <v>46084</v>
      </c>
    </row>
    <row r="927" spans="1:7" hidden="1" x14ac:dyDescent="0.3">
      <c r="A927" s="44" t="s">
        <v>47</v>
      </c>
      <c r="B927" s="44" t="s">
        <v>1176</v>
      </c>
      <c r="C927" s="44" t="s">
        <v>1177</v>
      </c>
      <c r="D927" s="44">
        <v>5566101784</v>
      </c>
      <c r="E927" s="44">
        <v>185721</v>
      </c>
      <c r="F927" s="87">
        <v>1190</v>
      </c>
      <c r="G927" s="46">
        <v>46084</v>
      </c>
    </row>
    <row r="928" spans="1:7" s="51" customFormat="1" hidden="1" x14ac:dyDescent="0.3">
      <c r="A928" s="51" t="s">
        <v>47</v>
      </c>
      <c r="B928" s="51" t="s">
        <v>1176</v>
      </c>
      <c r="C928" s="51" t="s">
        <v>1177</v>
      </c>
      <c r="D928" s="51">
        <v>5566101784</v>
      </c>
      <c r="E928" s="51">
        <v>185611</v>
      </c>
      <c r="F928" s="68">
        <v>4165</v>
      </c>
      <c r="G928" s="52">
        <v>46084</v>
      </c>
    </row>
    <row r="929" spans="1:7" hidden="1" x14ac:dyDescent="0.3">
      <c r="A929" s="44" t="s">
        <v>47</v>
      </c>
      <c r="B929" s="44" t="s">
        <v>1178</v>
      </c>
      <c r="C929" s="44" t="s">
        <v>778</v>
      </c>
      <c r="D929" s="44">
        <v>5572124980</v>
      </c>
      <c r="E929" s="44">
        <v>185718</v>
      </c>
      <c r="F929" s="87">
        <v>13060</v>
      </c>
      <c r="G929" s="46">
        <v>46084</v>
      </c>
    </row>
    <row r="930" spans="1:7" s="51" customFormat="1" hidden="1" x14ac:dyDescent="0.3">
      <c r="A930" s="51" t="s">
        <v>47</v>
      </c>
      <c r="B930" s="51" t="s">
        <v>1178</v>
      </c>
      <c r="C930" s="51" t="s">
        <v>778</v>
      </c>
      <c r="D930" s="51">
        <v>5572124980</v>
      </c>
      <c r="E930" s="51">
        <v>334434</v>
      </c>
      <c r="F930" s="68">
        <v>2253</v>
      </c>
      <c r="G930" s="52">
        <v>46084</v>
      </c>
    </row>
    <row r="931" spans="1:7" hidden="1" x14ac:dyDescent="0.3">
      <c r="A931" s="51" t="s">
        <v>10</v>
      </c>
      <c r="B931" s="51" t="s">
        <v>1170</v>
      </c>
      <c r="C931" s="51" t="s">
        <v>465</v>
      </c>
      <c r="D931" s="51">
        <v>5526636766</v>
      </c>
      <c r="E931" s="51">
        <v>299239</v>
      </c>
      <c r="F931" s="68">
        <v>11113</v>
      </c>
      <c r="G931" s="52">
        <v>46084</v>
      </c>
    </row>
    <row r="932" spans="1:7" s="51" customFormat="1" hidden="1" x14ac:dyDescent="0.3">
      <c r="A932" s="44" t="s">
        <v>10</v>
      </c>
      <c r="B932" s="44" t="s">
        <v>1171</v>
      </c>
      <c r="C932" s="44" t="s">
        <v>1087</v>
      </c>
      <c r="D932" s="44">
        <v>5534239252</v>
      </c>
      <c r="E932" s="44">
        <v>185826</v>
      </c>
      <c r="F932" s="87">
        <v>471</v>
      </c>
      <c r="G932" s="46">
        <v>46084</v>
      </c>
    </row>
    <row r="933" spans="1:7" hidden="1" x14ac:dyDescent="0.3">
      <c r="A933" s="44" t="s">
        <v>10</v>
      </c>
      <c r="B933" s="44" t="s">
        <v>1169</v>
      </c>
      <c r="C933" s="44" t="s">
        <v>503</v>
      </c>
      <c r="D933" s="44">
        <f>IFERROR(VLOOKUP(C933,Base2026!B:D,2,FALSE),"")</f>
        <v>5568148903</v>
      </c>
      <c r="E933" s="44">
        <v>298151</v>
      </c>
      <c r="F933" s="87">
        <v>20800</v>
      </c>
      <c r="G933" s="46">
        <v>46084</v>
      </c>
    </row>
    <row r="934" spans="1:7" s="51" customFormat="1" hidden="1" x14ac:dyDescent="0.3">
      <c r="A934" s="44" t="s">
        <v>10</v>
      </c>
      <c r="B934" s="44" t="s">
        <v>1180</v>
      </c>
      <c r="C934" s="44" t="s">
        <v>661</v>
      </c>
      <c r="D934" s="44">
        <v>5579077157</v>
      </c>
      <c r="E934" s="44">
        <v>299310</v>
      </c>
      <c r="F934" s="87">
        <v>6096</v>
      </c>
      <c r="G934" s="46">
        <v>46084</v>
      </c>
    </row>
    <row r="935" spans="1:7" hidden="1" x14ac:dyDescent="0.3">
      <c r="A935" s="44" t="s">
        <v>10</v>
      </c>
      <c r="B935" s="44" t="s">
        <v>1173</v>
      </c>
      <c r="C935" s="44" t="s">
        <v>1174</v>
      </c>
      <c r="D935" s="44">
        <v>5585447731</v>
      </c>
      <c r="E935" s="44">
        <v>185903</v>
      </c>
      <c r="F935" s="87">
        <v>9188.9599999999991</v>
      </c>
      <c r="G935" s="46">
        <v>46084</v>
      </c>
    </row>
    <row r="936" spans="1:7" s="51" customFormat="1" hidden="1" x14ac:dyDescent="0.3">
      <c r="A936" s="51" t="s">
        <v>10</v>
      </c>
      <c r="B936" s="51" t="s">
        <v>914</v>
      </c>
      <c r="C936" s="51" t="str">
        <f>IFERROR(VLOOKUP(B936,Base2026!A:C,2,FALSE),"")</f>
        <v>XALOSTOC</v>
      </c>
      <c r="D936" s="51">
        <v>7298647878</v>
      </c>
      <c r="E936" s="51">
        <v>299357</v>
      </c>
      <c r="F936" s="68">
        <v>7590.05</v>
      </c>
      <c r="G936" s="52">
        <v>46084</v>
      </c>
    </row>
    <row r="937" spans="1:7" hidden="1" x14ac:dyDescent="0.3">
      <c r="A937" s="51" t="s">
        <v>10</v>
      </c>
      <c r="B937" s="51" t="s">
        <v>1172</v>
      </c>
      <c r="C937" s="51" t="s">
        <v>806</v>
      </c>
      <c r="D937" s="51">
        <v>7713859006</v>
      </c>
      <c r="E937" s="51">
        <v>186071</v>
      </c>
      <c r="F937" s="68">
        <v>1424</v>
      </c>
      <c r="G937" s="52">
        <v>46084</v>
      </c>
    </row>
    <row r="938" spans="1:7" s="51" customFormat="1" hidden="1" x14ac:dyDescent="0.3">
      <c r="A938" s="51" t="s">
        <v>11</v>
      </c>
      <c r="B938" s="51" t="s">
        <v>684</v>
      </c>
      <c r="C938" s="51" t="s">
        <v>293</v>
      </c>
      <c r="D938" s="51">
        <v>5533055960</v>
      </c>
      <c r="E938" s="51">
        <v>186490</v>
      </c>
      <c r="F938" s="68">
        <v>5850</v>
      </c>
      <c r="G938" s="52">
        <v>46084</v>
      </c>
    </row>
    <row r="939" spans="1:7" hidden="1" x14ac:dyDescent="0.3">
      <c r="A939" s="44" t="s">
        <v>11</v>
      </c>
      <c r="B939" s="44" t="s">
        <v>1166</v>
      </c>
      <c r="C939" s="44" t="s">
        <v>458</v>
      </c>
      <c r="D939" s="44">
        <v>5533754426</v>
      </c>
      <c r="E939" s="44">
        <v>352910</v>
      </c>
      <c r="F939" s="87">
        <v>595</v>
      </c>
      <c r="G939" s="46">
        <v>46084</v>
      </c>
    </row>
    <row r="940" spans="1:7" s="51" customFormat="1" x14ac:dyDescent="0.3">
      <c r="A940" s="51" t="s">
        <v>11</v>
      </c>
      <c r="B940" s="51" t="s">
        <v>528</v>
      </c>
      <c r="C940" s="51" t="str">
        <f>IFERROR(VLOOKUP(B940,Base2026!A:C,2,FALSE),"")</f>
        <v>TEXCOCO</v>
      </c>
      <c r="D940" s="51">
        <f>IFERROR(VLOOKUP(C940,Base2026!B:D,2,FALSE),"")</f>
        <v>5536695063</v>
      </c>
      <c r="E940" s="51">
        <v>298450</v>
      </c>
      <c r="F940" s="68">
        <v>19641.43</v>
      </c>
      <c r="G940" s="52">
        <v>46084</v>
      </c>
    </row>
    <row r="941" spans="1:7" hidden="1" x14ac:dyDescent="0.3">
      <c r="A941" s="44" t="s">
        <v>11</v>
      </c>
      <c r="B941" s="44" t="s">
        <v>1181</v>
      </c>
      <c r="C941" s="44" t="s">
        <v>1168</v>
      </c>
      <c r="D941" s="44">
        <v>5549884244</v>
      </c>
      <c r="E941" s="44">
        <v>298729</v>
      </c>
      <c r="F941" s="87">
        <v>9987.76</v>
      </c>
      <c r="G941" s="46">
        <v>46084</v>
      </c>
    </row>
    <row r="942" spans="1:7" s="51" customFormat="1" hidden="1" x14ac:dyDescent="0.3">
      <c r="A942" s="51" t="s">
        <v>11</v>
      </c>
      <c r="B942" s="51" t="s">
        <v>1181</v>
      </c>
      <c r="C942" s="51" t="s">
        <v>1168</v>
      </c>
      <c r="D942" s="51">
        <v>5549884244</v>
      </c>
      <c r="E942" s="51">
        <v>298727</v>
      </c>
      <c r="F942" s="68">
        <v>870</v>
      </c>
      <c r="G942" s="52">
        <v>46084</v>
      </c>
    </row>
    <row r="943" spans="1:7" hidden="1" x14ac:dyDescent="0.3">
      <c r="A943" s="44" t="s">
        <v>11</v>
      </c>
      <c r="B943" s="44" t="s">
        <v>1181</v>
      </c>
      <c r="C943" s="44" t="s">
        <v>1168</v>
      </c>
      <c r="D943" s="44">
        <v>5549884244</v>
      </c>
      <c r="E943" s="44">
        <v>298747</v>
      </c>
      <c r="F943" s="87">
        <v>6921.4</v>
      </c>
      <c r="G943" s="46">
        <v>46084</v>
      </c>
    </row>
    <row r="944" spans="1:7" s="51" customFormat="1" hidden="1" x14ac:dyDescent="0.3">
      <c r="A944" s="51" t="s">
        <v>11</v>
      </c>
      <c r="B944" s="51" t="s">
        <v>1167</v>
      </c>
      <c r="C944" s="51" t="s">
        <v>167</v>
      </c>
      <c r="D944" s="51">
        <v>5627030920</v>
      </c>
      <c r="E944" s="51">
        <v>352877</v>
      </c>
      <c r="F944" s="68">
        <v>821.96</v>
      </c>
      <c r="G944" s="52">
        <v>46084</v>
      </c>
    </row>
    <row r="945" spans="1:7" hidden="1" x14ac:dyDescent="0.3">
      <c r="A945" s="44" t="s">
        <v>47</v>
      </c>
      <c r="B945" s="44" t="s">
        <v>249</v>
      </c>
      <c r="C945" s="44" t="str">
        <f>IFERROR(VLOOKUP(B945,Base2026!A:C,2,FALSE),"")</f>
        <v>TONATITLA</v>
      </c>
      <c r="D945" s="44">
        <f>IFERROR(VLOOKUP(C945,Base2026!B:D,2,FALSE),"")</f>
        <v>5535334019</v>
      </c>
      <c r="E945" s="44">
        <v>352334</v>
      </c>
      <c r="F945" s="87">
        <v>6738.04</v>
      </c>
      <c r="G945" s="46">
        <v>46085</v>
      </c>
    </row>
    <row r="946" spans="1:7" s="48" customFormat="1" hidden="1" x14ac:dyDescent="0.3">
      <c r="A946" s="48" t="s">
        <v>47</v>
      </c>
      <c r="B946" s="48" t="s">
        <v>452</v>
      </c>
      <c r="C946" s="48" t="s">
        <v>93</v>
      </c>
      <c r="D946" s="48">
        <v>5614731053</v>
      </c>
      <c r="E946" s="48">
        <v>184480</v>
      </c>
      <c r="F946" s="88">
        <v>31492.78</v>
      </c>
      <c r="G946" s="50">
        <v>46085</v>
      </c>
    </row>
    <row r="947" spans="1:7" hidden="1" x14ac:dyDescent="0.3">
      <c r="A947" s="48" t="s">
        <v>10</v>
      </c>
      <c r="B947" s="48" t="s">
        <v>1184</v>
      </c>
      <c r="C947" s="48" t="s">
        <v>161</v>
      </c>
      <c r="D947" s="48">
        <v>5520044132</v>
      </c>
      <c r="E947" s="48">
        <v>186063</v>
      </c>
      <c r="F947" s="88">
        <v>4550</v>
      </c>
      <c r="G947" s="50">
        <v>46085</v>
      </c>
    </row>
    <row r="948" spans="1:7" s="48" customFormat="1" hidden="1" x14ac:dyDescent="0.3">
      <c r="A948" s="48" t="s">
        <v>10</v>
      </c>
      <c r="B948" s="48" t="s">
        <v>1182</v>
      </c>
      <c r="C948" s="48" t="s">
        <v>161</v>
      </c>
      <c r="D948" s="48">
        <f>IFERROR(VLOOKUP(C948,Base2026!B:D,2,FALSE),"")</f>
        <v>5528013590</v>
      </c>
      <c r="E948" s="48">
        <v>353016</v>
      </c>
      <c r="F948" s="88">
        <v>650</v>
      </c>
      <c r="G948" s="50">
        <v>46085</v>
      </c>
    </row>
    <row r="949" spans="1:7" hidden="1" x14ac:dyDescent="0.3">
      <c r="A949" s="44" t="s">
        <v>10</v>
      </c>
      <c r="B949" s="44" t="s">
        <v>1183</v>
      </c>
      <c r="C949" s="44" t="s">
        <v>465</v>
      </c>
      <c r="D949" s="44">
        <f>IFERROR(VLOOKUP(C949,Base2026!B:D,2,FALSE),"")</f>
        <v>5530077745</v>
      </c>
      <c r="E949" s="44">
        <v>353019</v>
      </c>
      <c r="F949" s="87">
        <v>10179</v>
      </c>
      <c r="G949" s="46">
        <v>46085</v>
      </c>
    </row>
    <row r="950" spans="1:7" s="48" customFormat="1" hidden="1" x14ac:dyDescent="0.3">
      <c r="A950" s="48" t="s">
        <v>10</v>
      </c>
      <c r="B950" s="48" t="s">
        <v>935</v>
      </c>
      <c r="C950" s="48" t="str">
        <f>IFERROR(VLOOKUP(B950,Base2026!A:C,2,FALSE),"")</f>
        <v>EL SALADO XALOSTOC</v>
      </c>
      <c r="D950" s="48">
        <f>IFERROR(VLOOKUP(C950,Base2026!B:D,2,FALSE),"")</f>
        <v>5539564988</v>
      </c>
      <c r="E950" s="48">
        <v>299053</v>
      </c>
      <c r="F950" s="88">
        <v>4076.16</v>
      </c>
      <c r="G950" s="50">
        <v>46085</v>
      </c>
    </row>
    <row r="951" spans="1:7" hidden="1" x14ac:dyDescent="0.3">
      <c r="A951" s="44" t="s">
        <v>10</v>
      </c>
      <c r="B951" s="44" t="s">
        <v>146</v>
      </c>
      <c r="C951" s="44" t="s">
        <v>1174</v>
      </c>
      <c r="D951" s="44">
        <v>5585447731</v>
      </c>
      <c r="E951" s="44">
        <v>185903</v>
      </c>
      <c r="F951" s="87">
        <v>9188.9599999999991</v>
      </c>
      <c r="G951" s="46">
        <v>46085</v>
      </c>
    </row>
    <row r="952" spans="1:7" s="48" customFormat="1" hidden="1" x14ac:dyDescent="0.3">
      <c r="A952" s="44" t="s">
        <v>10</v>
      </c>
      <c r="B952" s="44" t="s">
        <v>1172</v>
      </c>
      <c r="C952" s="44" t="s">
        <v>806</v>
      </c>
      <c r="D952" s="44">
        <v>7713859006</v>
      </c>
      <c r="E952" s="44">
        <v>33491</v>
      </c>
      <c r="F952" s="87">
        <v>1424</v>
      </c>
      <c r="G952" s="46">
        <v>46085</v>
      </c>
    </row>
    <row r="953" spans="1:7" hidden="1" x14ac:dyDescent="0.3">
      <c r="A953" s="48" t="s">
        <v>17</v>
      </c>
      <c r="B953" s="48" t="s">
        <v>1188</v>
      </c>
      <c r="C953" s="48" t="s">
        <v>204</v>
      </c>
      <c r="D953" s="48">
        <v>5516860073</v>
      </c>
      <c r="E953" s="48">
        <v>299162</v>
      </c>
      <c r="F953" s="88">
        <v>2550</v>
      </c>
      <c r="G953" s="50">
        <v>46085</v>
      </c>
    </row>
    <row r="954" spans="1:7" s="48" customFormat="1" hidden="1" x14ac:dyDescent="0.3">
      <c r="A954" s="48" t="s">
        <v>17</v>
      </c>
      <c r="B954" s="48" t="s">
        <v>1185</v>
      </c>
      <c r="C954" s="48" t="s">
        <v>1186</v>
      </c>
      <c r="D954" s="48">
        <v>5535274145</v>
      </c>
      <c r="E954" s="48">
        <v>299393</v>
      </c>
      <c r="F954" s="88">
        <v>14820</v>
      </c>
      <c r="G954" s="50">
        <v>46085</v>
      </c>
    </row>
    <row r="955" spans="1:7" hidden="1" x14ac:dyDescent="0.3">
      <c r="A955" s="48" t="s">
        <v>17</v>
      </c>
      <c r="B955" s="48" t="s">
        <v>146</v>
      </c>
      <c r="C955" s="48" t="s">
        <v>837</v>
      </c>
      <c r="D955" s="48">
        <v>5565549819</v>
      </c>
      <c r="E955" s="48">
        <v>352966</v>
      </c>
      <c r="F955" s="88">
        <v>2702</v>
      </c>
      <c r="G955" s="50">
        <v>46085</v>
      </c>
    </row>
    <row r="956" spans="1:7" s="48" customFormat="1" hidden="1" x14ac:dyDescent="0.3">
      <c r="A956" s="44" t="s">
        <v>17</v>
      </c>
      <c r="B956" s="44" t="s">
        <v>146</v>
      </c>
      <c r="C956" s="44" t="s">
        <v>837</v>
      </c>
      <c r="D956" s="44">
        <v>5565549819</v>
      </c>
      <c r="E956" s="44">
        <v>352965</v>
      </c>
      <c r="F956" s="87">
        <v>8950</v>
      </c>
      <c r="G956" s="46">
        <v>46085</v>
      </c>
    </row>
    <row r="957" spans="1:7" hidden="1" x14ac:dyDescent="0.3">
      <c r="A957" s="44" t="s">
        <v>17</v>
      </c>
      <c r="B957" s="44" t="s">
        <v>1189</v>
      </c>
      <c r="C957" s="44" t="s">
        <v>68</v>
      </c>
      <c r="D957" s="44">
        <v>5575130865</v>
      </c>
      <c r="E957" s="44">
        <v>186238</v>
      </c>
      <c r="F957" s="87">
        <v>2600</v>
      </c>
      <c r="G957" s="46">
        <v>46085</v>
      </c>
    </row>
    <row r="958" spans="1:7" s="48" customFormat="1" hidden="1" x14ac:dyDescent="0.3">
      <c r="A958" s="44" t="s">
        <v>17</v>
      </c>
      <c r="B958" s="44" t="s">
        <v>1187</v>
      </c>
      <c r="C958" s="44" t="s">
        <v>113</v>
      </c>
      <c r="D958" s="44">
        <v>5615256103</v>
      </c>
      <c r="E958" s="44">
        <v>186109</v>
      </c>
      <c r="F958" s="87">
        <v>2579.04</v>
      </c>
      <c r="G958" s="46">
        <v>46085</v>
      </c>
    </row>
    <row r="959" spans="1:7" hidden="1" x14ac:dyDescent="0.3">
      <c r="A959" s="48" t="s">
        <v>11</v>
      </c>
      <c r="B959" s="48" t="s">
        <v>1190</v>
      </c>
      <c r="C959" s="48" t="s">
        <v>138</v>
      </c>
      <c r="D959" s="48">
        <f>IFERROR(VLOOKUP(C959,Base2026!B:D,2,FALSE),"")</f>
        <v>5558383479</v>
      </c>
      <c r="E959" s="48">
        <v>186126</v>
      </c>
      <c r="F959" s="88">
        <v>4799</v>
      </c>
      <c r="G959" s="50">
        <v>46085</v>
      </c>
    </row>
    <row r="960" spans="1:7" s="48" customFormat="1" hidden="1" x14ac:dyDescent="0.3">
      <c r="A960" s="44" t="s">
        <v>11</v>
      </c>
      <c r="B960" s="44" t="s">
        <v>1191</v>
      </c>
      <c r="C960" s="44" t="s">
        <v>144</v>
      </c>
      <c r="D960" s="44">
        <f>IFERROR(VLOOKUP(C960,Base2026!B:D,2,FALSE),"")</f>
        <v>5570114872</v>
      </c>
      <c r="E960" s="44">
        <v>184541</v>
      </c>
      <c r="F960" s="87">
        <v>46760.22</v>
      </c>
      <c r="G960" s="46">
        <v>46085</v>
      </c>
    </row>
    <row r="961" spans="1:8" hidden="1" x14ac:dyDescent="0.3">
      <c r="A961" s="44" t="s">
        <v>10</v>
      </c>
      <c r="B961" s="44" t="s">
        <v>553</v>
      </c>
      <c r="C961" s="44" t="str">
        <f>IFERROR(VLOOKUP(B961,Base2026!A:C,2,FALSE),"")</f>
        <v>SEGOR</v>
      </c>
      <c r="D961" s="44">
        <f>IFERROR(VLOOKUP(C961,Base2026!B:D,2,FALSE),"")</f>
        <v>5523788617</v>
      </c>
      <c r="E961" s="44">
        <v>186570</v>
      </c>
      <c r="F961" s="87">
        <v>160</v>
      </c>
      <c r="G961" s="46">
        <v>46086</v>
      </c>
    </row>
    <row r="962" spans="1:8" s="51" customFormat="1" hidden="1" x14ac:dyDescent="0.3">
      <c r="A962" s="44" t="s">
        <v>10</v>
      </c>
      <c r="B962" s="44" t="s">
        <v>1196</v>
      </c>
      <c r="C962" s="44" t="s">
        <v>425</v>
      </c>
      <c r="D962" s="44">
        <v>5534303022</v>
      </c>
      <c r="E962" s="44">
        <v>299227</v>
      </c>
      <c r="F962" s="87">
        <v>6121.59</v>
      </c>
      <c r="G962" s="46">
        <v>46086</v>
      </c>
    </row>
    <row r="963" spans="1:8" hidden="1" x14ac:dyDescent="0.3">
      <c r="A963" s="44" t="s">
        <v>10</v>
      </c>
      <c r="B963" s="44" t="s">
        <v>1197</v>
      </c>
      <c r="C963" s="44" t="s">
        <v>174</v>
      </c>
      <c r="D963" s="44">
        <v>5542240962</v>
      </c>
      <c r="E963" s="44">
        <v>351905</v>
      </c>
      <c r="F963" s="87">
        <v>18125.990000000002</v>
      </c>
      <c r="G963" s="46">
        <v>46086</v>
      </c>
    </row>
    <row r="964" spans="1:8" s="51" customFormat="1" hidden="1" x14ac:dyDescent="0.3">
      <c r="A964" s="51" t="s">
        <v>10</v>
      </c>
      <c r="B964" s="51" t="s">
        <v>1193</v>
      </c>
      <c r="C964" s="51" t="s">
        <v>84</v>
      </c>
      <c r="D964" s="51">
        <v>5543829570</v>
      </c>
      <c r="E964" s="51">
        <v>186396</v>
      </c>
      <c r="F964" s="68">
        <v>5293.59</v>
      </c>
      <c r="G964" s="52">
        <v>46086</v>
      </c>
    </row>
    <row r="965" spans="1:8" hidden="1" x14ac:dyDescent="0.3">
      <c r="A965" s="51" t="s">
        <v>10</v>
      </c>
      <c r="B965" s="51" t="s">
        <v>792</v>
      </c>
      <c r="C965" s="51" t="str">
        <f>IFERROR(VLOOKUP(B965,Base2026!A:C,2,FALSE),"")</f>
        <v>GRANJAS VALLE DE GUADALUPE</v>
      </c>
      <c r="D965" s="51">
        <v>5548998364</v>
      </c>
      <c r="E965" s="51">
        <v>299030</v>
      </c>
      <c r="F965" s="68">
        <v>9960.92</v>
      </c>
      <c r="G965" s="52">
        <v>46086</v>
      </c>
      <c r="H965" s="44" t="s">
        <v>1194</v>
      </c>
    </row>
    <row r="966" spans="1:8" s="51" customFormat="1" hidden="1" x14ac:dyDescent="0.3">
      <c r="A966" s="44" t="s">
        <v>10</v>
      </c>
      <c r="B966" s="44" t="s">
        <v>1192</v>
      </c>
      <c r="C966" s="44" t="s">
        <v>84</v>
      </c>
      <c r="D966" s="44">
        <v>5570855966</v>
      </c>
      <c r="E966" s="44">
        <v>352948</v>
      </c>
      <c r="F966" s="87">
        <v>400</v>
      </c>
      <c r="G966" s="46">
        <v>46086</v>
      </c>
    </row>
    <row r="967" spans="1:8" hidden="1" x14ac:dyDescent="0.3">
      <c r="A967" s="51" t="s">
        <v>10</v>
      </c>
      <c r="B967" s="51" t="s">
        <v>284</v>
      </c>
      <c r="C967" s="51" t="s">
        <v>84</v>
      </c>
      <c r="D967" s="51">
        <v>5575268727</v>
      </c>
      <c r="E967" s="51">
        <v>186615</v>
      </c>
      <c r="F967" s="68">
        <v>9137</v>
      </c>
      <c r="G967" s="52">
        <v>46086</v>
      </c>
    </row>
    <row r="968" spans="1:8" s="51" customFormat="1" hidden="1" x14ac:dyDescent="0.3">
      <c r="A968" s="51" t="s">
        <v>10</v>
      </c>
      <c r="B968" s="51" t="s">
        <v>1195</v>
      </c>
      <c r="C968" s="51" t="s">
        <v>425</v>
      </c>
      <c r="D968" s="51">
        <v>5659095742</v>
      </c>
      <c r="E968" s="51">
        <v>186716</v>
      </c>
      <c r="F968" s="68">
        <v>895</v>
      </c>
      <c r="G968" s="52">
        <v>46086</v>
      </c>
    </row>
    <row r="969" spans="1:8" hidden="1" x14ac:dyDescent="0.3">
      <c r="A969" s="51" t="s">
        <v>17</v>
      </c>
      <c r="B969" s="51" t="s">
        <v>1201</v>
      </c>
      <c r="C969" s="51" t="s">
        <v>46</v>
      </c>
      <c r="D969" s="51">
        <v>5516413110</v>
      </c>
      <c r="E969" s="51">
        <v>186116</v>
      </c>
      <c r="F969" s="68">
        <v>2042</v>
      </c>
      <c r="G969" s="52">
        <v>46086</v>
      </c>
    </row>
    <row r="970" spans="1:8" s="51" customFormat="1" hidden="1" x14ac:dyDescent="0.3">
      <c r="A970" s="51" t="s">
        <v>17</v>
      </c>
      <c r="B970" s="51" t="s">
        <v>1202</v>
      </c>
      <c r="C970" s="51" t="s">
        <v>778</v>
      </c>
      <c r="D970" s="51">
        <v>5528502753</v>
      </c>
      <c r="E970" s="51">
        <v>185630</v>
      </c>
      <c r="F970" s="68">
        <v>10293.99</v>
      </c>
      <c r="G970" s="52">
        <v>46086</v>
      </c>
    </row>
    <row r="971" spans="1:8" hidden="1" x14ac:dyDescent="0.3">
      <c r="A971" s="44" t="s">
        <v>17</v>
      </c>
      <c r="B971" s="44" t="s">
        <v>766</v>
      </c>
      <c r="C971" s="44" t="str">
        <f>IFERROR(VLOOKUP(B971,Base2026!A:C,2,FALSE),"")</f>
        <v>ARBOLEDAS DE ARAGON</v>
      </c>
      <c r="D971" s="44">
        <f>IFERROR(VLOOKUP(C971,Base2026!B:D,2,FALSE),"")</f>
        <v>5540964748</v>
      </c>
      <c r="E971" s="44">
        <v>186403</v>
      </c>
      <c r="F971" s="87">
        <v>7766</v>
      </c>
      <c r="G971" s="46">
        <v>46086</v>
      </c>
    </row>
    <row r="972" spans="1:8" s="51" customFormat="1" hidden="1" x14ac:dyDescent="0.3">
      <c r="A972" s="51" t="s">
        <v>17</v>
      </c>
      <c r="B972" s="51" t="s">
        <v>1203</v>
      </c>
      <c r="C972" s="51" t="s">
        <v>68</v>
      </c>
      <c r="D972" s="51">
        <v>5543450209</v>
      </c>
      <c r="E972" s="51">
        <v>186022</v>
      </c>
      <c r="F972" s="68">
        <v>7566</v>
      </c>
      <c r="G972" s="52">
        <v>46086</v>
      </c>
    </row>
    <row r="973" spans="1:8" hidden="1" x14ac:dyDescent="0.3">
      <c r="A973" s="44" t="s">
        <v>17</v>
      </c>
      <c r="B973" s="44" t="s">
        <v>1205</v>
      </c>
      <c r="C973" s="44" t="s">
        <v>837</v>
      </c>
      <c r="D973" s="44">
        <f>IFERROR(VLOOKUP(C973,Base2026!B:D,2,FALSE),"")</f>
        <v>5562509049</v>
      </c>
      <c r="E973" s="44">
        <v>186273</v>
      </c>
      <c r="F973" s="87">
        <v>5306.24</v>
      </c>
      <c r="G973" s="46">
        <v>46086</v>
      </c>
    </row>
    <row r="974" spans="1:8" s="51" customFormat="1" hidden="1" x14ac:dyDescent="0.3">
      <c r="A974" s="51" t="s">
        <v>17</v>
      </c>
      <c r="B974" s="51" t="s">
        <v>1060</v>
      </c>
      <c r="C974" s="51" t="str">
        <f>IFERROR(VLOOKUP(B974,Base2026!A:C,2,FALSE),"")</f>
        <v>PLAZAS DE ARAGON</v>
      </c>
      <c r="D974" s="51">
        <f>IFERROR(VLOOKUP(C974,Base2026!B:D,2,FALSE),"")</f>
        <v>5570826626</v>
      </c>
      <c r="E974" s="51">
        <v>299032</v>
      </c>
      <c r="F974" s="68">
        <v>3380.99</v>
      </c>
      <c r="G974" s="52">
        <v>46086</v>
      </c>
    </row>
    <row r="975" spans="1:8" hidden="1" x14ac:dyDescent="0.3">
      <c r="A975" s="44" t="s">
        <v>17</v>
      </c>
      <c r="B975" s="44" t="s">
        <v>22</v>
      </c>
      <c r="C975" s="44" t="s">
        <v>778</v>
      </c>
      <c r="D975" s="44">
        <v>5572124980</v>
      </c>
      <c r="E975" s="44">
        <v>185519</v>
      </c>
      <c r="F975" s="87">
        <v>1934</v>
      </c>
      <c r="G975" s="46">
        <v>46086</v>
      </c>
    </row>
    <row r="976" spans="1:8" s="51" customFormat="1" hidden="1" x14ac:dyDescent="0.3">
      <c r="A976" s="51" t="s">
        <v>11</v>
      </c>
      <c r="B976" s="51" t="s">
        <v>1198</v>
      </c>
      <c r="C976" s="51" t="s">
        <v>614</v>
      </c>
      <c r="D976" s="51">
        <v>5521747838</v>
      </c>
      <c r="E976" s="51">
        <v>186676</v>
      </c>
      <c r="F976" s="68">
        <v>2550</v>
      </c>
      <c r="G976" s="52">
        <v>46086</v>
      </c>
    </row>
    <row r="977" spans="1:7" hidden="1" x14ac:dyDescent="0.3">
      <c r="A977" s="44" t="s">
        <v>11</v>
      </c>
      <c r="B977" s="44" t="s">
        <v>1204</v>
      </c>
      <c r="C977" s="44" t="s">
        <v>117</v>
      </c>
      <c r="D977" s="44">
        <v>5529944950</v>
      </c>
      <c r="E977" s="44">
        <v>186511</v>
      </c>
      <c r="F977" s="87">
        <v>678.36</v>
      </c>
      <c r="G977" s="46">
        <v>46086</v>
      </c>
    </row>
    <row r="978" spans="1:7" s="51" customFormat="1" hidden="1" x14ac:dyDescent="0.3">
      <c r="A978" s="44" t="s">
        <v>11</v>
      </c>
      <c r="B978" s="44" t="s">
        <v>314</v>
      </c>
      <c r="C978" s="44" t="str">
        <f>IFERROR(VLOOKUP(B978,Base2026!A:C,2,FALSE),"")</f>
        <v>JARDINES DE SANTA CLARA</v>
      </c>
      <c r="D978" s="44">
        <v>5544844808</v>
      </c>
      <c r="E978" s="44">
        <v>186345</v>
      </c>
      <c r="F978" s="87">
        <v>7180</v>
      </c>
      <c r="G978" s="46">
        <v>46086</v>
      </c>
    </row>
    <row r="979" spans="1:7" hidden="1" x14ac:dyDescent="0.3">
      <c r="A979" s="51" t="s">
        <v>11</v>
      </c>
      <c r="B979" s="51" t="s">
        <v>610</v>
      </c>
      <c r="C979" s="51" t="str">
        <f>IFERROR(VLOOKUP(B979,Base2026!A:C,2,FALSE),"")</f>
        <v>SAN PABLO TEXCOCO</v>
      </c>
      <c r="D979" s="51">
        <f>IFERROR(VLOOKUP(C979,Base2026!B:D,2,FALSE),"")</f>
        <v>5582860407</v>
      </c>
      <c r="E979" s="51">
        <v>298637</v>
      </c>
      <c r="F979" s="68">
        <v>23814.99</v>
      </c>
      <c r="G979" s="52">
        <v>46086</v>
      </c>
    </row>
    <row r="980" spans="1:7" s="51" customFormat="1" hidden="1" x14ac:dyDescent="0.3">
      <c r="A980" s="48" t="s">
        <v>47</v>
      </c>
      <c r="B980" s="48" t="s">
        <v>8</v>
      </c>
      <c r="C980" s="48" t="str">
        <f>IFERROR(VLOOKUP(B980,Base2026!A:C,2,FALSE),"")</f>
        <v>JORGE NEGRETE</v>
      </c>
      <c r="D980" s="48">
        <f>IFERROR(VLOOKUP(C980,Base2026!B:D,2,FALSE),"")</f>
        <v>3223271287</v>
      </c>
      <c r="E980" s="48">
        <v>185798</v>
      </c>
      <c r="F980" s="88">
        <v>1790</v>
      </c>
      <c r="G980" s="50">
        <v>46087</v>
      </c>
    </row>
    <row r="981" spans="1:7" hidden="1" x14ac:dyDescent="0.3">
      <c r="A981" s="44" t="s">
        <v>47</v>
      </c>
      <c r="B981" s="44" t="s">
        <v>1216</v>
      </c>
      <c r="C981" s="44" t="s">
        <v>816</v>
      </c>
      <c r="D981" s="44">
        <v>5520731154</v>
      </c>
      <c r="E981" s="44">
        <v>299521</v>
      </c>
      <c r="F981" s="87">
        <v>3094</v>
      </c>
      <c r="G981" s="46">
        <v>46087</v>
      </c>
    </row>
    <row r="982" spans="1:7" s="48" customFormat="1" hidden="1" x14ac:dyDescent="0.3">
      <c r="A982" s="48" t="s">
        <v>47</v>
      </c>
      <c r="B982" s="48" t="s">
        <v>1217</v>
      </c>
      <c r="C982" s="48" t="s">
        <v>30</v>
      </c>
      <c r="D982" s="48">
        <f>IFERROR(VLOOKUP(C982,Base2026!B:D,2,FALSE),"")</f>
        <v>5545758293</v>
      </c>
      <c r="E982" s="48">
        <v>186188</v>
      </c>
      <c r="F982" s="88">
        <v>3560</v>
      </c>
      <c r="G982" s="50">
        <v>46087</v>
      </c>
    </row>
    <row r="983" spans="1:7" hidden="1" x14ac:dyDescent="0.3">
      <c r="A983" s="48" t="s">
        <v>47</v>
      </c>
      <c r="B983" s="48" t="s">
        <v>1215</v>
      </c>
      <c r="C983" s="48" t="s">
        <v>624</v>
      </c>
      <c r="D983" s="48">
        <v>5615241519</v>
      </c>
      <c r="E983" s="48">
        <v>352653</v>
      </c>
      <c r="F983" s="88">
        <v>24626.48</v>
      </c>
      <c r="G983" s="50">
        <v>46087</v>
      </c>
    </row>
    <row r="984" spans="1:7" s="48" customFormat="1" hidden="1" x14ac:dyDescent="0.3">
      <c r="A984" s="44" t="s">
        <v>47</v>
      </c>
      <c r="B984" s="44" t="s">
        <v>1215</v>
      </c>
      <c r="C984" s="44" t="s">
        <v>624</v>
      </c>
      <c r="D984" s="44">
        <v>5615241519</v>
      </c>
      <c r="E984" s="44">
        <v>352654</v>
      </c>
      <c r="F984" s="87">
        <v>4536.99</v>
      </c>
      <c r="G984" s="46">
        <v>46087</v>
      </c>
    </row>
    <row r="985" spans="1:7" hidden="1" x14ac:dyDescent="0.3">
      <c r="A985" s="44" t="s">
        <v>47</v>
      </c>
      <c r="B985" s="44" t="s">
        <v>1016</v>
      </c>
      <c r="C985" s="44" t="s">
        <v>806</v>
      </c>
      <c r="D985" s="44">
        <v>5616443874</v>
      </c>
      <c r="E985" s="44">
        <v>299218</v>
      </c>
      <c r="F985" s="87">
        <v>15401.99</v>
      </c>
      <c r="G985" s="46">
        <v>46087</v>
      </c>
    </row>
    <row r="986" spans="1:7" s="48" customFormat="1" hidden="1" x14ac:dyDescent="0.3">
      <c r="A986" s="48" t="s">
        <v>10</v>
      </c>
      <c r="B986" s="48" t="s">
        <v>1171</v>
      </c>
      <c r="C986" s="48" t="s">
        <v>1087</v>
      </c>
      <c r="D986" s="48">
        <v>5534239252</v>
      </c>
      <c r="E986" s="48">
        <v>352844</v>
      </c>
      <c r="F986" s="88">
        <v>9609.86</v>
      </c>
      <c r="G986" s="50">
        <v>46087</v>
      </c>
    </row>
    <row r="987" spans="1:7" hidden="1" x14ac:dyDescent="0.3">
      <c r="A987" s="48" t="s">
        <v>10</v>
      </c>
      <c r="B987" s="48" t="s">
        <v>976</v>
      </c>
      <c r="C987" s="48" t="str">
        <f>IFERROR(VLOOKUP(B987,Base2026!A:C,2,FALSE),"")</f>
        <v>EMILIANO ZAPATA</v>
      </c>
      <c r="D987" s="48">
        <v>5543678742</v>
      </c>
      <c r="E987" s="48">
        <v>185385</v>
      </c>
      <c r="F987" s="88">
        <v>12789.73</v>
      </c>
      <c r="G987" s="50">
        <v>46087</v>
      </c>
    </row>
    <row r="988" spans="1:7" s="48" customFormat="1" hidden="1" x14ac:dyDescent="0.3">
      <c r="A988" s="44" t="s">
        <v>10</v>
      </c>
      <c r="B988" s="44" t="s">
        <v>1211</v>
      </c>
      <c r="C988" s="44" t="s">
        <v>474</v>
      </c>
      <c r="D988" s="44">
        <v>5579210405</v>
      </c>
      <c r="E988" s="44">
        <v>353099</v>
      </c>
      <c r="F988" s="87">
        <v>2152</v>
      </c>
      <c r="G988" s="46">
        <v>46087</v>
      </c>
    </row>
    <row r="989" spans="1:7" hidden="1" x14ac:dyDescent="0.3">
      <c r="A989" s="44" t="s">
        <v>10</v>
      </c>
      <c r="B989" s="44" t="s">
        <v>1210</v>
      </c>
      <c r="C989" s="44" t="s">
        <v>115</v>
      </c>
      <c r="D989" s="44">
        <v>5580132769</v>
      </c>
      <c r="E989" s="44">
        <v>186356</v>
      </c>
      <c r="F989" s="87">
        <v>1925.28</v>
      </c>
      <c r="G989" s="46">
        <v>46087</v>
      </c>
    </row>
    <row r="990" spans="1:7" s="48" customFormat="1" hidden="1" x14ac:dyDescent="0.3">
      <c r="A990" s="48" t="s">
        <v>17</v>
      </c>
      <c r="B990" s="48" t="s">
        <v>1206</v>
      </c>
      <c r="C990" s="48" t="s">
        <v>345</v>
      </c>
      <c r="D990" s="48">
        <v>4461381662</v>
      </c>
      <c r="E990" s="48">
        <v>352907</v>
      </c>
      <c r="F990" s="88">
        <v>1397.44</v>
      </c>
      <c r="G990" s="50">
        <v>46087</v>
      </c>
    </row>
    <row r="991" spans="1:7" hidden="1" x14ac:dyDescent="0.3">
      <c r="A991" s="48" t="s">
        <v>17</v>
      </c>
      <c r="B991" s="48" t="s">
        <v>1199</v>
      </c>
      <c r="C991" s="48" t="s">
        <v>1200</v>
      </c>
      <c r="D991" s="48">
        <v>5586040532</v>
      </c>
      <c r="E991" s="48">
        <v>186096</v>
      </c>
      <c r="F991" s="88">
        <v>6309.01</v>
      </c>
      <c r="G991" s="50">
        <v>46087</v>
      </c>
    </row>
    <row r="992" spans="1:7" s="48" customFormat="1" hidden="1" x14ac:dyDescent="0.3">
      <c r="A992" s="44" t="s">
        <v>17</v>
      </c>
      <c r="B992" s="44" t="s">
        <v>432</v>
      </c>
      <c r="C992" s="44" t="str">
        <f>IFERROR(VLOOKUP(B992,Base2026!A:C,2,FALSE),"")</f>
        <v>HEROES DE INDEPENDENCIA</v>
      </c>
      <c r="D992" s="44">
        <f>IFERROR(VLOOKUP(C992,Base2026!B:D,2,FALSE),"")</f>
        <v>5614639380</v>
      </c>
      <c r="E992" s="44">
        <v>352871</v>
      </c>
      <c r="F992" s="87">
        <v>9057</v>
      </c>
      <c r="G992" s="46">
        <v>46087</v>
      </c>
    </row>
    <row r="993" spans="1:7" hidden="1" x14ac:dyDescent="0.3">
      <c r="A993" s="44" t="s">
        <v>17</v>
      </c>
      <c r="B993" s="44" t="s">
        <v>1207</v>
      </c>
      <c r="C993" s="44" t="s">
        <v>43</v>
      </c>
      <c r="D993" s="44">
        <v>5624162364</v>
      </c>
      <c r="E993" s="44">
        <v>352903</v>
      </c>
      <c r="F993" s="87">
        <v>12820.04</v>
      </c>
      <c r="G993" s="46">
        <v>46087</v>
      </c>
    </row>
    <row r="994" spans="1:7" s="48" customFormat="1" hidden="1" x14ac:dyDescent="0.3">
      <c r="A994" s="44" t="s">
        <v>17</v>
      </c>
      <c r="B994" s="44" t="s">
        <v>1208</v>
      </c>
      <c r="C994" s="44" t="s">
        <v>1209</v>
      </c>
      <c r="D994" s="44">
        <v>5657456589</v>
      </c>
      <c r="E994" s="44">
        <v>299318</v>
      </c>
      <c r="F994" s="87">
        <v>692.28</v>
      </c>
      <c r="G994" s="46">
        <v>46087</v>
      </c>
    </row>
    <row r="995" spans="1:7" hidden="1" x14ac:dyDescent="0.3">
      <c r="A995" s="48" t="s">
        <v>17</v>
      </c>
      <c r="B995" s="48" t="s">
        <v>1208</v>
      </c>
      <c r="C995" s="48" t="s">
        <v>1209</v>
      </c>
      <c r="D995" s="48">
        <v>5657456589</v>
      </c>
      <c r="E995" s="48">
        <v>299321</v>
      </c>
      <c r="F995" s="88">
        <v>5050</v>
      </c>
      <c r="G995" s="50">
        <v>46087</v>
      </c>
    </row>
    <row r="996" spans="1:7" s="48" customFormat="1" hidden="1" x14ac:dyDescent="0.3">
      <c r="A996" s="48" t="s">
        <v>11</v>
      </c>
      <c r="B996" s="48" t="s">
        <v>1213</v>
      </c>
      <c r="C996" s="48" t="s">
        <v>1214</v>
      </c>
      <c r="D996" s="48">
        <v>5528880328</v>
      </c>
      <c r="E996" s="48">
        <v>299491</v>
      </c>
      <c r="F996" s="88">
        <v>20778.240000000002</v>
      </c>
      <c r="G996" s="50">
        <v>46087</v>
      </c>
    </row>
    <row r="997" spans="1:7" hidden="1" x14ac:dyDescent="0.3">
      <c r="A997" s="48" t="s">
        <v>11</v>
      </c>
      <c r="B997" s="48" t="s">
        <v>1212</v>
      </c>
      <c r="C997" s="48" t="s">
        <v>93</v>
      </c>
      <c r="D997" s="48">
        <v>5529660133</v>
      </c>
      <c r="E997" s="48">
        <v>299642</v>
      </c>
      <c r="F997" s="88">
        <v>11029</v>
      </c>
      <c r="G997" s="50">
        <v>46087</v>
      </c>
    </row>
    <row r="998" spans="1:7" s="48" customFormat="1" hidden="1" x14ac:dyDescent="0.3">
      <c r="A998" s="44" t="s">
        <v>11</v>
      </c>
      <c r="B998" s="44" t="s">
        <v>249</v>
      </c>
      <c r="C998" s="44" t="str">
        <f>IFERROR(VLOOKUP(B998,Base2026!A:C,2,FALSE),"")</f>
        <v>TONATITLA</v>
      </c>
      <c r="D998" s="44">
        <f>IFERROR(VLOOKUP(C998,Base2026!B:D,2,FALSE),"")</f>
        <v>5535334019</v>
      </c>
      <c r="E998" s="44">
        <v>352700</v>
      </c>
      <c r="F998" s="87">
        <v>2899.02</v>
      </c>
      <c r="G998" s="46">
        <v>46087</v>
      </c>
    </row>
    <row r="999" spans="1:7" hidden="1" x14ac:dyDescent="0.3">
      <c r="A999" s="44" t="s">
        <v>11</v>
      </c>
      <c r="B999" s="44" t="s">
        <v>322</v>
      </c>
      <c r="C999" s="44" t="s">
        <v>252</v>
      </c>
      <c r="D999" s="44">
        <v>5547270600</v>
      </c>
      <c r="E999" s="44">
        <v>352836</v>
      </c>
      <c r="F999" s="87">
        <v>9473.99</v>
      </c>
      <c r="G999" s="46">
        <v>46087</v>
      </c>
    </row>
    <row r="1000" spans="1:7" s="48" customFormat="1" hidden="1" x14ac:dyDescent="0.3">
      <c r="A1000" s="44" t="s">
        <v>11</v>
      </c>
      <c r="B1000" s="44" t="s">
        <v>57</v>
      </c>
      <c r="C1000" s="44" t="str">
        <f>IFERROR(VLOOKUP(B1000,Base2026!A:C,2,FALSE),"")</f>
        <v>EJE 8</v>
      </c>
      <c r="D1000" s="80">
        <v>5554550976</v>
      </c>
      <c r="E1000" s="44">
        <v>299128</v>
      </c>
      <c r="F1000" s="87">
        <v>3493.6</v>
      </c>
      <c r="G1000" s="46">
        <v>46087</v>
      </c>
    </row>
    <row r="1001" spans="1:7" hidden="1" x14ac:dyDescent="0.3">
      <c r="A1001" s="48" t="s">
        <v>11</v>
      </c>
      <c r="B1001" s="48" t="s">
        <v>57</v>
      </c>
      <c r="C1001" s="48" t="str">
        <f>IFERROR(VLOOKUP(B1001,Base2026!A:C,2,FALSE),"")</f>
        <v>EJE 8</v>
      </c>
      <c r="D1001" s="80">
        <v>5554550976</v>
      </c>
      <c r="E1001" s="48">
        <v>297651</v>
      </c>
      <c r="F1001" s="88">
        <v>3214.96</v>
      </c>
      <c r="G1001" s="50">
        <v>46087</v>
      </c>
    </row>
    <row r="1002" spans="1:7" s="48" customFormat="1" hidden="1" x14ac:dyDescent="0.3">
      <c r="A1002" s="51" t="s">
        <v>47</v>
      </c>
      <c r="B1002" s="51" t="s">
        <v>1220</v>
      </c>
      <c r="C1002" s="51" t="s">
        <v>84</v>
      </c>
      <c r="D1002" s="51">
        <v>5513979624</v>
      </c>
      <c r="E1002" s="51">
        <v>186337</v>
      </c>
      <c r="F1002" s="68">
        <v>3407.75</v>
      </c>
      <c r="G1002" s="52">
        <v>46088</v>
      </c>
    </row>
    <row r="1003" spans="1:7" hidden="1" x14ac:dyDescent="0.3">
      <c r="A1003" s="51" t="s">
        <v>47</v>
      </c>
      <c r="B1003" s="51" t="s">
        <v>1221</v>
      </c>
      <c r="C1003" s="51" t="s">
        <v>138</v>
      </c>
      <c r="D1003" s="51">
        <v>5527731632</v>
      </c>
      <c r="E1003" s="51">
        <v>186347</v>
      </c>
      <c r="F1003" s="68">
        <v>3712</v>
      </c>
      <c r="G1003" s="52">
        <v>46088</v>
      </c>
    </row>
    <row r="1004" spans="1:7" s="51" customFormat="1" hidden="1" x14ac:dyDescent="0.3">
      <c r="A1004" s="44" t="s">
        <v>47</v>
      </c>
      <c r="B1004" s="44" t="s">
        <v>1079</v>
      </c>
      <c r="C1004" s="44" t="s">
        <v>174</v>
      </c>
      <c r="D1004" s="44">
        <v>5542240962</v>
      </c>
      <c r="E1004" s="44">
        <v>351905</v>
      </c>
      <c r="F1004" s="87">
        <v>18125.990000000002</v>
      </c>
      <c r="G1004" s="46">
        <v>46088</v>
      </c>
    </row>
    <row r="1005" spans="1:7" hidden="1" x14ac:dyDescent="0.3">
      <c r="A1005" s="51" t="s">
        <v>17</v>
      </c>
      <c r="B1005" s="51" t="s">
        <v>964</v>
      </c>
      <c r="C1005" s="51" t="str">
        <f>IFERROR(VLOOKUP(B1005,Base2026!A:C,2,FALSE),"")</f>
        <v>HACIENDA DE MAYRAZGO</v>
      </c>
      <c r="D1005" s="51">
        <f>IFERROR(VLOOKUP(C1005,Base2026!B:D,2,FALSE),"")</f>
        <v>2206119277</v>
      </c>
      <c r="E1005" s="51">
        <v>299349</v>
      </c>
      <c r="F1005" s="68">
        <v>8718.75</v>
      </c>
      <c r="G1005" s="52">
        <v>46088</v>
      </c>
    </row>
    <row r="1006" spans="1:7" s="51" customFormat="1" hidden="1" x14ac:dyDescent="0.3">
      <c r="A1006" s="44" t="s">
        <v>17</v>
      </c>
      <c r="B1006" s="44" t="s">
        <v>1219</v>
      </c>
      <c r="C1006" s="44" t="s">
        <v>465</v>
      </c>
      <c r="D1006" s="44">
        <v>5526636766</v>
      </c>
      <c r="E1006" s="44">
        <v>299239</v>
      </c>
      <c r="F1006" s="87">
        <v>11113</v>
      </c>
      <c r="G1006" s="46">
        <v>46088</v>
      </c>
    </row>
    <row r="1007" spans="1:7" hidden="1" x14ac:dyDescent="0.3">
      <c r="A1007" s="44" t="s">
        <v>17</v>
      </c>
      <c r="B1007" s="44" t="s">
        <v>1060</v>
      </c>
      <c r="C1007" s="44" t="str">
        <f>IFERROR(VLOOKUP(B1007,Base2026!A:C,2,FALSE),"")</f>
        <v>PLAZAS DE ARAGON</v>
      </c>
      <c r="D1007" s="44">
        <f>IFERROR(VLOOKUP(C1007,Base2026!B:D,2,FALSE),"")</f>
        <v>5570826626</v>
      </c>
      <c r="E1007" s="44">
        <v>334480</v>
      </c>
      <c r="F1007" s="87">
        <v>13910</v>
      </c>
      <c r="G1007" s="46">
        <v>46088</v>
      </c>
    </row>
    <row r="1008" spans="1:7" s="51" customFormat="1" hidden="1" x14ac:dyDescent="0.3">
      <c r="A1008" s="48" t="s">
        <v>47</v>
      </c>
      <c r="B1008" s="48" t="s">
        <v>1230</v>
      </c>
      <c r="C1008" s="48" t="s">
        <v>88</v>
      </c>
      <c r="D1008" s="48">
        <v>5518594860</v>
      </c>
      <c r="E1008" s="48">
        <v>353243</v>
      </c>
      <c r="F1008" s="88">
        <v>1148</v>
      </c>
      <c r="G1008" s="50">
        <v>46090</v>
      </c>
    </row>
    <row r="1009" spans="1:7" s="48" customFormat="1" hidden="1" x14ac:dyDescent="0.3">
      <c r="A1009" s="48" t="s">
        <v>47</v>
      </c>
      <c r="B1009" s="48" t="s">
        <v>1228</v>
      </c>
      <c r="C1009" s="48" t="s">
        <v>74</v>
      </c>
      <c r="D1009" s="48">
        <v>5528872468</v>
      </c>
      <c r="E1009" s="48">
        <v>299680</v>
      </c>
      <c r="F1009" s="88">
        <v>10087</v>
      </c>
      <c r="G1009" s="50">
        <v>46090</v>
      </c>
    </row>
    <row r="1010" spans="1:7" hidden="1" x14ac:dyDescent="0.3">
      <c r="A1010" s="48" t="s">
        <v>47</v>
      </c>
      <c r="B1010" s="48" t="s">
        <v>1231</v>
      </c>
      <c r="C1010" s="48" t="s">
        <v>733</v>
      </c>
      <c r="D1010" s="48">
        <v>5536436355</v>
      </c>
      <c r="E1010" s="48">
        <v>298974</v>
      </c>
      <c r="F1010" s="88">
        <v>15572.63</v>
      </c>
      <c r="G1010" s="50">
        <v>46090</v>
      </c>
    </row>
    <row r="1011" spans="1:7" s="48" customFormat="1" hidden="1" x14ac:dyDescent="0.3">
      <c r="A1011" s="44" t="s">
        <v>47</v>
      </c>
      <c r="B1011" s="44" t="s">
        <v>1022</v>
      </c>
      <c r="C1011" s="44" t="str">
        <f>IFERROR(VLOOKUP(B1011,Base2026!A:C,2,FALSE),"")</f>
        <v>TLALNEPANTLA</v>
      </c>
      <c r="D1011" s="44">
        <v>5540305931</v>
      </c>
      <c r="E1011" s="44">
        <v>299506</v>
      </c>
      <c r="F1011" s="87">
        <v>6151.91</v>
      </c>
      <c r="G1011" s="46">
        <v>46090</v>
      </c>
    </row>
    <row r="1012" spans="1:7" hidden="1" x14ac:dyDescent="0.3">
      <c r="A1012" s="44" t="s">
        <v>47</v>
      </c>
      <c r="B1012" s="44" t="s">
        <v>1232</v>
      </c>
      <c r="C1012" s="44" t="s">
        <v>1233</v>
      </c>
      <c r="D1012" s="44">
        <v>5542007484</v>
      </c>
      <c r="E1012" s="44">
        <v>299132</v>
      </c>
      <c r="F1012" s="87">
        <v>12264.08</v>
      </c>
      <c r="G1012" s="46">
        <v>46090</v>
      </c>
    </row>
    <row r="1013" spans="1:7" s="48" customFormat="1" hidden="1" x14ac:dyDescent="0.3">
      <c r="A1013" s="48" t="s">
        <v>47</v>
      </c>
      <c r="B1013" s="48" t="s">
        <v>1232</v>
      </c>
      <c r="C1013" s="48" t="s">
        <v>1233</v>
      </c>
      <c r="D1013" s="48">
        <v>5542007484</v>
      </c>
      <c r="E1013" s="48">
        <v>299131</v>
      </c>
      <c r="F1013" s="88">
        <v>400</v>
      </c>
      <c r="G1013" s="50">
        <v>46090</v>
      </c>
    </row>
    <row r="1014" spans="1:7" hidden="1" x14ac:dyDescent="0.3">
      <c r="A1014" s="44" t="s">
        <v>47</v>
      </c>
      <c r="B1014" s="44" t="s">
        <v>1229</v>
      </c>
      <c r="C1014" s="44" t="s">
        <v>208</v>
      </c>
      <c r="D1014" s="44">
        <f>IFERROR(VLOOKUP(C1014,Base2026!B:D,2,FALSE),"")</f>
        <v>5545305498</v>
      </c>
      <c r="E1014" s="44">
        <v>299295</v>
      </c>
      <c r="F1014" s="87">
        <v>3014.32</v>
      </c>
      <c r="G1014" s="46">
        <v>46090</v>
      </c>
    </row>
    <row r="1015" spans="1:7" s="48" customFormat="1" hidden="1" x14ac:dyDescent="0.3">
      <c r="A1015" s="44" t="s">
        <v>47</v>
      </c>
      <c r="B1015" s="44" t="s">
        <v>1227</v>
      </c>
      <c r="C1015" s="44" t="s">
        <v>117</v>
      </c>
      <c r="D1015" s="44">
        <v>5584089435</v>
      </c>
      <c r="E1015" s="44">
        <v>299723</v>
      </c>
      <c r="F1015" s="87">
        <v>1817</v>
      </c>
      <c r="G1015" s="46">
        <v>46090</v>
      </c>
    </row>
    <row r="1016" spans="1:7" hidden="1" x14ac:dyDescent="0.3">
      <c r="A1016" s="48" t="s">
        <v>10</v>
      </c>
      <c r="B1016" s="48" t="s">
        <v>398</v>
      </c>
      <c r="C1016" s="48" t="str">
        <f>IFERROR(VLOOKUP(B1016,Base2026!A:C,2,FALSE),"")</f>
        <v>FRANCISCO VILLA</v>
      </c>
      <c r="D1016" s="48">
        <f>IFERROR(VLOOKUP(C1016,Base2026!B:D,2,FALSE),"")</f>
        <v>5535173661</v>
      </c>
      <c r="E1016" s="48">
        <v>186783</v>
      </c>
      <c r="F1016" s="88">
        <v>4054</v>
      </c>
      <c r="G1016" s="50">
        <v>46090</v>
      </c>
    </row>
    <row r="1017" spans="1:7" s="48" customFormat="1" hidden="1" x14ac:dyDescent="0.3">
      <c r="A1017" s="44" t="s">
        <v>10</v>
      </c>
      <c r="B1017" s="44" t="s">
        <v>530</v>
      </c>
      <c r="C1017" s="44" t="str">
        <f>IFERROR(VLOOKUP(B1017,Base2026!A:C,2,FALSE),"")</f>
        <v>TULTEPEC</v>
      </c>
      <c r="D1017" s="44">
        <f>IFERROR(VLOOKUP(C1017,Base2026!B:D,2,FALSE),"")</f>
        <v>5554704647</v>
      </c>
      <c r="E1017" s="44">
        <v>298766</v>
      </c>
      <c r="F1017" s="87">
        <v>18671.849999999999</v>
      </c>
      <c r="G1017" s="46">
        <v>46090</v>
      </c>
    </row>
    <row r="1018" spans="1:7" hidden="1" x14ac:dyDescent="0.3">
      <c r="A1018" s="48" t="s">
        <v>17</v>
      </c>
      <c r="B1018" s="48" t="s">
        <v>1225</v>
      </c>
      <c r="C1018" s="48" t="s">
        <v>474</v>
      </c>
      <c r="D1018" s="48">
        <v>5527372432</v>
      </c>
      <c r="E1018" s="48">
        <v>299417</v>
      </c>
      <c r="F1018" s="88">
        <v>11186.39</v>
      </c>
      <c r="G1018" s="50">
        <v>46090</v>
      </c>
    </row>
    <row r="1019" spans="1:7" s="48" customFormat="1" hidden="1" x14ac:dyDescent="0.3">
      <c r="A1019" s="48" t="s">
        <v>17</v>
      </c>
      <c r="B1019" s="48" t="s">
        <v>186</v>
      </c>
      <c r="C1019" s="48" t="str">
        <f>IFERROR(VLOOKUP(B1019,Base2026!A:C,2,FALSE),"")</f>
        <v>CASAS ALEMAN</v>
      </c>
      <c r="D1019" s="48">
        <f>IFERROR(VLOOKUP(C1019,Base2026!B:D,2,FALSE),"")</f>
        <v>5529849094</v>
      </c>
      <c r="E1019" s="48">
        <v>186708</v>
      </c>
      <c r="F1019" s="88">
        <v>5387.84</v>
      </c>
      <c r="G1019" s="50">
        <v>46090</v>
      </c>
    </row>
    <row r="1020" spans="1:7" hidden="1" x14ac:dyDescent="0.3">
      <c r="A1020" s="48" t="s">
        <v>17</v>
      </c>
      <c r="B1020" s="48" t="s">
        <v>1222</v>
      </c>
      <c r="C1020" s="48" t="s">
        <v>113</v>
      </c>
      <c r="D1020" s="48">
        <v>5534718634</v>
      </c>
      <c r="E1020" s="48">
        <v>184849</v>
      </c>
      <c r="F1020" s="88">
        <v>1878</v>
      </c>
      <c r="G1020" s="50">
        <v>46090</v>
      </c>
    </row>
    <row r="1021" spans="1:7" s="48" customFormat="1" hidden="1" x14ac:dyDescent="0.3">
      <c r="A1021" s="44" t="s">
        <v>17</v>
      </c>
      <c r="B1021" s="44" t="s">
        <v>1223</v>
      </c>
      <c r="C1021" s="44" t="s">
        <v>480</v>
      </c>
      <c r="D1021" s="44">
        <f>IFERROR(VLOOKUP(C1021,Base2026!B:D,2,FALSE),"")</f>
        <v>5539564988</v>
      </c>
      <c r="E1021" s="44">
        <v>299424</v>
      </c>
      <c r="F1021" s="87">
        <v>4276.1499999999996</v>
      </c>
      <c r="G1021" s="46">
        <v>46090</v>
      </c>
    </row>
    <row r="1022" spans="1:7" hidden="1" x14ac:dyDescent="0.3">
      <c r="A1022" s="48" t="s">
        <v>17</v>
      </c>
      <c r="B1022" s="48" t="s">
        <v>1223</v>
      </c>
      <c r="C1022" s="48" t="s">
        <v>480</v>
      </c>
      <c r="D1022" s="48">
        <f>IFERROR(VLOOKUP(C1022,Base2026!B:D,2,FALSE),"")</f>
        <v>5539564988</v>
      </c>
      <c r="E1022" s="48">
        <v>299502</v>
      </c>
      <c r="F1022" s="88">
        <v>2046.08</v>
      </c>
      <c r="G1022" s="50">
        <v>46090</v>
      </c>
    </row>
    <row r="1023" spans="1:7" s="48" customFormat="1" hidden="1" x14ac:dyDescent="0.3">
      <c r="A1023" s="44" t="s">
        <v>17</v>
      </c>
      <c r="B1023" s="44" t="s">
        <v>565</v>
      </c>
      <c r="C1023" s="44" t="str">
        <f>IFERROR(VLOOKUP(B1023,Base2026!A:C,2,FALSE),"")</f>
        <v>VERGEL DE GUADALUPE</v>
      </c>
      <c r="D1023" s="44">
        <v>5559307944</v>
      </c>
      <c r="E1023" s="44">
        <v>186632</v>
      </c>
      <c r="F1023" s="87">
        <v>3365</v>
      </c>
      <c r="G1023" s="46">
        <v>46090</v>
      </c>
    </row>
    <row r="1024" spans="1:7" hidden="1" x14ac:dyDescent="0.3">
      <c r="A1024" s="44" t="s">
        <v>17</v>
      </c>
      <c r="B1024" s="44" t="s">
        <v>298</v>
      </c>
      <c r="C1024" s="44" t="str">
        <f>IFERROR(VLOOKUP(B1024,Base2026!A:C,2,FALSE),"")</f>
        <v xml:space="preserve">ETEN </v>
      </c>
      <c r="D1024" s="44">
        <f>IFERROR(VLOOKUP(C1024,Base2026!B:D,2,FALSE),"")</f>
        <v>5591940032</v>
      </c>
      <c r="E1024" s="44">
        <v>299251</v>
      </c>
      <c r="F1024" s="87">
        <v>6540.44</v>
      </c>
      <c r="G1024" s="46">
        <v>46090</v>
      </c>
    </row>
    <row r="1025" spans="1:7" s="48" customFormat="1" hidden="1" x14ac:dyDescent="0.3">
      <c r="A1025" s="44" t="s">
        <v>17</v>
      </c>
      <c r="B1025" s="44" t="s">
        <v>1224</v>
      </c>
      <c r="C1025" s="44" t="s">
        <v>228</v>
      </c>
      <c r="D1025" s="44">
        <v>5613706140</v>
      </c>
      <c r="E1025" s="44">
        <v>299696</v>
      </c>
      <c r="F1025" s="87">
        <v>14410</v>
      </c>
      <c r="G1025" s="46">
        <v>46090</v>
      </c>
    </row>
    <row r="1026" spans="1:7" hidden="1" x14ac:dyDescent="0.3">
      <c r="A1026" s="48" t="s">
        <v>11</v>
      </c>
      <c r="B1026" s="48" t="s">
        <v>275</v>
      </c>
      <c r="C1026" s="48" t="s">
        <v>276</v>
      </c>
      <c r="D1026" s="48">
        <f>IFERROR(VLOOKUP(C1026,Base2026!B:D,2,FALSE),"")</f>
        <v>5511246208</v>
      </c>
      <c r="E1026" s="48">
        <v>353023</v>
      </c>
      <c r="F1026" s="88">
        <v>3930</v>
      </c>
      <c r="G1026" s="50">
        <v>46090</v>
      </c>
    </row>
    <row r="1027" spans="1:7" s="48" customFormat="1" hidden="1" x14ac:dyDescent="0.3">
      <c r="A1027" s="48" t="s">
        <v>11</v>
      </c>
      <c r="B1027" s="48" t="s">
        <v>1226</v>
      </c>
      <c r="C1027" s="48" t="s">
        <v>637</v>
      </c>
      <c r="D1027" s="48">
        <v>5518743829</v>
      </c>
      <c r="E1027" s="48">
        <v>186807</v>
      </c>
      <c r="F1027" s="88">
        <v>1020.28</v>
      </c>
      <c r="G1027" s="50">
        <v>46090</v>
      </c>
    </row>
    <row r="1028" spans="1:7" hidden="1" x14ac:dyDescent="0.3">
      <c r="A1028" s="44" t="s">
        <v>11</v>
      </c>
      <c r="B1028" s="44" t="s">
        <v>523</v>
      </c>
      <c r="C1028" s="44" t="str">
        <f>IFERROR(VLOOKUP(B1028,Base2026!A:C,2,FALSE),"")</f>
        <v>SAGITARIO</v>
      </c>
      <c r="D1028" s="44">
        <v>5613536877</v>
      </c>
      <c r="E1028" s="44">
        <v>186858</v>
      </c>
      <c r="F1028" s="87">
        <v>34660</v>
      </c>
      <c r="G1028" s="46">
        <v>46090</v>
      </c>
    </row>
    <row r="1029" spans="1:7" s="48" customFormat="1" hidden="1" x14ac:dyDescent="0.3">
      <c r="A1029" s="44" t="s">
        <v>47</v>
      </c>
      <c r="B1029" s="44" t="s">
        <v>1243</v>
      </c>
      <c r="C1029" s="44" t="s">
        <v>425</v>
      </c>
      <c r="D1029" s="44">
        <f>IFERROR(VLOOKUP(C1029,Base2026!B:D,2,FALSE),"")</f>
        <v>5517957453</v>
      </c>
      <c r="E1029" s="44">
        <v>353186</v>
      </c>
      <c r="F1029" s="87">
        <v>2228</v>
      </c>
      <c r="G1029" s="46">
        <v>46091</v>
      </c>
    </row>
    <row r="1030" spans="1:7" hidden="1" x14ac:dyDescent="0.3">
      <c r="A1030" s="51" t="s">
        <v>47</v>
      </c>
      <c r="B1030" s="51" t="s">
        <v>249</v>
      </c>
      <c r="C1030" s="51" t="str">
        <f>IFERROR(VLOOKUP(B1030,Base2026!A:C,2,FALSE),"")</f>
        <v>TONATITLA</v>
      </c>
      <c r="D1030" s="51">
        <f>IFERROR(VLOOKUP(C1030,Base2026!B:D,2,FALSE),"")</f>
        <v>5535334019</v>
      </c>
      <c r="E1030" s="51">
        <v>187193</v>
      </c>
      <c r="F1030" s="68">
        <v>2347</v>
      </c>
      <c r="G1030" s="52">
        <v>46091</v>
      </c>
    </row>
    <row r="1031" spans="1:7" s="51" customFormat="1" hidden="1" x14ac:dyDescent="0.3">
      <c r="A1031" s="44" t="s">
        <v>47</v>
      </c>
      <c r="B1031" s="44" t="s">
        <v>249</v>
      </c>
      <c r="C1031" s="44" t="str">
        <f>IFERROR(VLOOKUP(B1031,Base2026!A:C,2,FALSE),"")</f>
        <v>TONATITLA</v>
      </c>
      <c r="D1031" s="44">
        <f>IFERROR(VLOOKUP(C1031,Base2026!B:D,2,FALSE),"")</f>
        <v>5535334019</v>
      </c>
      <c r="E1031" s="44">
        <v>186720</v>
      </c>
      <c r="F1031" s="87">
        <v>1468</v>
      </c>
      <c r="G1031" s="46">
        <v>46091</v>
      </c>
    </row>
    <row r="1032" spans="1:7" hidden="1" x14ac:dyDescent="0.3">
      <c r="A1032" s="51" t="s">
        <v>47</v>
      </c>
      <c r="B1032" s="51" t="s">
        <v>1148</v>
      </c>
      <c r="C1032" s="51" t="s">
        <v>43</v>
      </c>
      <c r="D1032" s="51">
        <v>5539511994</v>
      </c>
      <c r="E1032" s="51">
        <v>168844</v>
      </c>
      <c r="F1032" s="68">
        <v>5035</v>
      </c>
      <c r="G1032" s="52">
        <v>46091</v>
      </c>
    </row>
    <row r="1033" spans="1:7" s="51" customFormat="1" hidden="1" x14ac:dyDescent="0.3">
      <c r="A1033" s="44" t="s">
        <v>47</v>
      </c>
      <c r="B1033" s="44" t="s">
        <v>1244</v>
      </c>
      <c r="C1033" s="44" t="s">
        <v>952</v>
      </c>
      <c r="D1033" s="44">
        <v>5565786396</v>
      </c>
      <c r="E1033" s="44">
        <v>299519</v>
      </c>
      <c r="F1033" s="87">
        <v>1737</v>
      </c>
      <c r="G1033" s="46">
        <v>46091</v>
      </c>
    </row>
    <row r="1034" spans="1:7" hidden="1" x14ac:dyDescent="0.3">
      <c r="A1034" s="51" t="s">
        <v>10</v>
      </c>
      <c r="B1034" s="51" t="s">
        <v>1235</v>
      </c>
      <c r="C1034" s="51" t="s">
        <v>1236</v>
      </c>
      <c r="D1034" s="51">
        <v>5511995813</v>
      </c>
      <c r="E1034" s="51">
        <v>299829</v>
      </c>
      <c r="F1034" s="68">
        <v>9252</v>
      </c>
      <c r="G1034" s="52">
        <v>46091</v>
      </c>
    </row>
    <row r="1035" spans="1:7" s="51" customFormat="1" hidden="1" x14ac:dyDescent="0.3">
      <c r="A1035" s="44" t="s">
        <v>10</v>
      </c>
      <c r="B1035" s="44" t="s">
        <v>1240</v>
      </c>
      <c r="C1035" s="44" t="s">
        <v>153</v>
      </c>
      <c r="D1035" s="44">
        <v>5526916145</v>
      </c>
      <c r="E1035" s="44">
        <v>299754</v>
      </c>
      <c r="F1035" s="87">
        <v>6041</v>
      </c>
      <c r="G1035" s="46">
        <v>46091</v>
      </c>
    </row>
    <row r="1036" spans="1:7" hidden="1" x14ac:dyDescent="0.3">
      <c r="A1036" s="44" t="s">
        <v>10</v>
      </c>
      <c r="B1036" s="44" t="s">
        <v>619</v>
      </c>
      <c r="C1036" s="44" t="str">
        <f>IFERROR(VLOOKUP(B1036,Base2026!A:C,2,FALSE),"")</f>
        <v>LAZARO CARDENAS</v>
      </c>
      <c r="D1036" s="44">
        <v>5527288634</v>
      </c>
      <c r="E1036" s="44">
        <v>187240</v>
      </c>
      <c r="F1036" s="87">
        <v>5159</v>
      </c>
      <c r="G1036" s="46">
        <v>46091</v>
      </c>
    </row>
    <row r="1037" spans="1:7" s="51" customFormat="1" hidden="1" x14ac:dyDescent="0.3">
      <c r="A1037" s="51" t="s">
        <v>10</v>
      </c>
      <c r="B1037" s="51" t="s">
        <v>1239</v>
      </c>
      <c r="C1037" s="51" t="s">
        <v>41</v>
      </c>
      <c r="D1037" s="51">
        <v>5535061905</v>
      </c>
      <c r="E1037" s="51">
        <v>184837</v>
      </c>
      <c r="F1037" s="68">
        <v>4159</v>
      </c>
      <c r="G1037" s="52">
        <v>46091</v>
      </c>
    </row>
    <row r="1038" spans="1:7" hidden="1" x14ac:dyDescent="0.3">
      <c r="A1038" s="44" t="s">
        <v>10</v>
      </c>
      <c r="B1038" s="44" t="s">
        <v>1237</v>
      </c>
      <c r="C1038" s="44" t="s">
        <v>806</v>
      </c>
      <c r="D1038" s="44">
        <v>5551946349</v>
      </c>
      <c r="E1038" s="44">
        <v>186935</v>
      </c>
      <c r="F1038" s="87">
        <v>13967.99</v>
      </c>
      <c r="G1038" s="46">
        <v>46091</v>
      </c>
    </row>
    <row r="1039" spans="1:7" s="51" customFormat="1" hidden="1" x14ac:dyDescent="0.3">
      <c r="A1039" s="44" t="s">
        <v>10</v>
      </c>
      <c r="B1039" s="44" t="s">
        <v>298</v>
      </c>
      <c r="C1039" s="44" t="str">
        <f>IFERROR(VLOOKUP(B1039,Base2026!A:C,2,FALSE),"")</f>
        <v xml:space="preserve">ETEN </v>
      </c>
      <c r="D1039" s="44">
        <f>IFERROR(VLOOKUP(C1039,Base2026!B:D,2,FALSE),"")</f>
        <v>5591940032</v>
      </c>
      <c r="E1039" s="44">
        <v>298971</v>
      </c>
      <c r="F1039" s="87">
        <v>15332.46</v>
      </c>
      <c r="G1039" s="46">
        <v>46091</v>
      </c>
    </row>
    <row r="1040" spans="1:7" hidden="1" x14ac:dyDescent="0.3">
      <c r="A1040" s="51" t="s">
        <v>10</v>
      </c>
      <c r="B1040" s="51" t="s">
        <v>298</v>
      </c>
      <c r="C1040" s="51" t="str">
        <f>IFERROR(VLOOKUP(B1040,Base2026!A:C,2,FALSE),"")</f>
        <v xml:space="preserve">ETEN </v>
      </c>
      <c r="D1040" s="51">
        <f>IFERROR(VLOOKUP(C1040,Base2026!B:D,2,FALSE),"")</f>
        <v>5591940032</v>
      </c>
      <c r="E1040" s="51">
        <v>299602</v>
      </c>
      <c r="F1040" s="68">
        <v>1339.08</v>
      </c>
      <c r="G1040" s="52">
        <v>46091</v>
      </c>
    </row>
    <row r="1041" spans="1:7" s="51" customFormat="1" hidden="1" x14ac:dyDescent="0.3">
      <c r="A1041" s="44" t="s">
        <v>10</v>
      </c>
      <c r="B1041" s="44" t="s">
        <v>1234</v>
      </c>
      <c r="C1041" s="44" t="s">
        <v>354</v>
      </c>
      <c r="D1041" s="44">
        <v>5610344962</v>
      </c>
      <c r="E1041" s="44">
        <v>299760</v>
      </c>
      <c r="F1041" s="87">
        <v>4475</v>
      </c>
      <c r="G1041" s="46">
        <v>46091</v>
      </c>
    </row>
    <row r="1042" spans="1:7" hidden="1" x14ac:dyDescent="0.3">
      <c r="A1042" s="51" t="s">
        <v>10</v>
      </c>
      <c r="B1042" s="51" t="s">
        <v>1238</v>
      </c>
      <c r="C1042" s="51" t="s">
        <v>41</v>
      </c>
      <c r="D1042" s="51">
        <v>5654329180</v>
      </c>
      <c r="E1042" s="51">
        <v>353004</v>
      </c>
      <c r="F1042" s="68">
        <v>922.2</v>
      </c>
      <c r="G1042" s="52">
        <v>46091</v>
      </c>
    </row>
    <row r="1043" spans="1:7" s="51" customFormat="1" hidden="1" x14ac:dyDescent="0.3">
      <c r="A1043" s="44" t="s">
        <v>17</v>
      </c>
      <c r="B1043" s="44" t="s">
        <v>766</v>
      </c>
      <c r="C1043" s="44" t="str">
        <f>IFERROR(VLOOKUP(B1043,Base2026!A:C,2,FALSE),"")</f>
        <v>ARBOLEDAS DE ARAGON</v>
      </c>
      <c r="D1043" s="44">
        <f>IFERROR(VLOOKUP(C1043,Base2026!B:D,2,FALSE),"")</f>
        <v>5540964748</v>
      </c>
      <c r="E1043" s="44">
        <v>186862</v>
      </c>
      <c r="F1043" s="87">
        <v>1660</v>
      </c>
      <c r="G1043" s="46">
        <v>46091</v>
      </c>
    </row>
    <row r="1044" spans="1:7" hidden="1" x14ac:dyDescent="0.3">
      <c r="A1044" s="51" t="s">
        <v>17</v>
      </c>
      <c r="B1044" s="51" t="s">
        <v>766</v>
      </c>
      <c r="C1044" s="51" t="str">
        <f>IFERROR(VLOOKUP(B1044,Base2026!A:C,2,FALSE),"")</f>
        <v>ARBOLEDAS DE ARAGON</v>
      </c>
      <c r="D1044" s="51">
        <f>IFERROR(VLOOKUP(C1044,Base2026!B:D,2,FALSE),"")</f>
        <v>5540964748</v>
      </c>
      <c r="E1044" s="51">
        <v>168861</v>
      </c>
      <c r="F1044" s="68">
        <v>3756</v>
      </c>
      <c r="G1044" s="52">
        <v>46091</v>
      </c>
    </row>
    <row r="1045" spans="1:7" s="51" customFormat="1" hidden="1" x14ac:dyDescent="0.3">
      <c r="A1045" s="51" t="s">
        <v>17</v>
      </c>
      <c r="B1045" s="51" t="s">
        <v>1197</v>
      </c>
      <c r="C1045" s="51" t="s">
        <v>174</v>
      </c>
      <c r="D1045" s="51">
        <v>5542290962</v>
      </c>
      <c r="E1045" s="51">
        <v>185812</v>
      </c>
      <c r="F1045" s="68">
        <v>8677.99</v>
      </c>
      <c r="G1045" s="52">
        <v>46091</v>
      </c>
    </row>
    <row r="1046" spans="1:7" hidden="1" x14ac:dyDescent="0.3">
      <c r="A1046" s="51" t="s">
        <v>17</v>
      </c>
      <c r="B1046" s="51" t="s">
        <v>131</v>
      </c>
      <c r="C1046" s="51" t="str">
        <f>IFERROR(VLOOKUP(B1046,Base2026!A:C,2,FALSE),"")</f>
        <v>PRIZO</v>
      </c>
      <c r="D1046" s="51">
        <f>IFERROR(VLOOKUP(C1046,Base2026!B:D,2,FALSE),"")</f>
        <v>5551141444</v>
      </c>
      <c r="E1046" s="51">
        <v>352717</v>
      </c>
      <c r="F1046" s="68">
        <v>3714</v>
      </c>
      <c r="G1046" s="52">
        <v>46091</v>
      </c>
    </row>
    <row r="1047" spans="1:7" s="51" customFormat="1" hidden="1" x14ac:dyDescent="0.3">
      <c r="A1047" s="44" t="s">
        <v>17</v>
      </c>
      <c r="B1047" s="44" t="s">
        <v>1060</v>
      </c>
      <c r="C1047" s="44" t="str">
        <f>IFERROR(VLOOKUP(B1047,Base2026!A:C,2,FALSE),"")</f>
        <v>PLAZAS DE ARAGON</v>
      </c>
      <c r="D1047" s="44">
        <f>IFERROR(VLOOKUP(C1047,Base2026!B:D,2,FALSE),"")</f>
        <v>5570826626</v>
      </c>
      <c r="E1047" s="44">
        <v>299098</v>
      </c>
      <c r="F1047" s="87">
        <v>10596.98</v>
      </c>
      <c r="G1047" s="46">
        <v>46091</v>
      </c>
    </row>
    <row r="1048" spans="1:7" hidden="1" x14ac:dyDescent="0.3">
      <c r="A1048" s="51" t="s">
        <v>17</v>
      </c>
      <c r="B1048" s="51" t="s">
        <v>1241</v>
      </c>
      <c r="C1048" s="51" t="s">
        <v>778</v>
      </c>
      <c r="D1048" s="51">
        <f>IFERROR(VLOOKUP(C1048,Base2026!B:D,2,FALSE),"")</f>
        <v>5577612847</v>
      </c>
      <c r="E1048" s="51">
        <v>352795</v>
      </c>
      <c r="F1048" s="68">
        <v>746</v>
      </c>
      <c r="G1048" s="52">
        <v>46091</v>
      </c>
    </row>
    <row r="1049" spans="1:7" s="51" customFormat="1" hidden="1" x14ac:dyDescent="0.3">
      <c r="A1049" s="44" t="s">
        <v>17</v>
      </c>
      <c r="B1049" s="44" t="s">
        <v>1242</v>
      </c>
      <c r="C1049" s="44" t="s">
        <v>63</v>
      </c>
      <c r="D1049" s="44">
        <v>5637221911</v>
      </c>
      <c r="E1049" s="44">
        <v>186924</v>
      </c>
      <c r="F1049" s="87">
        <v>2088</v>
      </c>
      <c r="G1049" s="46">
        <v>46091</v>
      </c>
    </row>
    <row r="1050" spans="1:7" hidden="1" x14ac:dyDescent="0.3">
      <c r="A1050" s="44" t="s">
        <v>11</v>
      </c>
      <c r="B1050" s="44" t="s">
        <v>1191</v>
      </c>
      <c r="C1050" s="44" t="s">
        <v>41</v>
      </c>
      <c r="D1050" s="44">
        <v>5518666206</v>
      </c>
      <c r="E1050" s="44">
        <v>298755</v>
      </c>
      <c r="F1050" s="87">
        <v>32799.68</v>
      </c>
      <c r="G1050" s="46">
        <v>46091</v>
      </c>
    </row>
    <row r="1051" spans="1:7" s="51" customFormat="1" hidden="1" x14ac:dyDescent="0.3">
      <c r="A1051" s="51" t="s">
        <v>11</v>
      </c>
      <c r="B1051" s="51" t="s">
        <v>1191</v>
      </c>
      <c r="C1051" s="51" t="s">
        <v>41</v>
      </c>
      <c r="D1051" s="51">
        <v>5518666207</v>
      </c>
      <c r="E1051" s="51">
        <v>352970</v>
      </c>
      <c r="F1051" s="68">
        <v>2200</v>
      </c>
      <c r="G1051" s="52">
        <v>46091</v>
      </c>
    </row>
    <row r="1052" spans="1:7" x14ac:dyDescent="0.3">
      <c r="A1052" s="44" t="s">
        <v>11</v>
      </c>
      <c r="B1052" s="44" t="s">
        <v>528</v>
      </c>
      <c r="C1052" s="44" t="str">
        <f>IFERROR(VLOOKUP(B1052,Base2026!A:C,2,FALSE),"")</f>
        <v>TEXCOCO</v>
      </c>
      <c r="D1052" s="44">
        <f>IFERROR(VLOOKUP(C1052,Base2026!B:D,2,FALSE),"")</f>
        <v>5536695063</v>
      </c>
      <c r="E1052" s="44">
        <v>299396</v>
      </c>
      <c r="F1052" s="87">
        <v>7176.87</v>
      </c>
      <c r="G1052" s="46">
        <v>46091</v>
      </c>
    </row>
    <row r="1053" spans="1:7" s="51" customFormat="1" x14ac:dyDescent="0.3">
      <c r="A1053" s="51" t="s">
        <v>11</v>
      </c>
      <c r="B1053" s="51" t="s">
        <v>528</v>
      </c>
      <c r="C1053" s="51" t="str">
        <f>IFERROR(VLOOKUP(B1053,Base2026!A:C,2,FALSE),"")</f>
        <v>TEXCOCO</v>
      </c>
      <c r="D1053" s="51">
        <f>IFERROR(VLOOKUP(C1053,Base2026!B:D,2,FALSE),"")</f>
        <v>5536695063</v>
      </c>
      <c r="E1053" s="51">
        <v>299397</v>
      </c>
      <c r="F1053" s="68">
        <v>13044.79</v>
      </c>
      <c r="G1053" s="52">
        <v>46091</v>
      </c>
    </row>
    <row r="1054" spans="1:7" hidden="1" x14ac:dyDescent="0.3">
      <c r="A1054" s="72" t="s">
        <v>10</v>
      </c>
      <c r="B1054" s="72" t="s">
        <v>1249</v>
      </c>
      <c r="C1054" s="72" t="s">
        <v>1250</v>
      </c>
      <c r="D1054" s="72">
        <v>5518335714</v>
      </c>
      <c r="E1054" s="72">
        <v>186917</v>
      </c>
      <c r="F1054" s="93">
        <v>9721.92</v>
      </c>
      <c r="G1054" s="73">
        <v>46093</v>
      </c>
    </row>
    <row r="1055" spans="1:7" s="72" customFormat="1" hidden="1" x14ac:dyDescent="0.3">
      <c r="A1055" s="72" t="s">
        <v>10</v>
      </c>
      <c r="B1055" s="72" t="s">
        <v>270</v>
      </c>
      <c r="C1055" s="72" t="s">
        <v>32</v>
      </c>
      <c r="D1055" s="72">
        <v>5527842592</v>
      </c>
      <c r="E1055" s="72">
        <v>187006</v>
      </c>
      <c r="F1055" s="93">
        <v>3030</v>
      </c>
      <c r="G1055" s="73">
        <v>46093</v>
      </c>
    </row>
    <row r="1056" spans="1:7" hidden="1" x14ac:dyDescent="0.3">
      <c r="A1056" s="44" t="s">
        <v>10</v>
      </c>
      <c r="B1056" s="44" t="s">
        <v>1251</v>
      </c>
      <c r="C1056" s="44" t="s">
        <v>187</v>
      </c>
      <c r="D1056" s="44">
        <v>5542503443</v>
      </c>
      <c r="E1056" s="44">
        <v>186992</v>
      </c>
      <c r="F1056" s="87">
        <v>2869.92</v>
      </c>
      <c r="G1056" s="46">
        <v>46093</v>
      </c>
    </row>
    <row r="1057" spans="1:7" s="72" customFormat="1" hidden="1" x14ac:dyDescent="0.3">
      <c r="A1057" s="44" t="s">
        <v>10</v>
      </c>
      <c r="B1057" s="44" t="s">
        <v>1108</v>
      </c>
      <c r="C1057" s="44" t="s">
        <v>431</v>
      </c>
      <c r="D1057" s="44">
        <v>5566729678</v>
      </c>
      <c r="E1057" s="44">
        <v>353170</v>
      </c>
      <c r="F1057" s="87">
        <v>6620</v>
      </c>
      <c r="G1057" s="46">
        <v>46093</v>
      </c>
    </row>
    <row r="1058" spans="1:7" hidden="1" x14ac:dyDescent="0.3">
      <c r="A1058" s="44" t="s">
        <v>17</v>
      </c>
      <c r="B1058" s="44" t="s">
        <v>650</v>
      </c>
      <c r="C1058" s="44" t="s">
        <v>41</v>
      </c>
      <c r="D1058" s="44">
        <v>5510455631</v>
      </c>
      <c r="E1058" s="44">
        <v>187586</v>
      </c>
      <c r="F1058" s="87">
        <v>4146</v>
      </c>
      <c r="G1058" s="46">
        <v>46093</v>
      </c>
    </row>
    <row r="1059" spans="1:7" s="72" customFormat="1" hidden="1" x14ac:dyDescent="0.3">
      <c r="A1059" s="72" t="s">
        <v>17</v>
      </c>
      <c r="B1059" s="72" t="s">
        <v>1245</v>
      </c>
      <c r="C1059" s="72" t="s">
        <v>1246</v>
      </c>
      <c r="D1059" s="72">
        <v>5618342598</v>
      </c>
      <c r="E1059" s="72">
        <v>353454</v>
      </c>
      <c r="F1059" s="93">
        <v>7940</v>
      </c>
      <c r="G1059" s="73">
        <v>46093</v>
      </c>
    </row>
    <row r="1060" spans="1:7" hidden="1" x14ac:dyDescent="0.3">
      <c r="A1060" s="72" t="s">
        <v>17</v>
      </c>
      <c r="B1060" s="72" t="s">
        <v>374</v>
      </c>
      <c r="C1060" s="72" t="s">
        <v>1248</v>
      </c>
      <c r="D1060" s="72">
        <v>5621030826</v>
      </c>
      <c r="E1060" s="72">
        <v>300002</v>
      </c>
      <c r="F1060" s="93">
        <v>2232</v>
      </c>
      <c r="G1060" s="73">
        <v>46093</v>
      </c>
    </row>
    <row r="1061" spans="1:7" s="72" customFormat="1" hidden="1" x14ac:dyDescent="0.3">
      <c r="A1061" s="44" t="s">
        <v>17</v>
      </c>
      <c r="B1061" s="44" t="s">
        <v>374</v>
      </c>
      <c r="C1061" s="44" t="s">
        <v>1248</v>
      </c>
      <c r="D1061" s="44">
        <v>5621030826</v>
      </c>
      <c r="E1061" s="44">
        <v>300003</v>
      </c>
      <c r="F1061" s="87">
        <v>504</v>
      </c>
      <c r="G1061" s="46">
        <v>46093</v>
      </c>
    </row>
    <row r="1062" spans="1:7" hidden="1" x14ac:dyDescent="0.3">
      <c r="A1062" s="44" t="s">
        <v>17</v>
      </c>
      <c r="B1062" s="44" t="s">
        <v>1247</v>
      </c>
      <c r="C1062" s="44" t="s">
        <v>206</v>
      </c>
      <c r="D1062" s="44">
        <v>5647621129</v>
      </c>
      <c r="E1062" s="44">
        <v>187611</v>
      </c>
      <c r="F1062" s="87">
        <v>8500</v>
      </c>
      <c r="G1062" s="46">
        <v>46093</v>
      </c>
    </row>
    <row r="1063" spans="1:7" s="72" customFormat="1" hidden="1" x14ac:dyDescent="0.3">
      <c r="A1063" s="72" t="s">
        <v>17</v>
      </c>
      <c r="B1063" s="72" t="s">
        <v>1247</v>
      </c>
      <c r="C1063" s="72" t="s">
        <v>206</v>
      </c>
      <c r="D1063" s="72">
        <v>5647621129</v>
      </c>
      <c r="E1063" s="72">
        <v>186612</v>
      </c>
      <c r="F1063" s="93">
        <v>1040</v>
      </c>
      <c r="G1063" s="73">
        <v>46093</v>
      </c>
    </row>
    <row r="1064" spans="1:7" hidden="1" x14ac:dyDescent="0.3">
      <c r="A1064" s="51" t="s">
        <v>10</v>
      </c>
      <c r="B1064" s="51" t="s">
        <v>146</v>
      </c>
      <c r="C1064" s="51" t="s">
        <v>237</v>
      </c>
      <c r="D1064" s="51">
        <v>5515348632</v>
      </c>
      <c r="E1064" s="51">
        <v>353497</v>
      </c>
      <c r="F1064" s="68">
        <v>2557</v>
      </c>
      <c r="G1064" s="52">
        <v>46094</v>
      </c>
    </row>
    <row r="1065" spans="1:7" s="51" customFormat="1" hidden="1" x14ac:dyDescent="0.3">
      <c r="A1065" s="51" t="s">
        <v>10</v>
      </c>
      <c r="B1065" s="51" t="s">
        <v>1256</v>
      </c>
      <c r="C1065" s="51" t="s">
        <v>138</v>
      </c>
      <c r="D1065" s="51">
        <v>5520809548</v>
      </c>
      <c r="E1065" s="51">
        <v>187137</v>
      </c>
      <c r="F1065" s="68">
        <v>2473.96</v>
      </c>
      <c r="G1065" s="52">
        <v>46094</v>
      </c>
    </row>
    <row r="1066" spans="1:7" hidden="1" x14ac:dyDescent="0.3">
      <c r="A1066" s="44" t="s">
        <v>10</v>
      </c>
      <c r="B1066" s="44" t="s">
        <v>1252</v>
      </c>
      <c r="C1066" s="44" t="s">
        <v>806</v>
      </c>
      <c r="D1066" s="44">
        <v>5523649966</v>
      </c>
      <c r="E1066" s="44">
        <v>187727</v>
      </c>
      <c r="F1066" s="87">
        <v>1000</v>
      </c>
      <c r="G1066" s="46">
        <v>46094</v>
      </c>
    </row>
    <row r="1067" spans="1:7" s="51" customFormat="1" hidden="1" x14ac:dyDescent="0.3">
      <c r="A1067" s="51" t="s">
        <v>10</v>
      </c>
      <c r="B1067" s="51" t="s">
        <v>1253</v>
      </c>
      <c r="C1067" s="51" t="s">
        <v>6</v>
      </c>
      <c r="D1067" s="51">
        <v>5525350935</v>
      </c>
      <c r="E1067" s="51">
        <v>353376</v>
      </c>
      <c r="F1067" s="68">
        <v>5516.16</v>
      </c>
      <c r="G1067" s="52">
        <v>46094</v>
      </c>
    </row>
    <row r="1068" spans="1:7" hidden="1" x14ac:dyDescent="0.3">
      <c r="A1068" s="44" t="s">
        <v>10</v>
      </c>
      <c r="B1068" s="44" t="s">
        <v>1254</v>
      </c>
      <c r="C1068" s="44" t="s">
        <v>1255</v>
      </c>
      <c r="D1068" s="44">
        <v>5570807036</v>
      </c>
      <c r="E1068" s="44">
        <v>353529</v>
      </c>
      <c r="F1068" s="87">
        <v>8950</v>
      </c>
      <c r="G1068" s="46">
        <v>46094</v>
      </c>
    </row>
    <row r="1069" spans="1:7" s="51" customFormat="1" hidden="1" x14ac:dyDescent="0.3">
      <c r="A1069" s="44" t="s">
        <v>10</v>
      </c>
      <c r="B1069" s="44" t="s">
        <v>381</v>
      </c>
      <c r="C1069" s="44" t="s">
        <v>346</v>
      </c>
      <c r="D1069" s="44">
        <v>5591695795</v>
      </c>
      <c r="E1069" s="44">
        <v>353269</v>
      </c>
      <c r="F1069" s="87">
        <v>5285</v>
      </c>
      <c r="G1069" s="46">
        <v>46094</v>
      </c>
    </row>
    <row r="1070" spans="1:7" hidden="1" x14ac:dyDescent="0.3">
      <c r="A1070" s="44" t="s">
        <v>17</v>
      </c>
      <c r="B1070" s="44" t="s">
        <v>1258</v>
      </c>
      <c r="C1070" s="44" t="s">
        <v>107</v>
      </c>
      <c r="D1070" s="44">
        <v>5528224704</v>
      </c>
      <c r="E1070" s="44">
        <v>187657</v>
      </c>
      <c r="F1070" s="87">
        <v>11130</v>
      </c>
      <c r="G1070" s="46">
        <v>46094</v>
      </c>
    </row>
    <row r="1071" spans="1:7" hidden="1" x14ac:dyDescent="0.3">
      <c r="A1071" s="51" t="s">
        <v>17</v>
      </c>
      <c r="B1071" s="51" t="s">
        <v>1259</v>
      </c>
      <c r="C1071" s="51" t="s">
        <v>1260</v>
      </c>
      <c r="D1071" s="51">
        <v>5555264970</v>
      </c>
      <c r="E1071" s="51">
        <v>300051</v>
      </c>
      <c r="F1071" s="68">
        <v>3060</v>
      </c>
      <c r="G1071" s="52">
        <v>46094</v>
      </c>
    </row>
    <row r="1072" spans="1:7" s="51" customFormat="1" hidden="1" x14ac:dyDescent="0.3">
      <c r="A1072" s="51" t="s">
        <v>17</v>
      </c>
      <c r="B1072" s="51" t="s">
        <v>1257</v>
      </c>
      <c r="C1072" s="51" t="s">
        <v>1998</v>
      </c>
      <c r="D1072" s="51">
        <v>5578767052</v>
      </c>
      <c r="E1072" s="51">
        <v>353541</v>
      </c>
      <c r="F1072" s="68">
        <v>2297</v>
      </c>
      <c r="G1072" s="52">
        <v>46094</v>
      </c>
    </row>
    <row r="1073" spans="1:7" hidden="1" x14ac:dyDescent="0.3">
      <c r="A1073" s="44" t="s">
        <v>17</v>
      </c>
      <c r="B1073" s="44" t="s">
        <v>1078</v>
      </c>
      <c r="C1073" s="44" t="s">
        <v>425</v>
      </c>
      <c r="D1073" s="44">
        <v>7208175800</v>
      </c>
      <c r="E1073" s="44">
        <v>187633</v>
      </c>
      <c r="F1073" s="87">
        <v>957</v>
      </c>
      <c r="G1073" s="46">
        <v>46094</v>
      </c>
    </row>
    <row r="1074" spans="1:7" s="51" customFormat="1" hidden="1" x14ac:dyDescent="0.3">
      <c r="A1074" s="51" t="s">
        <v>11</v>
      </c>
      <c r="B1074" s="51" t="s">
        <v>254</v>
      </c>
      <c r="C1074" s="51" t="str">
        <f>IFERROR(VLOOKUP(B1074,Base2026!A:C,2,FALSE),"")</f>
        <v>EJE 8</v>
      </c>
      <c r="D1074" s="80">
        <v>5554550976</v>
      </c>
      <c r="E1074" s="51">
        <v>300028</v>
      </c>
      <c r="F1074" s="68">
        <v>11211.6</v>
      </c>
      <c r="G1074" s="52">
        <v>46094</v>
      </c>
    </row>
    <row r="1075" spans="1:7" hidden="1" x14ac:dyDescent="0.3">
      <c r="A1075" s="44" t="s">
        <v>11</v>
      </c>
      <c r="B1075" s="44" t="s">
        <v>254</v>
      </c>
      <c r="C1075" s="44" t="str">
        <f>IFERROR(VLOOKUP(B1075,Base2026!A:C,2,FALSE),"")</f>
        <v>EJE 8</v>
      </c>
      <c r="D1075" s="80">
        <v>5554550976</v>
      </c>
      <c r="E1075" s="44">
        <v>299127</v>
      </c>
      <c r="F1075" s="87">
        <v>31515.97</v>
      </c>
      <c r="G1075" s="46">
        <v>46094</v>
      </c>
    </row>
    <row r="1076" spans="1:7" s="51" customFormat="1" hidden="1" x14ac:dyDescent="0.3">
      <c r="A1076" s="44" t="s">
        <v>47</v>
      </c>
      <c r="B1076" s="44" t="s">
        <v>1272</v>
      </c>
      <c r="C1076" s="44" t="s">
        <v>1273</v>
      </c>
      <c r="D1076" s="44">
        <v>5517982587</v>
      </c>
      <c r="E1076" s="44">
        <v>353451</v>
      </c>
      <c r="F1076" s="87">
        <v>864</v>
      </c>
      <c r="G1076" s="46">
        <v>46095</v>
      </c>
    </row>
    <row r="1077" spans="1:7" hidden="1" x14ac:dyDescent="0.3">
      <c r="A1077" s="60" t="s">
        <v>47</v>
      </c>
      <c r="B1077" s="60" t="s">
        <v>1271</v>
      </c>
      <c r="C1077" s="60" t="s">
        <v>152</v>
      </c>
      <c r="D1077" s="60">
        <f>IFERROR(VLOOKUP(C1077,Base2026!B:D,2,FALSE),"")</f>
        <v>5540562652</v>
      </c>
      <c r="E1077" s="60">
        <v>186478</v>
      </c>
      <c r="F1077" s="79">
        <v>6288.72</v>
      </c>
      <c r="G1077" s="69">
        <v>46095</v>
      </c>
    </row>
    <row r="1078" spans="1:7" s="60" customFormat="1" hidden="1" x14ac:dyDescent="0.3">
      <c r="A1078" s="44" t="s">
        <v>47</v>
      </c>
      <c r="B1078" s="44" t="s">
        <v>1270</v>
      </c>
      <c r="C1078" s="44" t="s">
        <v>1269</v>
      </c>
      <c r="D1078" s="44">
        <v>5633497136</v>
      </c>
      <c r="E1078" s="44">
        <v>186961</v>
      </c>
      <c r="F1078" s="87">
        <v>3713</v>
      </c>
      <c r="G1078" s="46">
        <v>46095</v>
      </c>
    </row>
    <row r="1079" spans="1:7" hidden="1" x14ac:dyDescent="0.3">
      <c r="A1079" s="44" t="s">
        <v>10</v>
      </c>
      <c r="B1079" s="44" t="s">
        <v>323</v>
      </c>
      <c r="C1079" s="44" t="s">
        <v>324</v>
      </c>
      <c r="D1079" s="44">
        <v>5516934636</v>
      </c>
      <c r="E1079" s="44">
        <v>187134</v>
      </c>
      <c r="F1079" s="87">
        <v>3119</v>
      </c>
      <c r="G1079" s="46">
        <v>46095</v>
      </c>
    </row>
    <row r="1080" spans="1:7" s="60" customFormat="1" hidden="1" x14ac:dyDescent="0.3">
      <c r="A1080" s="60" t="s">
        <v>10</v>
      </c>
      <c r="B1080" s="60" t="s">
        <v>156</v>
      </c>
      <c r="C1080" s="60" t="s">
        <v>1263</v>
      </c>
      <c r="D1080" s="60">
        <v>5517957453</v>
      </c>
      <c r="E1080" s="60">
        <v>353459</v>
      </c>
      <c r="F1080" s="79">
        <v>4437.8</v>
      </c>
      <c r="G1080" s="69">
        <v>46095</v>
      </c>
    </row>
    <row r="1081" spans="1:7" hidden="1" x14ac:dyDescent="0.3">
      <c r="A1081" s="60" t="s">
        <v>10</v>
      </c>
      <c r="B1081" s="60" t="s">
        <v>1264</v>
      </c>
      <c r="C1081" s="60" t="s">
        <v>84</v>
      </c>
      <c r="D1081" s="60">
        <v>5572100846</v>
      </c>
      <c r="E1081" s="60">
        <v>300167</v>
      </c>
      <c r="F1081" s="79">
        <v>348</v>
      </c>
      <c r="G1081" s="69">
        <v>46095</v>
      </c>
    </row>
    <row r="1082" spans="1:7" s="60" customFormat="1" hidden="1" x14ac:dyDescent="0.3">
      <c r="A1082" s="44" t="s">
        <v>10</v>
      </c>
      <c r="B1082" s="44" t="s">
        <v>1261</v>
      </c>
      <c r="C1082" s="44" t="s">
        <v>1262</v>
      </c>
      <c r="D1082" s="44">
        <v>5615861539</v>
      </c>
      <c r="E1082" s="44">
        <v>353092</v>
      </c>
      <c r="F1082" s="87">
        <v>4196.88</v>
      </c>
      <c r="G1082" s="46">
        <v>46095</v>
      </c>
    </row>
    <row r="1083" spans="1:7" hidden="1" x14ac:dyDescent="0.3">
      <c r="A1083" s="44" t="s">
        <v>10</v>
      </c>
      <c r="B1083" s="44" t="s">
        <v>1265</v>
      </c>
      <c r="C1083" s="44" t="s">
        <v>84</v>
      </c>
      <c r="D1083" s="44">
        <v>5628221440</v>
      </c>
      <c r="E1083" s="44">
        <v>187548</v>
      </c>
      <c r="F1083" s="87">
        <v>2855</v>
      </c>
      <c r="G1083" s="46">
        <v>46095</v>
      </c>
    </row>
    <row r="1084" spans="1:7" s="60" customFormat="1" hidden="1" x14ac:dyDescent="0.3">
      <c r="A1084" s="60" t="s">
        <v>17</v>
      </c>
      <c r="B1084" s="60" t="s">
        <v>1274</v>
      </c>
      <c r="C1084" s="60" t="s">
        <v>465</v>
      </c>
      <c r="D1084" s="60">
        <f>IFERROR(VLOOKUP(C1084,Base2026!B:D,2,FALSE),"")</f>
        <v>5530077745</v>
      </c>
      <c r="E1084" s="60">
        <v>187251</v>
      </c>
      <c r="F1084" s="79">
        <v>5506</v>
      </c>
      <c r="G1084" s="69">
        <v>46095</v>
      </c>
    </row>
    <row r="1085" spans="1:7" hidden="1" x14ac:dyDescent="0.3">
      <c r="A1085" s="44" t="s">
        <v>17</v>
      </c>
      <c r="B1085" s="44" t="s">
        <v>752</v>
      </c>
      <c r="C1085" s="44" t="s">
        <v>1074</v>
      </c>
      <c r="D1085" s="44">
        <v>5578808418</v>
      </c>
      <c r="E1085" s="44">
        <v>299686</v>
      </c>
      <c r="F1085" s="87">
        <v>11908.08</v>
      </c>
      <c r="G1085" s="46">
        <v>46095</v>
      </c>
    </row>
    <row r="1086" spans="1:7" s="60" customFormat="1" hidden="1" x14ac:dyDescent="0.3">
      <c r="A1086" s="60" t="s">
        <v>17</v>
      </c>
      <c r="B1086" s="60" t="s">
        <v>664</v>
      </c>
      <c r="C1086" s="60" t="str">
        <f>IFERROR(VLOOKUP(B1086,Base2026!A:C,2,FALSE),"")</f>
        <v>LA PROVIDENCIA</v>
      </c>
      <c r="D1086" s="60">
        <f>IFERROR(VLOOKUP(C1086,Base2026!B:D,2,FALSE),"")</f>
        <v>5627230201</v>
      </c>
      <c r="E1086" s="60">
        <v>353081</v>
      </c>
      <c r="F1086" s="79">
        <v>5618</v>
      </c>
      <c r="G1086" s="69">
        <v>46095</v>
      </c>
    </row>
    <row r="1087" spans="1:7" hidden="1" x14ac:dyDescent="0.3">
      <c r="A1087" s="44" t="s">
        <v>11</v>
      </c>
      <c r="B1087" s="44" t="s">
        <v>1012</v>
      </c>
      <c r="C1087" s="44" t="s">
        <v>117</v>
      </c>
      <c r="D1087" s="44">
        <v>5536692880</v>
      </c>
      <c r="E1087" s="44">
        <v>300125</v>
      </c>
      <c r="F1087" s="87">
        <v>9845</v>
      </c>
      <c r="G1087" s="46">
        <v>46095</v>
      </c>
    </row>
    <row r="1088" spans="1:7" s="60" customFormat="1" hidden="1" x14ac:dyDescent="0.3">
      <c r="A1088" s="60" t="s">
        <v>11</v>
      </c>
      <c r="B1088" s="60" t="s">
        <v>1268</v>
      </c>
      <c r="C1088" s="60" t="s">
        <v>84</v>
      </c>
      <c r="D1088" s="60">
        <v>5540713234</v>
      </c>
      <c r="E1088" s="60">
        <v>353416</v>
      </c>
      <c r="F1088" s="79">
        <v>2000</v>
      </c>
      <c r="G1088" s="69">
        <v>46095</v>
      </c>
    </row>
    <row r="1089" spans="1:7" hidden="1" x14ac:dyDescent="0.3">
      <c r="A1089" s="60" t="s">
        <v>11</v>
      </c>
      <c r="B1089" s="60" t="s">
        <v>1266</v>
      </c>
      <c r="C1089" s="60" t="s">
        <v>1267</v>
      </c>
      <c r="D1089" s="60">
        <v>5548788180</v>
      </c>
      <c r="E1089" s="60">
        <v>187024</v>
      </c>
      <c r="F1089" s="79">
        <v>1404</v>
      </c>
      <c r="G1089" s="69">
        <v>46095</v>
      </c>
    </row>
    <row r="1090" spans="1:7" s="60" customFormat="1" hidden="1" x14ac:dyDescent="0.3">
      <c r="A1090" s="57" t="s">
        <v>47</v>
      </c>
      <c r="B1090" s="57" t="s">
        <v>697</v>
      </c>
      <c r="C1090" s="57" t="str">
        <f>IFERROR(VLOOKUP(B1090,Base2026!A:C,2,FALSE),"")</f>
        <v>ALMARCINGO</v>
      </c>
      <c r="D1090" s="57">
        <f>IFERROR(VLOOKUP(C1090,Base2026!B:D,2,FALSE),"")</f>
        <v>5536807808</v>
      </c>
      <c r="E1090" s="57">
        <v>187681</v>
      </c>
      <c r="F1090" s="90">
        <v>957.95</v>
      </c>
      <c r="G1090" s="58">
        <v>46097</v>
      </c>
    </row>
    <row r="1091" spans="1:7" hidden="1" x14ac:dyDescent="0.3">
      <c r="A1091" s="57" t="s">
        <v>47</v>
      </c>
      <c r="B1091" s="57" t="s">
        <v>1280</v>
      </c>
      <c r="C1091" s="57" t="s">
        <v>43</v>
      </c>
      <c r="D1091" s="57">
        <v>5548260586</v>
      </c>
      <c r="E1091" s="57">
        <v>353403</v>
      </c>
      <c r="F1091" s="90">
        <v>185</v>
      </c>
      <c r="G1091" s="58">
        <v>46097</v>
      </c>
    </row>
    <row r="1092" spans="1:7" s="57" customFormat="1" hidden="1" x14ac:dyDescent="0.3">
      <c r="A1092" s="57" t="s">
        <v>47</v>
      </c>
      <c r="B1092" s="57" t="s">
        <v>1281</v>
      </c>
      <c r="C1092" s="57" t="s">
        <v>631</v>
      </c>
      <c r="D1092" s="57">
        <v>5573833080</v>
      </c>
      <c r="E1092" s="57">
        <v>187862</v>
      </c>
      <c r="F1092" s="90">
        <v>3630</v>
      </c>
      <c r="G1092" s="58">
        <v>46097</v>
      </c>
    </row>
    <row r="1093" spans="1:7" hidden="1" x14ac:dyDescent="0.3">
      <c r="A1093" s="44" t="s">
        <v>47</v>
      </c>
      <c r="B1093" s="44" t="s">
        <v>196</v>
      </c>
      <c r="C1093" s="44" t="s">
        <v>1282</v>
      </c>
      <c r="D1093" s="44">
        <v>5574594950</v>
      </c>
      <c r="E1093" s="44">
        <v>187087</v>
      </c>
      <c r="F1093" s="87">
        <v>5598</v>
      </c>
      <c r="G1093" s="46">
        <v>46097</v>
      </c>
    </row>
    <row r="1094" spans="1:7" s="57" customFormat="1" hidden="1" x14ac:dyDescent="0.3">
      <c r="A1094" s="44" t="s">
        <v>47</v>
      </c>
      <c r="B1094" s="44" t="s">
        <v>1279</v>
      </c>
      <c r="C1094" s="44" t="s">
        <v>43</v>
      </c>
      <c r="D1094" s="44">
        <v>5586040532</v>
      </c>
      <c r="E1094" s="44">
        <v>353481</v>
      </c>
      <c r="F1094" s="87">
        <v>964</v>
      </c>
      <c r="G1094" s="46">
        <v>46097</v>
      </c>
    </row>
    <row r="1095" spans="1:7" hidden="1" x14ac:dyDescent="0.3">
      <c r="A1095" s="44" t="s">
        <v>47</v>
      </c>
      <c r="B1095" s="44" t="s">
        <v>270</v>
      </c>
      <c r="C1095" s="44" t="str">
        <f>IFERROR(VLOOKUP(B1095,Base2026!A:C,2,FALSE),"")</f>
        <v xml:space="preserve">TOLOTZIN </v>
      </c>
      <c r="D1095" s="44">
        <f>IFERROR(VLOOKUP(C1095,Base2026!B:D,2,FALSE),"")</f>
        <v>5631001997</v>
      </c>
      <c r="E1095" s="44">
        <v>187360</v>
      </c>
      <c r="F1095" s="87">
        <v>1773.84</v>
      </c>
      <c r="G1095" s="46">
        <v>46097</v>
      </c>
    </row>
    <row r="1096" spans="1:7" s="57" customFormat="1" hidden="1" x14ac:dyDescent="0.3">
      <c r="A1096" s="57" t="s">
        <v>47</v>
      </c>
      <c r="B1096" s="57" t="s">
        <v>1059</v>
      </c>
      <c r="C1096" s="57" t="s">
        <v>1284</v>
      </c>
      <c r="D1096" s="57">
        <v>5654077648</v>
      </c>
      <c r="E1096" s="57">
        <v>353532</v>
      </c>
      <c r="F1096" s="90">
        <v>1356</v>
      </c>
      <c r="G1096" s="58">
        <v>46097</v>
      </c>
    </row>
    <row r="1097" spans="1:7" hidden="1" x14ac:dyDescent="0.3">
      <c r="A1097" s="44" t="s">
        <v>47</v>
      </c>
      <c r="B1097" s="44" t="s">
        <v>1283</v>
      </c>
      <c r="C1097" s="44" t="s">
        <v>425</v>
      </c>
      <c r="D1097" s="44">
        <v>9171372206</v>
      </c>
      <c r="E1097" s="44">
        <v>187872</v>
      </c>
      <c r="F1097" s="87">
        <v>2400</v>
      </c>
      <c r="G1097" s="46">
        <v>46097</v>
      </c>
    </row>
    <row r="1098" spans="1:7" s="57" customFormat="1" hidden="1" x14ac:dyDescent="0.3">
      <c r="A1098" s="44" t="s">
        <v>10</v>
      </c>
      <c r="B1098" s="44" t="s">
        <v>1277</v>
      </c>
      <c r="C1098" s="44" t="s">
        <v>6</v>
      </c>
      <c r="D1098" s="44">
        <v>5513323655</v>
      </c>
      <c r="E1098" s="44">
        <v>353563</v>
      </c>
      <c r="F1098" s="87">
        <v>2718</v>
      </c>
      <c r="G1098" s="46">
        <v>46097</v>
      </c>
    </row>
    <row r="1099" spans="1:7" hidden="1" x14ac:dyDescent="0.3">
      <c r="A1099" s="57" t="s">
        <v>10</v>
      </c>
      <c r="B1099" s="57" t="s">
        <v>1179</v>
      </c>
      <c r="C1099" s="57" t="s">
        <v>68</v>
      </c>
      <c r="D1099" s="57">
        <v>5557800399</v>
      </c>
      <c r="E1099" s="57">
        <v>299646</v>
      </c>
      <c r="F1099" s="90">
        <v>9086.02</v>
      </c>
      <c r="G1099" s="58">
        <v>46097</v>
      </c>
    </row>
    <row r="1100" spans="1:7" s="57" customFormat="1" hidden="1" x14ac:dyDescent="0.3">
      <c r="A1100" s="57" t="s">
        <v>10</v>
      </c>
      <c r="B1100" s="57" t="s">
        <v>454</v>
      </c>
      <c r="C1100" s="57" t="str">
        <f>IFERROR(VLOOKUP(B1100,Base2026!A:C,2,FALSE),"")</f>
        <v>SAN JUAN IXHUATEPEC</v>
      </c>
      <c r="D1100" s="57">
        <f>IFERROR(VLOOKUP(C1100,Base2026!B:D,2,FALSE),"")</f>
        <v>5565066303</v>
      </c>
      <c r="E1100" s="57">
        <v>187846</v>
      </c>
      <c r="F1100" s="90">
        <v>4215</v>
      </c>
      <c r="G1100" s="58">
        <v>46097</v>
      </c>
    </row>
    <row r="1101" spans="1:7" hidden="1" x14ac:dyDescent="0.3">
      <c r="A1101" s="44" t="s">
        <v>10</v>
      </c>
      <c r="B1101" s="44" t="s">
        <v>1060</v>
      </c>
      <c r="C1101" s="44" t="str">
        <f>IFERROR(VLOOKUP(B1101,Base2026!A:C,2,FALSE),"")</f>
        <v>PLAZAS DE ARAGON</v>
      </c>
      <c r="D1101" s="44">
        <f>IFERROR(VLOOKUP(C1101,Base2026!B:D,2,FALSE),"")</f>
        <v>5570826626</v>
      </c>
      <c r="E1101" s="44">
        <v>299733</v>
      </c>
      <c r="F1101" s="87">
        <v>8861</v>
      </c>
      <c r="G1101" s="46">
        <v>46097</v>
      </c>
    </row>
    <row r="1102" spans="1:7" s="57" customFormat="1" hidden="1" x14ac:dyDescent="0.3">
      <c r="A1102" s="44" t="s">
        <v>10</v>
      </c>
      <c r="B1102" s="44" t="s">
        <v>1278</v>
      </c>
      <c r="C1102" s="44" t="s">
        <v>41</v>
      </c>
      <c r="D1102" s="44">
        <v>5610279638</v>
      </c>
      <c r="E1102" s="44">
        <v>186622</v>
      </c>
      <c r="F1102" s="87">
        <v>3155</v>
      </c>
      <c r="G1102" s="46">
        <v>46097</v>
      </c>
    </row>
    <row r="1103" spans="1:7" hidden="1" x14ac:dyDescent="0.3">
      <c r="A1103" s="57" t="s">
        <v>10</v>
      </c>
      <c r="B1103" s="57" t="s">
        <v>1278</v>
      </c>
      <c r="C1103" s="57" t="s">
        <v>41</v>
      </c>
      <c r="D1103" s="57">
        <v>5610279638</v>
      </c>
      <c r="E1103" s="57">
        <v>33679</v>
      </c>
      <c r="F1103" s="90">
        <v>3019</v>
      </c>
      <c r="G1103" s="58">
        <v>46097</v>
      </c>
    </row>
    <row r="1104" spans="1:7" s="57" customFormat="1" hidden="1" x14ac:dyDescent="0.3">
      <c r="A1104" s="44" t="s">
        <v>17</v>
      </c>
      <c r="B1104" s="44" t="s">
        <v>1276</v>
      </c>
      <c r="C1104" s="44" t="s">
        <v>1275</v>
      </c>
      <c r="D1104" s="44">
        <v>5519199502</v>
      </c>
      <c r="E1104" s="44">
        <v>353384</v>
      </c>
      <c r="F1104" s="87">
        <v>800</v>
      </c>
      <c r="G1104" s="46">
        <v>46097</v>
      </c>
    </row>
    <row r="1105" spans="1:7" hidden="1" x14ac:dyDescent="0.3">
      <c r="A1105" s="57" t="s">
        <v>17</v>
      </c>
      <c r="B1105" s="57" t="s">
        <v>1276</v>
      </c>
      <c r="C1105" s="57" t="s">
        <v>1275</v>
      </c>
      <c r="D1105" s="57">
        <v>5519199502</v>
      </c>
      <c r="E1105" s="57">
        <v>353382</v>
      </c>
      <c r="F1105" s="90">
        <v>5132.12</v>
      </c>
      <c r="G1105" s="58">
        <v>46097</v>
      </c>
    </row>
    <row r="1106" spans="1:7" s="57" customFormat="1" hidden="1" x14ac:dyDescent="0.3">
      <c r="A1106" s="57" t="s">
        <v>17</v>
      </c>
      <c r="B1106" s="57" t="s">
        <v>1012</v>
      </c>
      <c r="C1106" s="57" t="str">
        <f>IFERROR(VLOOKUP(B1106,Base2026!A:C,2,FALSE),"")</f>
        <v>VALLE DE GUADALUPE</v>
      </c>
      <c r="D1106" s="57">
        <v>5536692880</v>
      </c>
      <c r="E1106" s="57">
        <v>300125</v>
      </c>
      <c r="F1106" s="90">
        <v>9845</v>
      </c>
      <c r="G1106" s="58">
        <v>46097</v>
      </c>
    </row>
    <row r="1107" spans="1:7" hidden="1" x14ac:dyDescent="0.3">
      <c r="A1107" s="44" t="s">
        <v>17</v>
      </c>
      <c r="B1107" s="44" t="s">
        <v>1285</v>
      </c>
      <c r="C1107" s="44" t="s">
        <v>1288</v>
      </c>
      <c r="D1107" s="44">
        <v>5547402145</v>
      </c>
      <c r="E1107" s="44">
        <v>300179</v>
      </c>
      <c r="F1107" s="87">
        <v>3580</v>
      </c>
      <c r="G1107" s="46">
        <v>46097</v>
      </c>
    </row>
    <row r="1108" spans="1:7" s="57" customFormat="1" hidden="1" x14ac:dyDescent="0.3">
      <c r="A1108" s="44" t="s">
        <v>17</v>
      </c>
      <c r="B1108" s="44" t="s">
        <v>1287</v>
      </c>
      <c r="C1108" s="44" t="s">
        <v>1286</v>
      </c>
      <c r="D1108" s="44">
        <v>5561624080</v>
      </c>
      <c r="E1108" s="44">
        <v>353544</v>
      </c>
      <c r="F1108" s="87">
        <v>3395.6</v>
      </c>
      <c r="G1108" s="46">
        <v>46097</v>
      </c>
    </row>
    <row r="1109" spans="1:7" hidden="1" x14ac:dyDescent="0.3">
      <c r="A1109" s="57" t="s">
        <v>17</v>
      </c>
      <c r="B1109" s="57" t="s">
        <v>1060</v>
      </c>
      <c r="C1109" s="57" t="str">
        <f>IFERROR(VLOOKUP(B1109,Base2026!A:C,2,FALSE),"")</f>
        <v>PLAZAS DE ARAGON</v>
      </c>
      <c r="D1109" s="57">
        <f>IFERROR(VLOOKUP(C1109,Base2026!B:D,2,FALSE),"")</f>
        <v>5570826626</v>
      </c>
      <c r="E1109" s="57">
        <v>300205</v>
      </c>
      <c r="F1109" s="90">
        <v>7242.99</v>
      </c>
      <c r="G1109" s="58">
        <v>46097</v>
      </c>
    </row>
    <row r="1110" spans="1:7" s="57" customFormat="1" hidden="1" x14ac:dyDescent="0.3">
      <c r="A1110" s="44" t="s">
        <v>11</v>
      </c>
      <c r="B1110" s="44" t="s">
        <v>249</v>
      </c>
      <c r="C1110" s="44" t="str">
        <f>IFERROR(VLOOKUP(B1110,Base2026!A:C,2,FALSE),"")</f>
        <v>TONATITLA</v>
      </c>
      <c r="D1110" s="44">
        <f>IFERROR(VLOOKUP(C1110,Base2026!B:D,2,FALSE),"")</f>
        <v>5535334019</v>
      </c>
      <c r="E1110" s="44">
        <v>187204</v>
      </c>
      <c r="F1110" s="87">
        <v>6420.02</v>
      </c>
      <c r="G1110" s="46">
        <v>46097</v>
      </c>
    </row>
    <row r="1111" spans="1:7" hidden="1" x14ac:dyDescent="0.3">
      <c r="A1111" s="57" t="s">
        <v>11</v>
      </c>
      <c r="B1111" s="57" t="s">
        <v>249</v>
      </c>
      <c r="C1111" s="57" t="str">
        <f>IFERROR(VLOOKUP(B1111,Base2026!A:C,2,FALSE),"")</f>
        <v>TONATITLA</v>
      </c>
      <c r="D1111" s="57">
        <f>IFERROR(VLOOKUP(C1111,Base2026!B:D,2,FALSE),"")</f>
        <v>5535334019</v>
      </c>
      <c r="E1111" s="57">
        <v>187205</v>
      </c>
      <c r="F1111" s="90">
        <v>2688</v>
      </c>
      <c r="G1111" s="58">
        <v>46097</v>
      </c>
    </row>
    <row r="1112" spans="1:7" s="57" customFormat="1" hidden="1" x14ac:dyDescent="0.3">
      <c r="A1112" s="44" t="s">
        <v>11</v>
      </c>
      <c r="B1112" s="44" t="s">
        <v>249</v>
      </c>
      <c r="C1112" s="44" t="str">
        <f>IFERROR(VLOOKUP(B1112,Base2026!A:C,2,FALSE),"")</f>
        <v>TONATITLA</v>
      </c>
      <c r="D1112" s="44">
        <f>IFERROR(VLOOKUP(C1112,Base2026!B:D,2,FALSE),"")</f>
        <v>5535334019</v>
      </c>
      <c r="E1112" s="44">
        <v>186826</v>
      </c>
      <c r="F1112" s="87">
        <v>5329.02</v>
      </c>
      <c r="G1112" s="46">
        <v>46097</v>
      </c>
    </row>
    <row r="1113" spans="1:7" hidden="1" x14ac:dyDescent="0.3">
      <c r="A1113" s="44" t="s">
        <v>47</v>
      </c>
      <c r="B1113" s="44" t="s">
        <v>1296</v>
      </c>
      <c r="C1113" s="44" t="s">
        <v>1297</v>
      </c>
      <c r="D1113" s="44">
        <v>5539668343</v>
      </c>
      <c r="E1113" s="44">
        <v>299860</v>
      </c>
      <c r="F1113" s="87">
        <v>4951</v>
      </c>
      <c r="G1113" s="46">
        <v>46098</v>
      </c>
    </row>
    <row r="1114" spans="1:7" s="74" customFormat="1" hidden="1" x14ac:dyDescent="0.3">
      <c r="A1114" s="74" t="s">
        <v>47</v>
      </c>
      <c r="B1114" s="74" t="s">
        <v>1299</v>
      </c>
      <c r="C1114" s="74" t="s">
        <v>30</v>
      </c>
      <c r="D1114" s="74">
        <v>5545758293</v>
      </c>
      <c r="E1114" s="74">
        <v>353314</v>
      </c>
      <c r="F1114" s="94">
        <v>6036.32</v>
      </c>
      <c r="G1114" s="75">
        <v>46098</v>
      </c>
    </row>
    <row r="1115" spans="1:7" hidden="1" x14ac:dyDescent="0.3">
      <c r="A1115" s="74" t="s">
        <v>47</v>
      </c>
      <c r="B1115" s="74" t="s">
        <v>1298</v>
      </c>
      <c r="C1115" s="74" t="s">
        <v>41</v>
      </c>
      <c r="D1115" s="74">
        <v>5626009250</v>
      </c>
      <c r="E1115" s="74">
        <v>188125</v>
      </c>
      <c r="F1115" s="94">
        <v>7800</v>
      </c>
      <c r="G1115" s="75">
        <v>46098</v>
      </c>
    </row>
    <row r="1116" spans="1:7" s="74" customFormat="1" hidden="1" x14ac:dyDescent="0.3">
      <c r="A1116" s="44" t="s">
        <v>47</v>
      </c>
      <c r="B1116" s="44" t="s">
        <v>1152</v>
      </c>
      <c r="C1116" s="44" t="s">
        <v>41</v>
      </c>
      <c r="D1116" s="44">
        <v>5639776529</v>
      </c>
      <c r="E1116" s="44">
        <v>187589</v>
      </c>
      <c r="F1116" s="87">
        <v>973.88</v>
      </c>
      <c r="G1116" s="46">
        <v>46098</v>
      </c>
    </row>
    <row r="1117" spans="1:7" hidden="1" x14ac:dyDescent="0.3">
      <c r="A1117" s="44" t="s">
        <v>10</v>
      </c>
      <c r="B1117" s="44" t="s">
        <v>1293</v>
      </c>
      <c r="C1117" s="44" t="s">
        <v>1294</v>
      </c>
      <c r="D1117" s="44">
        <v>5561257629</v>
      </c>
      <c r="E1117" s="44">
        <v>187161</v>
      </c>
      <c r="F1117" s="87">
        <v>3723</v>
      </c>
      <c r="G1117" s="46">
        <v>46098</v>
      </c>
    </row>
    <row r="1118" spans="1:7" s="74" customFormat="1" hidden="1" x14ac:dyDescent="0.3">
      <c r="A1118" s="74" t="s">
        <v>10</v>
      </c>
      <c r="B1118" s="74" t="s">
        <v>1295</v>
      </c>
      <c r="C1118" s="74" t="s">
        <v>356</v>
      </c>
      <c r="D1118" s="74">
        <v>5564579048</v>
      </c>
      <c r="E1118" s="74">
        <v>353542</v>
      </c>
      <c r="F1118" s="94">
        <v>1300</v>
      </c>
      <c r="G1118" s="75">
        <v>46098</v>
      </c>
    </row>
    <row r="1119" spans="1:7" hidden="1" x14ac:dyDescent="0.3">
      <c r="A1119" s="74" t="s">
        <v>17</v>
      </c>
      <c r="B1119" s="74" t="s">
        <v>460</v>
      </c>
      <c r="C1119" s="74" t="str">
        <f>IFERROR(VLOOKUP(B1119,Base2026!A:C,2,FALSE),"")</f>
        <v>AV CENTRAL</v>
      </c>
      <c r="D1119" s="74">
        <v>5545286813</v>
      </c>
      <c r="E1119" s="74">
        <v>300177</v>
      </c>
      <c r="F1119" s="94">
        <v>5884</v>
      </c>
      <c r="G1119" s="75">
        <v>46098</v>
      </c>
    </row>
    <row r="1120" spans="1:7" s="74" customFormat="1" hidden="1" x14ac:dyDescent="0.3">
      <c r="A1120" s="74" t="s">
        <v>17</v>
      </c>
      <c r="B1120" s="74" t="s">
        <v>1301</v>
      </c>
      <c r="C1120" s="74" t="s">
        <v>206</v>
      </c>
      <c r="D1120" s="74">
        <v>5554387120</v>
      </c>
      <c r="E1120" s="74">
        <v>187769</v>
      </c>
      <c r="F1120" s="94">
        <v>6408</v>
      </c>
      <c r="G1120" s="75">
        <v>46098</v>
      </c>
    </row>
    <row r="1121" spans="1:7" hidden="1" x14ac:dyDescent="0.3">
      <c r="A1121" s="44" t="s">
        <v>17</v>
      </c>
      <c r="B1121" s="44" t="s">
        <v>1300</v>
      </c>
      <c r="C1121" s="44" t="s">
        <v>72</v>
      </c>
      <c r="D1121" s="44">
        <v>5578942575</v>
      </c>
      <c r="E1121" s="44">
        <v>188110</v>
      </c>
      <c r="F1121" s="87">
        <v>1310</v>
      </c>
      <c r="G1121" s="46">
        <v>46098</v>
      </c>
    </row>
    <row r="1122" spans="1:7" s="74" customFormat="1" hidden="1" x14ac:dyDescent="0.3">
      <c r="A1122" s="44" t="s">
        <v>17</v>
      </c>
      <c r="B1122" s="44" t="s">
        <v>1137</v>
      </c>
      <c r="C1122" s="44" t="s">
        <v>733</v>
      </c>
      <c r="D1122" s="44">
        <v>5618521749</v>
      </c>
      <c r="E1122" s="44">
        <v>187795</v>
      </c>
      <c r="F1122" s="87">
        <v>12447.04</v>
      </c>
      <c r="G1122" s="46">
        <v>46098</v>
      </c>
    </row>
    <row r="1123" spans="1:7" hidden="1" x14ac:dyDescent="0.3">
      <c r="A1123" s="44" t="s">
        <v>11</v>
      </c>
      <c r="B1123" s="44" t="s">
        <v>1290</v>
      </c>
      <c r="C1123" s="44" t="s">
        <v>631</v>
      </c>
      <c r="D1123" s="44">
        <f>IFERROR(VLOOKUP(C1123,Base2026!B:D,2,FALSE),"")</f>
        <v>5517957453</v>
      </c>
      <c r="E1123" s="44">
        <v>187592</v>
      </c>
      <c r="F1123" s="87">
        <v>1882</v>
      </c>
      <c r="G1123" s="46">
        <v>46098</v>
      </c>
    </row>
    <row r="1124" spans="1:7" s="74" customFormat="1" hidden="1" x14ac:dyDescent="0.3">
      <c r="A1124" s="74" t="s">
        <v>11</v>
      </c>
      <c r="B1124" s="74" t="s">
        <v>1291</v>
      </c>
      <c r="C1124" s="74" t="s">
        <v>1292</v>
      </c>
      <c r="D1124" s="74">
        <v>5549226461</v>
      </c>
      <c r="E1124" s="74">
        <v>300036</v>
      </c>
      <c r="F1124" s="94">
        <v>3268.24</v>
      </c>
      <c r="G1124" s="75">
        <v>46098</v>
      </c>
    </row>
    <row r="1125" spans="1:7" hidden="1" x14ac:dyDescent="0.3">
      <c r="A1125" s="74" t="s">
        <v>11</v>
      </c>
      <c r="B1125" s="74" t="s">
        <v>1289</v>
      </c>
      <c r="C1125" s="74" t="s">
        <v>84</v>
      </c>
      <c r="D1125" s="74">
        <v>5634780373</v>
      </c>
      <c r="E1125" s="74">
        <v>353711</v>
      </c>
      <c r="F1125" s="94">
        <v>2090</v>
      </c>
      <c r="G1125" s="75">
        <v>46098</v>
      </c>
    </row>
    <row r="1126" spans="1:7" s="74" customFormat="1" hidden="1" x14ac:dyDescent="0.3">
      <c r="A1126" s="76" t="s">
        <v>47</v>
      </c>
      <c r="B1126" s="76" t="s">
        <v>1307</v>
      </c>
      <c r="C1126" s="76" t="s">
        <v>580</v>
      </c>
      <c r="D1126" s="76">
        <v>5513369770</v>
      </c>
      <c r="E1126" s="76">
        <v>187535</v>
      </c>
      <c r="F1126" s="95">
        <v>4279.99</v>
      </c>
      <c r="G1126" s="77">
        <v>46099</v>
      </c>
    </row>
    <row r="1127" spans="1:7" hidden="1" x14ac:dyDescent="0.3">
      <c r="A1127" s="44" t="s">
        <v>47</v>
      </c>
      <c r="B1127" s="44" t="s">
        <v>1306</v>
      </c>
      <c r="C1127" s="44" t="s">
        <v>138</v>
      </c>
      <c r="D1127" s="44">
        <v>5583505342</v>
      </c>
      <c r="E1127" s="44">
        <v>353473</v>
      </c>
      <c r="F1127" s="87">
        <v>4254.99</v>
      </c>
      <c r="G1127" s="46">
        <v>46099</v>
      </c>
    </row>
    <row r="1128" spans="1:7" s="76" customFormat="1" hidden="1" x14ac:dyDescent="0.3">
      <c r="A1128" s="76" t="s">
        <v>47</v>
      </c>
      <c r="B1128" s="76" t="s">
        <v>1305</v>
      </c>
      <c r="C1128" s="76" t="s">
        <v>107</v>
      </c>
      <c r="D1128" s="76">
        <v>5627971651</v>
      </c>
      <c r="E1128" s="76">
        <v>188296</v>
      </c>
      <c r="F1128" s="95">
        <v>216</v>
      </c>
      <c r="G1128" s="77">
        <v>46099</v>
      </c>
    </row>
    <row r="1129" spans="1:7" hidden="1" x14ac:dyDescent="0.3">
      <c r="A1129" s="44" t="s">
        <v>10</v>
      </c>
      <c r="B1129" s="44" t="s">
        <v>322</v>
      </c>
      <c r="C1129" s="44" t="s">
        <v>187</v>
      </c>
      <c r="D1129" s="44">
        <f>IFERROR(VLOOKUP(C1129,Base2026!B:D,2,FALSE),"")</f>
        <v>5529849094</v>
      </c>
      <c r="E1129" s="44">
        <v>353702</v>
      </c>
      <c r="F1129" s="87">
        <v>1467</v>
      </c>
      <c r="G1129" s="46">
        <v>46099</v>
      </c>
    </row>
    <row r="1130" spans="1:7" s="76" customFormat="1" hidden="1" x14ac:dyDescent="0.3">
      <c r="A1130" s="76" t="s">
        <v>10</v>
      </c>
      <c r="B1130" s="76" t="s">
        <v>1302</v>
      </c>
      <c r="C1130" s="76" t="s">
        <v>60</v>
      </c>
      <c r="D1130" s="76">
        <v>5535152510</v>
      </c>
      <c r="E1130" s="76">
        <v>353500</v>
      </c>
      <c r="F1130" s="95">
        <v>6751.99</v>
      </c>
      <c r="G1130" s="77">
        <v>46099</v>
      </c>
    </row>
    <row r="1131" spans="1:7" hidden="1" x14ac:dyDescent="0.3">
      <c r="A1131" s="76" t="s">
        <v>10</v>
      </c>
      <c r="B1131" s="76" t="s">
        <v>1303</v>
      </c>
      <c r="C1131" s="76" t="s">
        <v>1304</v>
      </c>
      <c r="D1131" s="76">
        <v>5554572412</v>
      </c>
      <c r="E1131" s="76">
        <v>29937</v>
      </c>
      <c r="F1131" s="95">
        <v>3919</v>
      </c>
      <c r="G1131" s="77">
        <v>46099</v>
      </c>
    </row>
    <row r="1132" spans="1:7" s="76" customFormat="1" hidden="1" x14ac:dyDescent="0.3">
      <c r="A1132" s="44" t="s">
        <v>10</v>
      </c>
      <c r="B1132" s="44" t="s">
        <v>1271</v>
      </c>
      <c r="C1132" s="44" t="s">
        <v>152</v>
      </c>
      <c r="D1132" s="44">
        <v>5566328013</v>
      </c>
      <c r="E1132" s="44">
        <v>187747</v>
      </c>
      <c r="F1132" s="87">
        <v>5629.12</v>
      </c>
      <c r="G1132" s="46">
        <v>46099</v>
      </c>
    </row>
    <row r="1133" spans="1:7" hidden="1" x14ac:dyDescent="0.3">
      <c r="A1133" s="76" t="s">
        <v>10</v>
      </c>
      <c r="B1133" s="76" t="s">
        <v>184</v>
      </c>
      <c r="C1133" s="76" t="str">
        <f>IFERROR(VLOOKUP(B1133,Base2026!A:C,2,FALSE),"")</f>
        <v>MALINCHE</v>
      </c>
      <c r="D1133" s="76">
        <v>5572111893</v>
      </c>
      <c r="E1133" s="76">
        <v>353768</v>
      </c>
      <c r="F1133" s="95">
        <v>3240</v>
      </c>
      <c r="G1133" s="77">
        <v>46099</v>
      </c>
    </row>
    <row r="1134" spans="1:7" s="76" customFormat="1" hidden="1" x14ac:dyDescent="0.3">
      <c r="A1134" s="44" t="s">
        <v>10</v>
      </c>
      <c r="B1134" s="44" t="s">
        <v>121</v>
      </c>
      <c r="C1134" s="44" t="str">
        <f>IFERROR(VLOOKUP(B1134,Base2026!A:C,2,FALSE),"")</f>
        <v>LAZARO CARDENAS</v>
      </c>
      <c r="D1134" s="44">
        <v>5612852406</v>
      </c>
      <c r="E1134" s="44">
        <v>186590</v>
      </c>
      <c r="F1134" s="87">
        <v>14297.99</v>
      </c>
      <c r="G1134" s="46">
        <v>46099</v>
      </c>
    </row>
    <row r="1135" spans="1:7" hidden="1" x14ac:dyDescent="0.3">
      <c r="A1135" s="44" t="s">
        <v>17</v>
      </c>
      <c r="B1135" s="44" t="s">
        <v>426</v>
      </c>
      <c r="C1135" s="44" t="str">
        <f>IFERROR(VLOOKUP(B1135,Base2026!A:C,2,FALSE),"")</f>
        <v>VALLE DE ANAHUAC</v>
      </c>
      <c r="D1135" s="44">
        <f>IFERROR(VLOOKUP(C1135,Base2026!B:D,2,FALSE),"")</f>
        <v>5514407771</v>
      </c>
      <c r="E1135" s="44">
        <v>353605</v>
      </c>
      <c r="F1135" s="87">
        <v>2508.84</v>
      </c>
      <c r="G1135" s="46">
        <v>46099</v>
      </c>
    </row>
    <row r="1136" spans="1:7" s="76" customFormat="1" hidden="1" x14ac:dyDescent="0.3">
      <c r="A1136" s="76" t="s">
        <v>17</v>
      </c>
      <c r="B1136" s="76" t="s">
        <v>1060</v>
      </c>
      <c r="C1136" s="76" t="str">
        <f>IFERROR(VLOOKUP(B1136,Base2026!A:C,2,FALSE),"")</f>
        <v>PLAZAS DE ARAGON</v>
      </c>
      <c r="D1136" s="76">
        <f>IFERROR(VLOOKUP(C1136,Base2026!B:D,2,FALSE),"")</f>
        <v>5570826626</v>
      </c>
      <c r="E1136" s="76">
        <v>299977</v>
      </c>
      <c r="F1136" s="95">
        <v>5183</v>
      </c>
      <c r="G1136" s="77">
        <v>46099</v>
      </c>
    </row>
    <row r="1137" spans="1:7" hidden="1" x14ac:dyDescent="0.3">
      <c r="A1137" s="44" t="s">
        <v>17</v>
      </c>
      <c r="B1137" s="44" t="s">
        <v>1060</v>
      </c>
      <c r="C1137" s="44" t="str">
        <f>IFERROR(VLOOKUP(B1137,Base2026!A:C,2,FALSE),"")</f>
        <v>PLAZAS DE ARAGON</v>
      </c>
      <c r="D1137" s="44">
        <f>IFERROR(VLOOKUP(C1137,Base2026!B:D,2,FALSE),"")</f>
        <v>5570826626</v>
      </c>
      <c r="E1137" s="44">
        <v>299976</v>
      </c>
      <c r="F1137" s="87">
        <v>2861</v>
      </c>
      <c r="G1137" s="46">
        <v>46099</v>
      </c>
    </row>
    <row r="1138" spans="1:7" s="76" customFormat="1" hidden="1" x14ac:dyDescent="0.3">
      <c r="A1138" s="44" t="s">
        <v>17</v>
      </c>
      <c r="B1138" s="44" t="s">
        <v>1308</v>
      </c>
      <c r="C1138" s="44" t="s">
        <v>1309</v>
      </c>
      <c r="D1138" s="44">
        <v>5628031904</v>
      </c>
      <c r="E1138" s="44">
        <v>187195</v>
      </c>
      <c r="F1138" s="87">
        <v>6607.4</v>
      </c>
      <c r="G1138" s="46">
        <v>46099</v>
      </c>
    </row>
    <row r="1139" spans="1:7" hidden="1" x14ac:dyDescent="0.3">
      <c r="A1139" s="76" t="s">
        <v>17</v>
      </c>
      <c r="B1139" s="76" t="s">
        <v>1310</v>
      </c>
      <c r="C1139" s="76" t="s">
        <v>74</v>
      </c>
      <c r="D1139" s="76">
        <v>5633925341</v>
      </c>
      <c r="E1139" s="76">
        <v>299953</v>
      </c>
      <c r="F1139" s="95">
        <v>5866.97</v>
      </c>
      <c r="G1139" s="77">
        <v>46099</v>
      </c>
    </row>
    <row r="1140" spans="1:7" s="76" customFormat="1" hidden="1" x14ac:dyDescent="0.3">
      <c r="A1140" s="44" t="s">
        <v>11</v>
      </c>
      <c r="B1140" s="44" t="s">
        <v>1191</v>
      </c>
      <c r="C1140" s="44" t="s">
        <v>41</v>
      </c>
      <c r="D1140" s="44">
        <v>5518666206</v>
      </c>
      <c r="E1140" s="44">
        <v>352897</v>
      </c>
      <c r="F1140" s="87">
        <v>92633.82</v>
      </c>
      <c r="G1140" s="46">
        <v>46099</v>
      </c>
    </row>
    <row r="1141" spans="1:7" hidden="1" x14ac:dyDescent="0.3">
      <c r="A1141" s="51" t="s">
        <v>10</v>
      </c>
      <c r="B1141" s="51" t="s">
        <v>277</v>
      </c>
      <c r="C1141" s="51" t="s">
        <v>138</v>
      </c>
      <c r="D1141" s="51">
        <v>5528872468</v>
      </c>
      <c r="E1141" s="51">
        <v>300372</v>
      </c>
      <c r="F1141" s="68">
        <v>6536</v>
      </c>
      <c r="G1141" s="52">
        <v>46100</v>
      </c>
    </row>
    <row r="1142" spans="1:7" s="51" customFormat="1" hidden="1" x14ac:dyDescent="0.3">
      <c r="A1142" s="44" t="s">
        <v>10</v>
      </c>
      <c r="B1142" s="44" t="s">
        <v>1316</v>
      </c>
      <c r="C1142" s="44" t="s">
        <v>902</v>
      </c>
      <c r="D1142" s="44">
        <v>5531042806</v>
      </c>
      <c r="E1142" s="44">
        <v>353793</v>
      </c>
      <c r="F1142" s="87">
        <v>11695</v>
      </c>
      <c r="G1142" s="46">
        <v>46100</v>
      </c>
    </row>
    <row r="1143" spans="1:7" hidden="1" x14ac:dyDescent="0.3">
      <c r="A1143" s="44" t="s">
        <v>10</v>
      </c>
      <c r="B1143" s="44" t="s">
        <v>1319</v>
      </c>
      <c r="C1143" s="44" t="s">
        <v>41</v>
      </c>
      <c r="D1143" s="44">
        <v>5538553288</v>
      </c>
      <c r="E1143" s="44">
        <v>187853</v>
      </c>
      <c r="F1143" s="87">
        <v>4257</v>
      </c>
      <c r="G1143" s="46">
        <v>46100</v>
      </c>
    </row>
    <row r="1144" spans="1:7" s="51" customFormat="1" hidden="1" x14ac:dyDescent="0.3">
      <c r="A1144" s="51" t="s">
        <v>10</v>
      </c>
      <c r="B1144" s="51" t="s">
        <v>1319</v>
      </c>
      <c r="C1144" s="51" t="s">
        <v>41</v>
      </c>
      <c r="D1144" s="51">
        <v>5538553288</v>
      </c>
      <c r="E1144" s="51">
        <v>187854</v>
      </c>
      <c r="F1144" s="68">
        <v>740</v>
      </c>
      <c r="G1144" s="52">
        <v>46100</v>
      </c>
    </row>
    <row r="1145" spans="1:7" hidden="1" x14ac:dyDescent="0.3">
      <c r="A1145" s="44" t="s">
        <v>10</v>
      </c>
      <c r="B1145" s="44" t="s">
        <v>1317</v>
      </c>
      <c r="C1145" s="44" t="s">
        <v>1318</v>
      </c>
      <c r="D1145" s="44">
        <v>5546553595</v>
      </c>
      <c r="E1145" s="44">
        <v>353665</v>
      </c>
      <c r="F1145" s="87">
        <v>1626.32</v>
      </c>
      <c r="G1145" s="46">
        <v>46100</v>
      </c>
    </row>
    <row r="1146" spans="1:7" s="51" customFormat="1" hidden="1" x14ac:dyDescent="0.3">
      <c r="A1146" s="51" t="s">
        <v>10</v>
      </c>
      <c r="B1146" s="51" t="s">
        <v>539</v>
      </c>
      <c r="C1146" s="51" t="s">
        <v>991</v>
      </c>
      <c r="D1146" s="51">
        <v>5561088792</v>
      </c>
      <c r="E1146" s="51">
        <v>187776</v>
      </c>
      <c r="F1146" s="68">
        <v>5745.68</v>
      </c>
      <c r="G1146" s="52">
        <v>46100</v>
      </c>
    </row>
    <row r="1147" spans="1:7" hidden="1" x14ac:dyDescent="0.3">
      <c r="A1147" s="44" t="s">
        <v>17</v>
      </c>
      <c r="B1147" s="44" t="s">
        <v>1321</v>
      </c>
      <c r="C1147" s="44" t="s">
        <v>973</v>
      </c>
      <c r="D1147" s="44">
        <v>2206119277</v>
      </c>
      <c r="E1147" s="44">
        <v>300275</v>
      </c>
      <c r="F1147" s="87">
        <v>2334.2800000000002</v>
      </c>
      <c r="G1147" s="46">
        <v>46100</v>
      </c>
    </row>
    <row r="1148" spans="1:7" s="51" customFormat="1" hidden="1" x14ac:dyDescent="0.3">
      <c r="A1148" s="44" t="s">
        <v>17</v>
      </c>
      <c r="B1148" s="44" t="s">
        <v>1320</v>
      </c>
      <c r="C1148" s="44" t="s">
        <v>973</v>
      </c>
      <c r="D1148" s="44">
        <v>5527328748</v>
      </c>
      <c r="E1148" s="44">
        <v>300078</v>
      </c>
      <c r="F1148" s="87">
        <v>14115.99</v>
      </c>
      <c r="G1148" s="46">
        <v>46100</v>
      </c>
    </row>
    <row r="1149" spans="1:7" hidden="1" x14ac:dyDescent="0.3">
      <c r="A1149" s="51" t="s">
        <v>17</v>
      </c>
      <c r="B1149" s="51" t="s">
        <v>1179</v>
      </c>
      <c r="C1149" s="51" t="s">
        <v>68</v>
      </c>
      <c r="D1149" s="51">
        <v>5557800399</v>
      </c>
      <c r="E1149" s="51">
        <v>300249</v>
      </c>
      <c r="F1149" s="68">
        <v>4277.12</v>
      </c>
      <c r="G1149" s="52">
        <v>46100</v>
      </c>
    </row>
    <row r="1150" spans="1:7" s="51" customFormat="1" hidden="1" x14ac:dyDescent="0.3">
      <c r="A1150" s="44" t="s">
        <v>17</v>
      </c>
      <c r="B1150" s="44" t="s">
        <v>1179</v>
      </c>
      <c r="C1150" s="44" t="s">
        <v>68</v>
      </c>
      <c r="D1150" s="44">
        <v>5557800399</v>
      </c>
      <c r="E1150" s="44">
        <v>300252</v>
      </c>
      <c r="F1150" s="87">
        <v>4598</v>
      </c>
      <c r="G1150" s="46">
        <v>46100</v>
      </c>
    </row>
    <row r="1151" spans="1:7" hidden="1" x14ac:dyDescent="0.3">
      <c r="A1151" s="51" t="s">
        <v>17</v>
      </c>
      <c r="B1151" s="51" t="s">
        <v>158</v>
      </c>
      <c r="C1151" s="51" t="str">
        <f>IFERROR(VLOOKUP(B1151,Base2026!A:C,2,FALSE),"")</f>
        <v>PLAZAS DE ARAGON</v>
      </c>
      <c r="D1151" s="51">
        <f>IFERROR(VLOOKUP(C1151,Base2026!B:D,2,FALSE),"")</f>
        <v>5570826626</v>
      </c>
      <c r="E1151" s="51">
        <v>299734</v>
      </c>
      <c r="F1151" s="68">
        <v>16360.96</v>
      </c>
      <c r="G1151" s="52">
        <v>46100</v>
      </c>
    </row>
    <row r="1152" spans="1:7" s="51" customFormat="1" x14ac:dyDescent="0.3">
      <c r="A1152" s="44" t="s">
        <v>11</v>
      </c>
      <c r="B1152" s="44" t="s">
        <v>528</v>
      </c>
      <c r="C1152" s="44" t="s">
        <v>0</v>
      </c>
      <c r="D1152" s="44">
        <v>5513760260</v>
      </c>
      <c r="E1152" s="44">
        <v>299903</v>
      </c>
      <c r="F1152" s="87">
        <v>16685.52</v>
      </c>
      <c r="G1152" s="46">
        <v>46100</v>
      </c>
    </row>
    <row r="1153" spans="1:7" hidden="1" x14ac:dyDescent="0.3">
      <c r="A1153" s="51" t="s">
        <v>11</v>
      </c>
      <c r="B1153" s="51" t="s">
        <v>1315</v>
      </c>
      <c r="C1153" s="51" t="s">
        <v>138</v>
      </c>
      <c r="D1153" s="51">
        <v>5514851554</v>
      </c>
      <c r="E1153" s="51">
        <v>188112</v>
      </c>
      <c r="F1153" s="68">
        <v>1959.32</v>
      </c>
      <c r="G1153" s="52">
        <v>46100</v>
      </c>
    </row>
    <row r="1154" spans="1:7" s="51" customFormat="1" hidden="1" x14ac:dyDescent="0.3">
      <c r="A1154" s="51" t="s">
        <v>11</v>
      </c>
      <c r="B1154" s="51" t="s">
        <v>1311</v>
      </c>
      <c r="C1154" s="51" t="s">
        <v>425</v>
      </c>
      <c r="D1154" s="51">
        <v>5528522239</v>
      </c>
      <c r="E1154" s="51">
        <v>188058</v>
      </c>
      <c r="F1154" s="68">
        <v>1468</v>
      </c>
      <c r="G1154" s="52">
        <v>46100</v>
      </c>
    </row>
    <row r="1155" spans="1:7" hidden="1" x14ac:dyDescent="0.3">
      <c r="A1155" s="44" t="s">
        <v>11</v>
      </c>
      <c r="B1155" s="44" t="s">
        <v>1312</v>
      </c>
      <c r="C1155" s="44" t="s">
        <v>458</v>
      </c>
      <c r="D1155" s="44">
        <v>5535053227</v>
      </c>
      <c r="E1155" s="44">
        <v>187876</v>
      </c>
      <c r="F1155" s="87">
        <v>2315.12</v>
      </c>
      <c r="G1155" s="46">
        <v>46100</v>
      </c>
    </row>
    <row r="1156" spans="1:7" s="51" customFormat="1" x14ac:dyDescent="0.3">
      <c r="A1156" s="51" t="s">
        <v>11</v>
      </c>
      <c r="B1156" s="51" t="s">
        <v>528</v>
      </c>
      <c r="C1156" s="51" t="str">
        <f>IFERROR(VLOOKUP(B1156,Base2026!A:C,2,FALSE),"")</f>
        <v>TEXCOCO</v>
      </c>
      <c r="D1156" s="51">
        <f>IFERROR(VLOOKUP(C1156,Base2026!B:D,2,FALSE),"")</f>
        <v>5536695063</v>
      </c>
      <c r="E1156" s="51">
        <v>300224</v>
      </c>
      <c r="F1156" s="68">
        <v>4622.3999999999996</v>
      </c>
      <c r="G1156" s="52">
        <v>46100</v>
      </c>
    </row>
    <row r="1157" spans="1:7" hidden="1" x14ac:dyDescent="0.3">
      <c r="A1157" s="44" t="s">
        <v>11</v>
      </c>
      <c r="B1157" s="44" t="s">
        <v>1314</v>
      </c>
      <c r="C1157" s="44" t="s">
        <v>218</v>
      </c>
      <c r="D1157" s="44">
        <f>IFERROR(VLOOKUP(C1157,Base2026!B:D,2,FALSE),"")</f>
        <v>5539511994</v>
      </c>
      <c r="E1157" s="44">
        <v>183341</v>
      </c>
      <c r="F1157" s="87">
        <v>2220</v>
      </c>
      <c r="G1157" s="46">
        <v>46100</v>
      </c>
    </row>
    <row r="1158" spans="1:7" s="51" customFormat="1" hidden="1" x14ac:dyDescent="0.3">
      <c r="A1158" s="51" t="s">
        <v>11</v>
      </c>
      <c r="B1158" s="51" t="s">
        <v>1313</v>
      </c>
      <c r="C1158" s="51" t="s">
        <v>614</v>
      </c>
      <c r="D1158" s="51">
        <v>5624251365</v>
      </c>
      <c r="E1158" s="51">
        <v>353568</v>
      </c>
      <c r="F1158" s="68">
        <v>1811.84</v>
      </c>
      <c r="G1158" s="52">
        <v>46100</v>
      </c>
    </row>
    <row r="1159" spans="1:7" hidden="1" x14ac:dyDescent="0.3">
      <c r="A1159" s="44" t="s">
        <v>10</v>
      </c>
      <c r="B1159" s="44" t="s">
        <v>1329</v>
      </c>
      <c r="C1159" s="44" t="s">
        <v>543</v>
      </c>
      <c r="D1159" s="44">
        <v>5523366260</v>
      </c>
      <c r="E1159" s="44">
        <v>300461</v>
      </c>
      <c r="F1159" s="87">
        <v>7705</v>
      </c>
      <c r="G1159" s="46">
        <v>46101</v>
      </c>
    </row>
    <row r="1160" spans="1:7" hidden="1" x14ac:dyDescent="0.3">
      <c r="A1160" s="74" t="s">
        <v>10</v>
      </c>
      <c r="B1160" s="74" t="s">
        <v>1328</v>
      </c>
      <c r="C1160" s="74" t="s">
        <v>74</v>
      </c>
      <c r="D1160" s="74">
        <v>5540443958</v>
      </c>
      <c r="E1160" s="74">
        <v>300515</v>
      </c>
      <c r="F1160" s="94">
        <v>17900</v>
      </c>
      <c r="G1160" s="75">
        <v>46101</v>
      </c>
    </row>
    <row r="1161" spans="1:7" s="74" customFormat="1" hidden="1" x14ac:dyDescent="0.3">
      <c r="A1161" s="44" t="s">
        <v>10</v>
      </c>
      <c r="B1161" s="44" t="s">
        <v>1203</v>
      </c>
      <c r="C1161" s="44" t="s">
        <v>68</v>
      </c>
      <c r="D1161" s="44">
        <v>5543450209</v>
      </c>
      <c r="E1161" s="44">
        <v>353432</v>
      </c>
      <c r="F1161" s="87">
        <v>10088</v>
      </c>
      <c r="G1161" s="46">
        <v>46101</v>
      </c>
    </row>
    <row r="1162" spans="1:7" hidden="1" x14ac:dyDescent="0.3">
      <c r="A1162" s="74" t="s">
        <v>10</v>
      </c>
      <c r="B1162" s="74" t="s">
        <v>1326</v>
      </c>
      <c r="C1162" s="74" t="s">
        <v>1327</v>
      </c>
      <c r="D1162" s="74">
        <v>5573926561</v>
      </c>
      <c r="E1162" s="74">
        <v>188588</v>
      </c>
      <c r="F1162" s="94">
        <v>3221.99</v>
      </c>
      <c r="G1162" s="75">
        <v>46101</v>
      </c>
    </row>
    <row r="1163" spans="1:7" s="74" customFormat="1" hidden="1" x14ac:dyDescent="0.3">
      <c r="A1163" s="74" t="s">
        <v>10</v>
      </c>
      <c r="B1163" s="74" t="s">
        <v>625</v>
      </c>
      <c r="C1163" s="74" t="str">
        <f>IFERROR(VLOOKUP(B1163,Base2026!A:C,2,FALSE),"")</f>
        <v>GRANJAS VALLE</v>
      </c>
      <c r="D1163" s="74">
        <f>IFERROR(VLOOKUP(C1163,Base2026!B:D,2,FALSE),"")</f>
        <v>5578992575</v>
      </c>
      <c r="E1163" s="74">
        <v>359909</v>
      </c>
      <c r="F1163" s="94">
        <v>19212</v>
      </c>
      <c r="G1163" s="75">
        <v>46101</v>
      </c>
    </row>
    <row r="1164" spans="1:7" hidden="1" x14ac:dyDescent="0.3">
      <c r="A1164" s="44" t="s">
        <v>10</v>
      </c>
      <c r="B1164" s="44" t="s">
        <v>625</v>
      </c>
      <c r="C1164" s="44" t="str">
        <f>IFERROR(VLOOKUP(B1164,Base2026!A:C,2,FALSE),"")</f>
        <v>GRANJAS VALLE</v>
      </c>
      <c r="D1164" s="44">
        <f>IFERROR(VLOOKUP(C1164,Base2026!B:D,2,FALSE),"")</f>
        <v>5578992575</v>
      </c>
      <c r="E1164" s="44">
        <v>353910</v>
      </c>
      <c r="F1164" s="87">
        <v>4706.88</v>
      </c>
      <c r="G1164" s="46">
        <v>46101</v>
      </c>
    </row>
    <row r="1165" spans="1:7" hidden="1" x14ac:dyDescent="0.3">
      <c r="A1165" s="74" t="s">
        <v>10</v>
      </c>
      <c r="B1165" s="74" t="s">
        <v>1330</v>
      </c>
      <c r="C1165" s="74" t="s">
        <v>129</v>
      </c>
      <c r="D1165" s="74">
        <v>5579232372</v>
      </c>
      <c r="E1165" s="74">
        <v>33834</v>
      </c>
      <c r="F1165" s="94">
        <v>844</v>
      </c>
      <c r="G1165" s="75">
        <v>46101</v>
      </c>
    </row>
    <row r="1166" spans="1:7" s="74" customFormat="1" hidden="1" x14ac:dyDescent="0.3">
      <c r="A1166" s="44" t="s">
        <v>10</v>
      </c>
      <c r="B1166" s="44" t="s">
        <v>1330</v>
      </c>
      <c r="C1166" s="44" t="s">
        <v>129</v>
      </c>
      <c r="D1166" s="44">
        <v>5579232372</v>
      </c>
      <c r="E1166" s="44">
        <v>188200</v>
      </c>
      <c r="F1166" s="87">
        <v>655.44</v>
      </c>
      <c r="G1166" s="46">
        <v>46101</v>
      </c>
    </row>
    <row r="1167" spans="1:7" hidden="1" x14ac:dyDescent="0.3">
      <c r="A1167" s="44" t="s">
        <v>10</v>
      </c>
      <c r="B1167" s="44" t="s">
        <v>549</v>
      </c>
      <c r="C1167" s="44" t="str">
        <f>IFERROR(VLOOKUP(B1167,Base2026!A:C,2,FALSE),"")</f>
        <v>BENITO JUAREZ NEZA</v>
      </c>
      <c r="D1167" s="44">
        <f>IFERROR(VLOOKUP(C1167,Base2026!B:D,2,FALSE),"")</f>
        <v>5580885800</v>
      </c>
      <c r="E1167" s="44">
        <v>187877</v>
      </c>
      <c r="F1167" s="87">
        <v>8399.99</v>
      </c>
      <c r="G1167" s="46">
        <v>46101</v>
      </c>
    </row>
    <row r="1168" spans="1:7" s="74" customFormat="1" hidden="1" x14ac:dyDescent="0.3">
      <c r="A1168" s="74" t="s">
        <v>11</v>
      </c>
      <c r="B1168" s="74" t="s">
        <v>271</v>
      </c>
      <c r="C1168" s="74" t="str">
        <f>IFERROR(VLOOKUP(B1168,Base2026!A:C,2,FALSE),"")</f>
        <v>POLIGONO 5</v>
      </c>
      <c r="D1168" s="74">
        <f>IFERROR(VLOOKUP(C1168,Base2026!B:D,2,FALSE),"")</f>
        <v>5535892760</v>
      </c>
      <c r="E1168" s="74">
        <v>187910</v>
      </c>
      <c r="F1168" s="94">
        <v>4994.99</v>
      </c>
      <c r="G1168" s="75">
        <v>46101</v>
      </c>
    </row>
    <row r="1169" spans="1:7" hidden="1" x14ac:dyDescent="0.3">
      <c r="A1169" s="44" t="s">
        <v>11</v>
      </c>
      <c r="B1169" s="44" t="s">
        <v>1325</v>
      </c>
      <c r="C1169" s="44" t="s">
        <v>43</v>
      </c>
      <c r="D1169" s="44">
        <v>5544844808</v>
      </c>
      <c r="E1169" s="44">
        <v>300475</v>
      </c>
      <c r="F1169" s="87">
        <v>1809</v>
      </c>
      <c r="G1169" s="46">
        <v>46101</v>
      </c>
    </row>
    <row r="1170" spans="1:7" s="74" customFormat="1" hidden="1" x14ac:dyDescent="0.3">
      <c r="A1170" s="44" t="s">
        <v>11</v>
      </c>
      <c r="B1170" s="44" t="s">
        <v>1323</v>
      </c>
      <c r="C1170" s="44" t="s">
        <v>1324</v>
      </c>
      <c r="D1170" s="44">
        <v>5544995710</v>
      </c>
      <c r="E1170" s="44">
        <v>353762</v>
      </c>
      <c r="F1170" s="87">
        <v>22335</v>
      </c>
      <c r="G1170" s="46">
        <v>46101</v>
      </c>
    </row>
    <row r="1171" spans="1:7" hidden="1" x14ac:dyDescent="0.3">
      <c r="A1171" s="74" t="s">
        <v>11</v>
      </c>
      <c r="B1171" s="74" t="s">
        <v>610</v>
      </c>
      <c r="C1171" s="74" t="str">
        <f>IFERROR(VLOOKUP(B1171,Base2026!A:C,2,FALSE),"")</f>
        <v>SAN PABLO TEXCOCO</v>
      </c>
      <c r="D1171" s="74">
        <f>IFERROR(VLOOKUP(C1171,Base2026!B:D,2,FALSE),"")</f>
        <v>5582860407</v>
      </c>
      <c r="E1171" s="74">
        <v>300114</v>
      </c>
      <c r="F1171" s="94">
        <v>4719.32</v>
      </c>
      <c r="G1171" s="75">
        <v>46101</v>
      </c>
    </row>
    <row r="1172" spans="1:7" s="74" customFormat="1" hidden="1" x14ac:dyDescent="0.3">
      <c r="A1172" s="44" t="s">
        <v>11</v>
      </c>
      <c r="B1172" s="44" t="s">
        <v>325</v>
      </c>
      <c r="C1172" s="44" t="s">
        <v>130</v>
      </c>
      <c r="D1172" s="44">
        <f>IFERROR(VLOOKUP(C1172,Base2026!B:D,2,FALSE),"")</f>
        <v>5613869199</v>
      </c>
      <c r="E1172" s="44">
        <v>188069</v>
      </c>
      <c r="F1172" s="87">
        <v>13033.98</v>
      </c>
      <c r="G1172" s="46">
        <v>46101</v>
      </c>
    </row>
    <row r="1173" spans="1:7" hidden="1" x14ac:dyDescent="0.3">
      <c r="A1173" s="74" t="s">
        <v>11</v>
      </c>
      <c r="B1173" s="74" t="s">
        <v>325</v>
      </c>
      <c r="C1173" s="74" t="s">
        <v>130</v>
      </c>
      <c r="D1173" s="74">
        <f>IFERROR(VLOOKUP(C1173,Base2026!B:D,2,FALSE),"")</f>
        <v>5613869199</v>
      </c>
      <c r="E1173" s="74">
        <v>188070</v>
      </c>
      <c r="F1173" s="94">
        <v>2492.9899999999998</v>
      </c>
      <c r="G1173" s="75">
        <v>46101</v>
      </c>
    </row>
    <row r="1174" spans="1:7" s="48" customFormat="1" hidden="1" x14ac:dyDescent="0.3">
      <c r="A1174" s="48" t="s">
        <v>47</v>
      </c>
      <c r="B1174" s="48" t="s">
        <v>1337</v>
      </c>
      <c r="C1174" s="48" t="s">
        <v>1338</v>
      </c>
      <c r="D1174" s="48">
        <v>5659164290</v>
      </c>
      <c r="E1174" s="48">
        <v>187703</v>
      </c>
      <c r="F1174" s="88">
        <v>3730</v>
      </c>
      <c r="G1174" s="50">
        <v>46102</v>
      </c>
    </row>
    <row r="1175" spans="1:7" hidden="1" x14ac:dyDescent="0.3">
      <c r="A1175" s="44" t="s">
        <v>10</v>
      </c>
      <c r="B1175" s="44" t="s">
        <v>1302</v>
      </c>
      <c r="C1175" s="44" t="s">
        <v>60</v>
      </c>
      <c r="D1175" s="44">
        <v>5535152510</v>
      </c>
      <c r="E1175" s="44">
        <v>188049</v>
      </c>
      <c r="F1175" s="87">
        <v>3912</v>
      </c>
      <c r="G1175" s="46">
        <v>46102</v>
      </c>
    </row>
    <row r="1176" spans="1:7" s="48" customFormat="1" hidden="1" x14ac:dyDescent="0.3">
      <c r="A1176" s="44" t="s">
        <v>10</v>
      </c>
      <c r="B1176" s="44" t="s">
        <v>1342</v>
      </c>
      <c r="C1176" s="44" t="s">
        <v>28</v>
      </c>
      <c r="D1176" s="44">
        <v>5537296784</v>
      </c>
      <c r="E1176" s="44">
        <v>187571</v>
      </c>
      <c r="F1176" s="87">
        <v>8205.7199999999993</v>
      </c>
      <c r="G1176" s="46">
        <v>46102</v>
      </c>
    </row>
    <row r="1177" spans="1:7" hidden="1" x14ac:dyDescent="0.3">
      <c r="A1177" s="48" t="s">
        <v>10</v>
      </c>
      <c r="B1177" s="48" t="s">
        <v>1342</v>
      </c>
      <c r="C1177" s="48" t="s">
        <v>28</v>
      </c>
      <c r="D1177" s="48">
        <v>5537296784</v>
      </c>
      <c r="E1177" s="48">
        <v>33814</v>
      </c>
      <c r="F1177" s="88">
        <v>240</v>
      </c>
      <c r="G1177" s="50">
        <v>46102</v>
      </c>
    </row>
    <row r="1178" spans="1:7" s="48" customFormat="1" hidden="1" x14ac:dyDescent="0.3">
      <c r="A1178" s="48" t="s">
        <v>10</v>
      </c>
      <c r="B1178" s="48" t="s">
        <v>1331</v>
      </c>
      <c r="C1178" s="48" t="s">
        <v>237</v>
      </c>
      <c r="D1178" s="48">
        <v>5551182147</v>
      </c>
      <c r="E1178" s="48">
        <v>33637</v>
      </c>
      <c r="F1178" s="88">
        <v>538</v>
      </c>
      <c r="G1178" s="50">
        <v>46102</v>
      </c>
    </row>
    <row r="1179" spans="1:7" hidden="1" x14ac:dyDescent="0.3">
      <c r="A1179" s="44" t="s">
        <v>10</v>
      </c>
      <c r="B1179" s="44" t="s">
        <v>233</v>
      </c>
      <c r="C1179" s="44" t="s">
        <v>103</v>
      </c>
      <c r="D1179" s="44">
        <v>5586772887</v>
      </c>
      <c r="E1179" s="44">
        <v>187841</v>
      </c>
      <c r="F1179" s="87">
        <v>13456.05</v>
      </c>
      <c r="G1179" s="46">
        <v>46102</v>
      </c>
    </row>
    <row r="1180" spans="1:7" s="48" customFormat="1" hidden="1" x14ac:dyDescent="0.3">
      <c r="A1180" s="48" t="s">
        <v>10</v>
      </c>
      <c r="B1180" s="48" t="s">
        <v>233</v>
      </c>
      <c r="C1180" s="48" t="s">
        <v>103</v>
      </c>
      <c r="D1180" s="48">
        <v>5586772887</v>
      </c>
      <c r="E1180" s="48">
        <v>33786</v>
      </c>
      <c r="F1180" s="88">
        <v>5028</v>
      </c>
      <c r="G1180" s="50">
        <v>46102</v>
      </c>
    </row>
    <row r="1181" spans="1:7" hidden="1" x14ac:dyDescent="0.3">
      <c r="A1181" s="44" t="s">
        <v>17</v>
      </c>
      <c r="B1181" s="44" t="s">
        <v>1339</v>
      </c>
      <c r="C1181" s="44" t="s">
        <v>712</v>
      </c>
      <c r="D1181" s="44">
        <v>5514368855</v>
      </c>
      <c r="E1181" s="44">
        <v>187630</v>
      </c>
      <c r="F1181" s="87">
        <v>18228.990000000002</v>
      </c>
      <c r="G1181" s="46">
        <v>46102</v>
      </c>
    </row>
    <row r="1182" spans="1:7" s="48" customFormat="1" hidden="1" x14ac:dyDescent="0.3">
      <c r="A1182" s="48" t="s">
        <v>17</v>
      </c>
      <c r="B1182" s="48" t="s">
        <v>1340</v>
      </c>
      <c r="C1182" s="48" t="s">
        <v>113</v>
      </c>
      <c r="D1182" s="48">
        <v>5520407415</v>
      </c>
      <c r="E1182" s="48">
        <v>188035</v>
      </c>
      <c r="F1182" s="88">
        <v>5198</v>
      </c>
      <c r="G1182" s="50">
        <v>46102</v>
      </c>
    </row>
    <row r="1183" spans="1:7" hidden="1" x14ac:dyDescent="0.3">
      <c r="A1183" s="44" t="s">
        <v>17</v>
      </c>
      <c r="B1183" s="44" t="s">
        <v>1068</v>
      </c>
      <c r="C1183" s="44" t="s">
        <v>192</v>
      </c>
      <c r="D1183" s="44">
        <v>5576244653</v>
      </c>
      <c r="E1183" s="44">
        <v>299928</v>
      </c>
      <c r="F1183" s="87">
        <v>21413.02</v>
      </c>
      <c r="G1183" s="46">
        <v>46102</v>
      </c>
    </row>
    <row r="1184" spans="1:7" s="48" customFormat="1" hidden="1" x14ac:dyDescent="0.3">
      <c r="A1184" s="44" t="s">
        <v>11</v>
      </c>
      <c r="B1184" s="44" t="s">
        <v>1206</v>
      </c>
      <c r="C1184" s="44" t="s">
        <v>747</v>
      </c>
      <c r="D1184" s="44">
        <v>4461381662</v>
      </c>
      <c r="E1184" s="44">
        <v>188287</v>
      </c>
      <c r="F1184" s="87">
        <v>1300</v>
      </c>
      <c r="G1184" s="46">
        <v>46102</v>
      </c>
    </row>
    <row r="1185" spans="1:7" hidden="1" x14ac:dyDescent="0.3">
      <c r="A1185" s="44" t="s">
        <v>11</v>
      </c>
      <c r="B1185" s="44" t="s">
        <v>1345</v>
      </c>
      <c r="C1185" s="44" t="s">
        <v>425</v>
      </c>
      <c r="D1185" s="44">
        <v>5535223671</v>
      </c>
      <c r="E1185" s="44">
        <v>300217</v>
      </c>
      <c r="F1185" s="87">
        <v>9324.92</v>
      </c>
      <c r="G1185" s="46">
        <v>46102</v>
      </c>
    </row>
    <row r="1186" spans="1:7" s="48" customFormat="1" hidden="1" x14ac:dyDescent="0.3">
      <c r="A1186" s="48" t="s">
        <v>11</v>
      </c>
      <c r="B1186" s="48" t="s">
        <v>534</v>
      </c>
      <c r="C1186" s="48" t="str">
        <f>IFERROR(VLOOKUP(B1186,Base2026!A:C,2,FALSE),"")</f>
        <v>CD AZTECA</v>
      </c>
      <c r="D1186" s="48">
        <v>5544889671</v>
      </c>
      <c r="E1186" s="48">
        <v>353745</v>
      </c>
      <c r="F1186" s="88">
        <v>1200</v>
      </c>
      <c r="G1186" s="50">
        <v>46102</v>
      </c>
    </row>
    <row r="1187" spans="1:7" hidden="1" x14ac:dyDescent="0.3">
      <c r="A1187" s="48" t="s">
        <v>11</v>
      </c>
      <c r="B1187" s="48" t="s">
        <v>1346</v>
      </c>
      <c r="C1187" s="48" t="s">
        <v>63</v>
      </c>
      <c r="D1187" s="48">
        <v>5621367001</v>
      </c>
      <c r="E1187" s="48">
        <v>188135</v>
      </c>
      <c r="F1187" s="88">
        <v>2575</v>
      </c>
      <c r="G1187" s="50">
        <v>46102</v>
      </c>
    </row>
    <row r="1188" spans="1:7" s="48" customFormat="1" hidden="1" x14ac:dyDescent="0.3">
      <c r="A1188" s="48" t="s">
        <v>11</v>
      </c>
      <c r="B1188" s="48" t="s">
        <v>1343</v>
      </c>
      <c r="C1188" s="48" t="s">
        <v>1344</v>
      </c>
      <c r="D1188" s="48">
        <v>5634784817</v>
      </c>
      <c r="E1188" s="48">
        <v>352974</v>
      </c>
      <c r="F1188" s="88">
        <v>3036.02</v>
      </c>
      <c r="G1188" s="50">
        <v>46102</v>
      </c>
    </row>
    <row r="1189" spans="1:7" hidden="1" x14ac:dyDescent="0.3">
      <c r="A1189" s="42" t="s">
        <v>47</v>
      </c>
      <c r="B1189" s="42" t="s">
        <v>1333</v>
      </c>
      <c r="C1189" s="42" t="s">
        <v>1334</v>
      </c>
      <c r="D1189" s="42">
        <v>5536645595</v>
      </c>
      <c r="E1189" s="42">
        <v>188007</v>
      </c>
      <c r="F1189" s="86">
        <v>6906.68</v>
      </c>
      <c r="G1189" s="43">
        <v>46104</v>
      </c>
    </row>
    <row r="1190" spans="1:7" s="42" customFormat="1" hidden="1" x14ac:dyDescent="0.3">
      <c r="A1190" s="44" t="s">
        <v>47</v>
      </c>
      <c r="B1190" s="44" t="s">
        <v>1332</v>
      </c>
      <c r="C1190" s="44" t="s">
        <v>806</v>
      </c>
      <c r="D1190" s="44">
        <v>5536687966</v>
      </c>
      <c r="E1190" s="44">
        <v>353523</v>
      </c>
      <c r="F1190" s="87">
        <v>6948.72</v>
      </c>
      <c r="G1190" s="46">
        <v>46104</v>
      </c>
    </row>
    <row r="1191" spans="1:7" hidden="1" x14ac:dyDescent="0.3">
      <c r="A1191" s="42" t="s">
        <v>47</v>
      </c>
      <c r="B1191" s="42" t="s">
        <v>1335</v>
      </c>
      <c r="C1191" s="42" t="s">
        <v>1336</v>
      </c>
      <c r="D1191" s="42">
        <v>5537333892</v>
      </c>
      <c r="E1191" s="42">
        <v>188010</v>
      </c>
      <c r="F1191" s="86">
        <v>7166.04</v>
      </c>
      <c r="G1191" s="43">
        <v>46104</v>
      </c>
    </row>
    <row r="1192" spans="1:7" s="42" customFormat="1" hidden="1" x14ac:dyDescent="0.3">
      <c r="A1192" s="44" t="s">
        <v>47</v>
      </c>
      <c r="B1192" s="44" t="s">
        <v>120</v>
      </c>
      <c r="C1192" s="44" t="str">
        <f>IFERROR(VLOOKUP(B1192,Base2026!A:C,2,FALSE),"")</f>
        <v>URBANA IXHUATEPEC</v>
      </c>
      <c r="D1192" s="44">
        <f>IFERROR(VLOOKUP(C1192,Base2026!B:D,2,FALSE),"")</f>
        <v>5545758293</v>
      </c>
      <c r="E1192" s="44">
        <v>188002</v>
      </c>
      <c r="F1192" s="87">
        <v>7527.72</v>
      </c>
      <c r="G1192" s="46">
        <v>46104</v>
      </c>
    </row>
    <row r="1193" spans="1:7" hidden="1" x14ac:dyDescent="0.3">
      <c r="A1193" s="44" t="s">
        <v>47</v>
      </c>
      <c r="B1193" s="44" t="s">
        <v>1348</v>
      </c>
      <c r="C1193" s="44" t="s">
        <v>41</v>
      </c>
      <c r="D1193" s="44">
        <v>5585614036</v>
      </c>
      <c r="E1193" s="44">
        <v>353871</v>
      </c>
      <c r="F1193" s="87">
        <v>2081.04</v>
      </c>
      <c r="G1193" s="46">
        <v>46104</v>
      </c>
    </row>
    <row r="1194" spans="1:7" s="42" customFormat="1" hidden="1" x14ac:dyDescent="0.3">
      <c r="A1194" s="44" t="s">
        <v>10</v>
      </c>
      <c r="B1194" s="44" t="s">
        <v>1075</v>
      </c>
      <c r="C1194" s="44" t="s">
        <v>1351</v>
      </c>
      <c r="D1194" s="44">
        <v>5523485692</v>
      </c>
      <c r="E1194" s="44">
        <v>353964</v>
      </c>
      <c r="F1194" s="87">
        <v>595</v>
      </c>
      <c r="G1194" s="46">
        <v>46104</v>
      </c>
    </row>
    <row r="1195" spans="1:7" hidden="1" x14ac:dyDescent="0.3">
      <c r="A1195" s="42" t="s">
        <v>10</v>
      </c>
      <c r="B1195" s="42" t="s">
        <v>966</v>
      </c>
      <c r="C1195" s="42" t="s">
        <v>204</v>
      </c>
      <c r="D1195" s="42">
        <v>5530722512</v>
      </c>
      <c r="E1195" s="42">
        <v>300482</v>
      </c>
      <c r="F1195" s="86">
        <v>3618</v>
      </c>
      <c r="G1195" s="43">
        <v>46104</v>
      </c>
    </row>
    <row r="1196" spans="1:7" s="42" customFormat="1" hidden="1" x14ac:dyDescent="0.3">
      <c r="A1196" s="44" t="s">
        <v>17</v>
      </c>
      <c r="B1196" s="44" t="s">
        <v>1865</v>
      </c>
      <c r="C1196" s="44" t="s">
        <v>1866</v>
      </c>
      <c r="D1196" s="44">
        <v>5536791358</v>
      </c>
      <c r="E1196" s="44">
        <v>304023</v>
      </c>
      <c r="F1196" s="87">
        <v>13325</v>
      </c>
      <c r="G1196" s="46">
        <v>46162</v>
      </c>
    </row>
    <row r="1197" spans="1:7" hidden="1" x14ac:dyDescent="0.3">
      <c r="A1197" s="42" t="s">
        <v>10</v>
      </c>
      <c r="B1197" s="42" t="s">
        <v>1350</v>
      </c>
      <c r="C1197" s="42" t="s">
        <v>113</v>
      </c>
      <c r="D1197" s="42">
        <v>5584844791</v>
      </c>
      <c r="E1197" s="42">
        <v>188718</v>
      </c>
      <c r="F1197" s="86">
        <v>9705</v>
      </c>
      <c r="G1197" s="43">
        <v>46104</v>
      </c>
    </row>
    <row r="1198" spans="1:7" s="42" customFormat="1" hidden="1" x14ac:dyDescent="0.3">
      <c r="A1198" s="44" t="s">
        <v>17</v>
      </c>
      <c r="B1198" s="44" t="s">
        <v>310</v>
      </c>
      <c r="C1198" s="44" t="str">
        <f>IFERROR(VLOOKUP(B1198,Base2026!A:C,2,FALSE),"")</f>
        <v>EJIDOS DE SAN CRISTOBAL</v>
      </c>
      <c r="D1198" s="44">
        <v>5525363416</v>
      </c>
      <c r="E1198" s="44">
        <v>353587</v>
      </c>
      <c r="F1198" s="87">
        <v>9247.99</v>
      </c>
      <c r="G1198" s="46">
        <v>46104</v>
      </c>
    </row>
    <row r="1199" spans="1:7" hidden="1" x14ac:dyDescent="0.3">
      <c r="A1199" s="42" t="s">
        <v>17</v>
      </c>
      <c r="B1199" s="42" t="s">
        <v>310</v>
      </c>
      <c r="C1199" s="42" t="str">
        <f>IFERROR(VLOOKUP(B1199,Base2026!A:C,2,FALSE),"")</f>
        <v>EJIDOS DE SAN CRISTOBAL</v>
      </c>
      <c r="D1199" s="42">
        <v>5525363416</v>
      </c>
      <c r="E1199" s="42">
        <v>301955</v>
      </c>
      <c r="F1199" s="86">
        <v>1020</v>
      </c>
      <c r="G1199" s="43">
        <v>46104</v>
      </c>
    </row>
    <row r="1200" spans="1:7" s="42" customFormat="1" hidden="1" x14ac:dyDescent="0.3">
      <c r="A1200" s="44" t="s">
        <v>17</v>
      </c>
      <c r="B1200" s="44" t="s">
        <v>310</v>
      </c>
      <c r="C1200" s="44" t="str">
        <f>IFERROR(VLOOKUP(B1200,Base2026!A:C,2,FALSE),"")</f>
        <v>EJIDOS DE SAN CRISTOBAL</v>
      </c>
      <c r="D1200" s="44">
        <v>5525363416</v>
      </c>
      <c r="E1200" s="44">
        <v>353706</v>
      </c>
      <c r="F1200" s="87">
        <v>5664</v>
      </c>
      <c r="G1200" s="46">
        <v>46104</v>
      </c>
    </row>
    <row r="1201" spans="1:7" hidden="1" x14ac:dyDescent="0.3">
      <c r="A1201" s="42" t="s">
        <v>17</v>
      </c>
      <c r="B1201" s="42" t="s">
        <v>310</v>
      </c>
      <c r="C1201" s="42" t="str">
        <f>IFERROR(VLOOKUP(B1201,Base2026!A:C,2,FALSE),"")</f>
        <v>EJIDOS DE SAN CRISTOBAL</v>
      </c>
      <c r="D1201" s="42">
        <v>5525363416</v>
      </c>
      <c r="E1201" s="42">
        <v>301932</v>
      </c>
      <c r="F1201" s="86">
        <v>1586</v>
      </c>
      <c r="G1201" s="43">
        <v>46104</v>
      </c>
    </row>
    <row r="1202" spans="1:7" s="42" customFormat="1" hidden="1" x14ac:dyDescent="0.3">
      <c r="A1202" s="44" t="s">
        <v>17</v>
      </c>
      <c r="B1202" s="44" t="s">
        <v>1347</v>
      </c>
      <c r="C1202" s="44" t="s">
        <v>514</v>
      </c>
      <c r="D1202" s="44">
        <v>5530147366</v>
      </c>
      <c r="E1202" s="44">
        <v>353221</v>
      </c>
      <c r="F1202" s="87">
        <v>7877.83</v>
      </c>
      <c r="G1202" s="46">
        <v>46104</v>
      </c>
    </row>
    <row r="1203" spans="1:7" hidden="1" x14ac:dyDescent="0.3">
      <c r="A1203" s="42" t="s">
        <v>17</v>
      </c>
      <c r="B1203" s="42" t="s">
        <v>1347</v>
      </c>
      <c r="C1203" s="42" t="s">
        <v>514</v>
      </c>
      <c r="D1203" s="42">
        <v>5530147366</v>
      </c>
      <c r="E1203" s="42">
        <v>353220</v>
      </c>
      <c r="F1203" s="86">
        <v>500</v>
      </c>
      <c r="G1203" s="43">
        <v>46104</v>
      </c>
    </row>
    <row r="1204" spans="1:7" s="42" customFormat="1" hidden="1" x14ac:dyDescent="0.3">
      <c r="A1204" s="44" t="s">
        <v>17</v>
      </c>
      <c r="B1204" s="44" t="s">
        <v>398</v>
      </c>
      <c r="C1204" s="44" t="str">
        <f>IFERROR(VLOOKUP(B1204,Base2026!A:C,2,FALSE),"")</f>
        <v>FRANCISCO VILLA</v>
      </c>
      <c r="D1204" s="44">
        <f>IFERROR(VLOOKUP(C1204,Base2026!B:D,2,FALSE),"")</f>
        <v>5535173661</v>
      </c>
      <c r="E1204" s="44">
        <v>188106</v>
      </c>
      <c r="F1204" s="87">
        <v>6336</v>
      </c>
      <c r="G1204" s="46">
        <v>46104</v>
      </c>
    </row>
    <row r="1205" spans="1:7" hidden="1" x14ac:dyDescent="0.3">
      <c r="A1205" s="42" t="s">
        <v>17</v>
      </c>
      <c r="B1205" s="42" t="s">
        <v>249</v>
      </c>
      <c r="C1205" s="42" t="str">
        <f>IFERROR(VLOOKUP(B1205,Base2026!A:C,2,FALSE),"")</f>
        <v>TONATITLA</v>
      </c>
      <c r="D1205" s="42">
        <f>IFERROR(VLOOKUP(C1204,Base2026!B:D,2,FALSE),"")</f>
        <v>5535173661</v>
      </c>
      <c r="E1205" s="42">
        <v>187890</v>
      </c>
      <c r="F1205" s="86">
        <v>7883.99</v>
      </c>
      <c r="G1205" s="43">
        <v>46104</v>
      </c>
    </row>
    <row r="1206" spans="1:7" s="42" customFormat="1" hidden="1" x14ac:dyDescent="0.3">
      <c r="A1206" s="44" t="s">
        <v>17</v>
      </c>
      <c r="B1206" s="44" t="s">
        <v>249</v>
      </c>
      <c r="C1206" s="44" t="str">
        <f>IFERROR(VLOOKUP(B1206,Base2026!A:C,2,FALSE),"")</f>
        <v>TONATITLA</v>
      </c>
      <c r="D1206" s="44">
        <f>IFERROR(VLOOKUP(C1205,Base2026!B:D,2,FALSE),"")</f>
        <v>5535334019</v>
      </c>
      <c r="E1206" s="44">
        <v>187891</v>
      </c>
      <c r="F1206" s="87">
        <v>400</v>
      </c>
      <c r="G1206" s="46">
        <v>46104</v>
      </c>
    </row>
    <row r="1207" spans="1:7" hidden="1" x14ac:dyDescent="0.3">
      <c r="A1207" s="42" t="s">
        <v>17</v>
      </c>
      <c r="B1207" s="42" t="s">
        <v>249</v>
      </c>
      <c r="C1207" s="42" t="str">
        <f>IFERROR(VLOOKUP(B1207,Base2026!A:C,2,FALSE),"")</f>
        <v>TONATITLA</v>
      </c>
      <c r="D1207" s="42">
        <f>IFERROR(VLOOKUP(C1206,Base2026!B:D,2,FALSE),"")</f>
        <v>5535334019</v>
      </c>
      <c r="E1207" s="42">
        <v>33795</v>
      </c>
      <c r="F1207" s="86">
        <v>1834</v>
      </c>
      <c r="G1207" s="43">
        <v>46104</v>
      </c>
    </row>
    <row r="1208" spans="1:7" s="42" customFormat="1" hidden="1" x14ac:dyDescent="0.3">
      <c r="A1208" s="42" t="s">
        <v>11</v>
      </c>
      <c r="B1208" s="42" t="s">
        <v>271</v>
      </c>
      <c r="C1208" s="42" t="str">
        <f>IFERROR(VLOOKUP(B1208,Base2026!A:C,2,FALSE),"")</f>
        <v>POLIGONO 5</v>
      </c>
      <c r="D1208" s="42">
        <f>IFERROR(VLOOKUP(C1208,Base2026!B:D,2,FALSE),"")</f>
        <v>5535892760</v>
      </c>
      <c r="E1208" s="42">
        <v>187910</v>
      </c>
      <c r="F1208" s="86">
        <v>4494.99</v>
      </c>
      <c r="G1208" s="43">
        <v>46104</v>
      </c>
    </row>
    <row r="1209" spans="1:7" hidden="1" x14ac:dyDescent="0.3">
      <c r="A1209" s="44" t="s">
        <v>11</v>
      </c>
      <c r="B1209" s="44" t="s">
        <v>1349</v>
      </c>
      <c r="C1209" s="44" t="s">
        <v>84</v>
      </c>
      <c r="D1209" s="44">
        <v>5557902411</v>
      </c>
      <c r="E1209" s="44">
        <v>188716</v>
      </c>
      <c r="F1209" s="87">
        <v>650</v>
      </c>
      <c r="G1209" s="46">
        <v>46104</v>
      </c>
    </row>
    <row r="1210" spans="1:7" s="42" customFormat="1" hidden="1" x14ac:dyDescent="0.3">
      <c r="A1210" s="42" t="s">
        <v>11</v>
      </c>
      <c r="B1210" s="42" t="s">
        <v>1349</v>
      </c>
      <c r="C1210" s="42" t="s">
        <v>84</v>
      </c>
      <c r="D1210" s="42">
        <v>5557902411</v>
      </c>
      <c r="E1210" s="42">
        <v>188716</v>
      </c>
      <c r="F1210" s="86">
        <v>650</v>
      </c>
      <c r="G1210" s="43">
        <v>46104</v>
      </c>
    </row>
    <row r="1211" spans="1:7" hidden="1" x14ac:dyDescent="0.3">
      <c r="A1211" s="44" t="s">
        <v>11</v>
      </c>
      <c r="B1211" s="44" t="s">
        <v>1352</v>
      </c>
      <c r="C1211" s="44" t="s">
        <v>6</v>
      </c>
      <c r="D1211" s="44">
        <v>5572070048</v>
      </c>
      <c r="E1211" s="44">
        <v>188605</v>
      </c>
      <c r="F1211" s="87">
        <v>4694</v>
      </c>
      <c r="G1211" s="46">
        <v>46104</v>
      </c>
    </row>
    <row r="1212" spans="1:7" s="42" customFormat="1" hidden="1" x14ac:dyDescent="0.3">
      <c r="A1212" s="42" t="s">
        <v>11</v>
      </c>
      <c r="B1212" s="42" t="s">
        <v>382</v>
      </c>
      <c r="C1212" s="42" t="s">
        <v>1044</v>
      </c>
      <c r="D1212" s="42">
        <v>5578854795</v>
      </c>
      <c r="E1212" s="42">
        <v>188612</v>
      </c>
      <c r="F1212" s="86">
        <v>16480</v>
      </c>
      <c r="G1212" s="43">
        <v>46104</v>
      </c>
    </row>
    <row r="1213" spans="1:7" hidden="1" x14ac:dyDescent="0.3">
      <c r="A1213" s="44" t="s">
        <v>11</v>
      </c>
      <c r="B1213" s="44" t="s">
        <v>382</v>
      </c>
      <c r="C1213" s="44" t="s">
        <v>1044</v>
      </c>
      <c r="D1213" s="44">
        <v>5578854795</v>
      </c>
      <c r="E1213" s="44">
        <v>188615</v>
      </c>
      <c r="F1213" s="87">
        <v>12540</v>
      </c>
      <c r="G1213" s="46">
        <v>46104</v>
      </c>
    </row>
    <row r="1214" spans="1:7" s="60" customFormat="1" hidden="1" x14ac:dyDescent="0.3">
      <c r="A1214" s="60" t="s">
        <v>47</v>
      </c>
      <c r="B1214" s="60" t="s">
        <v>1365</v>
      </c>
      <c r="C1214" s="60" t="s">
        <v>208</v>
      </c>
      <c r="D1214" s="60">
        <v>3522529819</v>
      </c>
      <c r="E1214" s="60">
        <v>188838</v>
      </c>
      <c r="F1214" s="79">
        <v>1882</v>
      </c>
      <c r="G1214" s="69">
        <v>46105</v>
      </c>
    </row>
    <row r="1215" spans="1:7" hidden="1" x14ac:dyDescent="0.3">
      <c r="A1215" s="44" t="s">
        <v>47</v>
      </c>
      <c r="B1215" s="44" t="s">
        <v>1368</v>
      </c>
      <c r="C1215" s="44" t="s">
        <v>1369</v>
      </c>
      <c r="D1215" s="44">
        <v>5529896715</v>
      </c>
      <c r="E1215" s="44">
        <v>187542</v>
      </c>
      <c r="F1215" s="87">
        <v>11706</v>
      </c>
      <c r="G1215" s="46">
        <v>46105</v>
      </c>
    </row>
    <row r="1216" spans="1:7" s="60" customFormat="1" hidden="1" x14ac:dyDescent="0.3">
      <c r="A1216" s="60" t="s">
        <v>47</v>
      </c>
      <c r="B1216" s="60" t="s">
        <v>1368</v>
      </c>
      <c r="C1216" s="60" t="s">
        <v>1369</v>
      </c>
      <c r="D1216" s="60">
        <v>5529896715</v>
      </c>
      <c r="E1216" s="60">
        <v>33732</v>
      </c>
      <c r="F1216" s="79">
        <v>996</v>
      </c>
      <c r="G1216" s="69">
        <v>46105</v>
      </c>
    </row>
    <row r="1217" spans="1:7" hidden="1" x14ac:dyDescent="0.3">
      <c r="A1217" s="60" t="s">
        <v>47</v>
      </c>
      <c r="B1217" s="60" t="s">
        <v>1367</v>
      </c>
      <c r="C1217" s="60" t="s">
        <v>117</v>
      </c>
      <c r="D1217" s="60">
        <v>5536692880</v>
      </c>
      <c r="E1217" s="60">
        <v>300126</v>
      </c>
      <c r="F1217" s="79">
        <v>550</v>
      </c>
      <c r="G1217" s="69">
        <v>46105</v>
      </c>
    </row>
    <row r="1218" spans="1:7" s="60" customFormat="1" hidden="1" x14ac:dyDescent="0.3">
      <c r="A1218" s="60" t="s">
        <v>47</v>
      </c>
      <c r="B1218" s="60" t="s">
        <v>1372</v>
      </c>
      <c r="C1218" s="60" t="s">
        <v>1373</v>
      </c>
      <c r="D1218" s="60">
        <v>5539486141</v>
      </c>
      <c r="E1218" s="60">
        <v>300216</v>
      </c>
      <c r="F1218" s="79">
        <v>11360.99</v>
      </c>
      <c r="G1218" s="69">
        <v>46105</v>
      </c>
    </row>
    <row r="1219" spans="1:7" hidden="1" x14ac:dyDescent="0.3">
      <c r="A1219" s="44" t="s">
        <v>47</v>
      </c>
      <c r="B1219" s="44" t="s">
        <v>1372</v>
      </c>
      <c r="C1219" s="44" t="s">
        <v>1373</v>
      </c>
      <c r="D1219" s="44">
        <v>5539486141</v>
      </c>
      <c r="E1219" s="44">
        <v>33791</v>
      </c>
      <c r="F1219" s="87">
        <v>872</v>
      </c>
      <c r="G1219" s="46">
        <v>46105</v>
      </c>
    </row>
    <row r="1220" spans="1:7" s="60" customFormat="1" hidden="1" x14ac:dyDescent="0.3">
      <c r="A1220" s="44" t="s">
        <v>47</v>
      </c>
      <c r="B1220" s="44" t="s">
        <v>1370</v>
      </c>
      <c r="C1220" s="44" t="s">
        <v>1371</v>
      </c>
      <c r="D1220" s="44">
        <v>5546861866</v>
      </c>
      <c r="E1220" s="44">
        <v>354063</v>
      </c>
      <c r="F1220" s="87">
        <v>4475</v>
      </c>
      <c r="G1220" s="46">
        <v>46105</v>
      </c>
    </row>
    <row r="1221" spans="1:7" hidden="1" x14ac:dyDescent="0.3">
      <c r="A1221" s="44" t="s">
        <v>47</v>
      </c>
      <c r="B1221" s="44" t="s">
        <v>1364</v>
      </c>
      <c r="C1221" s="44" t="s">
        <v>82</v>
      </c>
      <c r="D1221" s="44">
        <v>5560802433</v>
      </c>
      <c r="E1221" s="44">
        <v>188045</v>
      </c>
      <c r="F1221" s="87">
        <v>2848.68</v>
      </c>
      <c r="G1221" s="46">
        <v>46105</v>
      </c>
    </row>
    <row r="1222" spans="1:7" s="60" customFormat="1" hidden="1" x14ac:dyDescent="0.3">
      <c r="A1222" s="44" t="s">
        <v>47</v>
      </c>
      <c r="B1222" s="44" t="s">
        <v>1366</v>
      </c>
      <c r="C1222" s="44" t="s">
        <v>74</v>
      </c>
      <c r="D1222" s="44">
        <v>5631005965</v>
      </c>
      <c r="E1222" s="44">
        <v>300750</v>
      </c>
      <c r="F1222" s="87">
        <v>9693</v>
      </c>
      <c r="G1222" s="46">
        <v>46105</v>
      </c>
    </row>
    <row r="1223" spans="1:7" hidden="1" x14ac:dyDescent="0.3">
      <c r="A1223" s="60" t="s">
        <v>10</v>
      </c>
      <c r="B1223" s="60" t="s">
        <v>8</v>
      </c>
      <c r="C1223" s="60" t="s">
        <v>9</v>
      </c>
      <c r="D1223" s="60">
        <v>3223271287</v>
      </c>
      <c r="E1223" s="60">
        <v>354044</v>
      </c>
      <c r="F1223" s="79">
        <v>10809.98</v>
      </c>
      <c r="G1223" s="69">
        <v>46105</v>
      </c>
    </row>
    <row r="1224" spans="1:7" s="60" customFormat="1" hidden="1" x14ac:dyDescent="0.3">
      <c r="A1224" s="44" t="s">
        <v>10</v>
      </c>
      <c r="B1224" s="44" t="s">
        <v>1363</v>
      </c>
      <c r="C1224" s="44" t="s">
        <v>425</v>
      </c>
      <c r="D1224" s="44">
        <v>5518528272</v>
      </c>
      <c r="E1224" s="44">
        <v>353457</v>
      </c>
      <c r="F1224" s="87">
        <v>15372</v>
      </c>
      <c r="G1224" s="46">
        <v>46105</v>
      </c>
    </row>
    <row r="1225" spans="1:7" hidden="1" x14ac:dyDescent="0.3">
      <c r="A1225" s="60" t="s">
        <v>10</v>
      </c>
      <c r="B1225" s="60" t="s">
        <v>1363</v>
      </c>
      <c r="C1225" s="60" t="s">
        <v>425</v>
      </c>
      <c r="D1225" s="60">
        <v>5518528272</v>
      </c>
      <c r="E1225" s="60">
        <v>301913</v>
      </c>
      <c r="F1225" s="79">
        <v>1966</v>
      </c>
      <c r="G1225" s="69">
        <v>46105</v>
      </c>
    </row>
    <row r="1226" spans="1:7" s="60" customFormat="1" hidden="1" x14ac:dyDescent="0.3">
      <c r="A1226" s="60" t="s">
        <v>10</v>
      </c>
      <c r="B1226" s="60" t="s">
        <v>1358</v>
      </c>
      <c r="C1226" s="60" t="s">
        <v>125</v>
      </c>
      <c r="D1226" s="60">
        <v>5537134469</v>
      </c>
      <c r="E1226" s="60">
        <v>187503</v>
      </c>
      <c r="F1226" s="79">
        <v>9435</v>
      </c>
      <c r="G1226" s="69">
        <v>46105</v>
      </c>
    </row>
    <row r="1227" spans="1:7" hidden="1" x14ac:dyDescent="0.3">
      <c r="A1227" s="44" t="s">
        <v>10</v>
      </c>
      <c r="B1227" s="44" t="s">
        <v>1299</v>
      </c>
      <c r="C1227" s="44" t="s">
        <v>336</v>
      </c>
      <c r="D1227" s="44">
        <v>5545758293</v>
      </c>
      <c r="E1227" s="44">
        <v>300516</v>
      </c>
      <c r="F1227" s="87">
        <v>7681.11</v>
      </c>
      <c r="G1227" s="46">
        <v>46105</v>
      </c>
    </row>
    <row r="1228" spans="1:7" s="60" customFormat="1" hidden="1" x14ac:dyDescent="0.3">
      <c r="A1228" s="44" t="s">
        <v>10</v>
      </c>
      <c r="B1228" s="44" t="s">
        <v>1285</v>
      </c>
      <c r="C1228" s="44" t="s">
        <v>336</v>
      </c>
      <c r="D1228" s="44">
        <v>5547402145</v>
      </c>
      <c r="E1228" s="44">
        <v>300180</v>
      </c>
      <c r="F1228" s="87">
        <v>5500</v>
      </c>
      <c r="G1228" s="46">
        <v>46105</v>
      </c>
    </row>
    <row r="1229" spans="1:7" hidden="1" x14ac:dyDescent="0.3">
      <c r="A1229" s="60" t="s">
        <v>10</v>
      </c>
      <c r="B1229" s="60" t="s">
        <v>813</v>
      </c>
      <c r="C1229" s="60" t="s">
        <v>814</v>
      </c>
      <c r="D1229" s="60">
        <v>5577936861</v>
      </c>
      <c r="E1229" s="60">
        <v>188682</v>
      </c>
      <c r="F1229" s="79">
        <v>400</v>
      </c>
      <c r="G1229" s="69">
        <v>46105</v>
      </c>
    </row>
    <row r="1230" spans="1:7" s="60" customFormat="1" hidden="1" x14ac:dyDescent="0.3">
      <c r="A1230" s="44" t="s">
        <v>10</v>
      </c>
      <c r="B1230" s="44" t="s">
        <v>813</v>
      </c>
      <c r="C1230" s="44" t="s">
        <v>814</v>
      </c>
      <c r="D1230" s="44">
        <v>5577936861</v>
      </c>
      <c r="E1230" s="44">
        <v>353981</v>
      </c>
      <c r="F1230" s="87">
        <v>400</v>
      </c>
      <c r="G1230" s="46">
        <v>46105</v>
      </c>
    </row>
    <row r="1231" spans="1:7" hidden="1" x14ac:dyDescent="0.3">
      <c r="A1231" s="60" t="s">
        <v>10</v>
      </c>
      <c r="B1231" s="60" t="s">
        <v>813</v>
      </c>
      <c r="C1231" s="60" t="s">
        <v>814</v>
      </c>
      <c r="D1231" s="60">
        <v>5577936861</v>
      </c>
      <c r="E1231" s="60">
        <v>33900</v>
      </c>
      <c r="F1231" s="79">
        <v>21</v>
      </c>
      <c r="G1231" s="69">
        <v>46105</v>
      </c>
    </row>
    <row r="1232" spans="1:7" s="60" customFormat="1" hidden="1" x14ac:dyDescent="0.3">
      <c r="A1232" s="44" t="s">
        <v>10</v>
      </c>
      <c r="B1232" s="44" t="s">
        <v>1357</v>
      </c>
      <c r="C1232" s="44" t="s">
        <v>152</v>
      </c>
      <c r="D1232" s="44">
        <v>5624496384</v>
      </c>
      <c r="E1232" s="44">
        <v>354052</v>
      </c>
      <c r="F1232" s="87">
        <v>2220</v>
      </c>
      <c r="G1232" s="46">
        <v>46105</v>
      </c>
    </row>
    <row r="1233" spans="1:7" hidden="1" x14ac:dyDescent="0.3">
      <c r="A1233" s="44" t="s">
        <v>17</v>
      </c>
      <c r="B1233" s="44" t="s">
        <v>66</v>
      </c>
      <c r="C1233" s="44" t="s">
        <v>68</v>
      </c>
      <c r="D1233" s="44">
        <v>5545286813</v>
      </c>
      <c r="E1233" s="44">
        <v>300614</v>
      </c>
      <c r="F1233" s="87">
        <v>1275</v>
      </c>
      <c r="G1233" s="46">
        <v>46105</v>
      </c>
    </row>
    <row r="1234" spans="1:7" s="60" customFormat="1" hidden="1" x14ac:dyDescent="0.3">
      <c r="A1234" s="60" t="s">
        <v>17</v>
      </c>
      <c r="B1234" s="60" t="s">
        <v>1355</v>
      </c>
      <c r="C1234" s="60" t="s">
        <v>465</v>
      </c>
      <c r="D1234" s="60">
        <v>5559307944</v>
      </c>
      <c r="E1234" s="60">
        <v>188356</v>
      </c>
      <c r="F1234" s="79">
        <v>6869.96</v>
      </c>
      <c r="G1234" s="69">
        <v>46105</v>
      </c>
    </row>
    <row r="1235" spans="1:7" hidden="1" x14ac:dyDescent="0.3">
      <c r="A1235" s="60" t="s">
        <v>17</v>
      </c>
      <c r="B1235" s="60" t="s">
        <v>1353</v>
      </c>
      <c r="C1235" s="60" t="s">
        <v>1354</v>
      </c>
      <c r="D1235" s="60">
        <v>5561394940</v>
      </c>
      <c r="E1235" s="60">
        <v>299516</v>
      </c>
      <c r="F1235" s="79">
        <v>1934</v>
      </c>
      <c r="G1235" s="69">
        <v>46105</v>
      </c>
    </row>
    <row r="1236" spans="1:7" s="60" customFormat="1" hidden="1" x14ac:dyDescent="0.3">
      <c r="A1236" s="44" t="s">
        <v>17</v>
      </c>
      <c r="B1236" s="44" t="s">
        <v>1356</v>
      </c>
      <c r="C1236" s="44" t="s">
        <v>204</v>
      </c>
      <c r="D1236" s="44">
        <v>5570265288</v>
      </c>
      <c r="E1236" s="44">
        <v>353505</v>
      </c>
      <c r="F1236" s="87">
        <v>1934</v>
      </c>
      <c r="G1236" s="46">
        <v>46105</v>
      </c>
    </row>
    <row r="1237" spans="1:7" hidden="1" x14ac:dyDescent="0.3">
      <c r="A1237" s="60" t="s">
        <v>17</v>
      </c>
      <c r="B1237" s="60" t="s">
        <v>1356</v>
      </c>
      <c r="C1237" s="60" t="s">
        <v>204</v>
      </c>
      <c r="D1237" s="60">
        <v>5570265288</v>
      </c>
      <c r="E1237" s="60">
        <v>301922</v>
      </c>
      <c r="F1237" s="79">
        <v>76</v>
      </c>
      <c r="G1237" s="69">
        <v>46105</v>
      </c>
    </row>
    <row r="1238" spans="1:7" s="60" customFormat="1" hidden="1" x14ac:dyDescent="0.3">
      <c r="A1238" s="60" t="s">
        <v>17</v>
      </c>
      <c r="B1238" s="60" t="s">
        <v>158</v>
      </c>
      <c r="C1238" s="60" t="s">
        <v>159</v>
      </c>
      <c r="D1238" s="60">
        <v>5570826626</v>
      </c>
      <c r="E1238" s="60">
        <v>300209</v>
      </c>
      <c r="F1238" s="79">
        <v>14403.34</v>
      </c>
      <c r="G1238" s="69">
        <v>46105</v>
      </c>
    </row>
    <row r="1239" spans="1:7" hidden="1" x14ac:dyDescent="0.3">
      <c r="A1239" s="44" t="s">
        <v>17</v>
      </c>
      <c r="B1239" s="44" t="s">
        <v>1350</v>
      </c>
      <c r="C1239" s="44" t="s">
        <v>113</v>
      </c>
      <c r="D1239" s="44">
        <v>5584844791</v>
      </c>
      <c r="E1239" s="44">
        <v>188718</v>
      </c>
      <c r="F1239" s="87">
        <v>9705</v>
      </c>
      <c r="G1239" s="46">
        <v>46105</v>
      </c>
    </row>
    <row r="1240" spans="1:7" s="60" customFormat="1" hidden="1" x14ac:dyDescent="0.3">
      <c r="A1240" s="44" t="s">
        <v>11</v>
      </c>
      <c r="B1240" s="44" t="s">
        <v>1359</v>
      </c>
      <c r="C1240" s="44" t="s">
        <v>637</v>
      </c>
      <c r="D1240" s="44">
        <v>5518743829</v>
      </c>
      <c r="E1240" s="44">
        <v>186808</v>
      </c>
      <c r="F1240" s="87">
        <v>559.28</v>
      </c>
      <c r="G1240" s="46">
        <v>46105</v>
      </c>
    </row>
    <row r="1241" spans="1:7" ht="17.25" hidden="1" customHeight="1" x14ac:dyDescent="0.3">
      <c r="A1241" s="60" t="s">
        <v>11</v>
      </c>
      <c r="B1241" s="60" t="s">
        <v>1359</v>
      </c>
      <c r="C1241" s="60" t="s">
        <v>637</v>
      </c>
      <c r="D1241" s="60">
        <v>5518743829</v>
      </c>
      <c r="E1241" s="60">
        <v>186804</v>
      </c>
      <c r="F1241" s="79">
        <v>6293.6</v>
      </c>
      <c r="G1241" s="69">
        <v>46105</v>
      </c>
    </row>
    <row r="1242" spans="1:7" s="60" customFormat="1" hidden="1" x14ac:dyDescent="0.3">
      <c r="A1242" s="44" t="s">
        <v>11</v>
      </c>
      <c r="B1242" s="44" t="s">
        <v>1360</v>
      </c>
      <c r="C1242" s="44" t="s">
        <v>138</v>
      </c>
      <c r="D1242" s="44">
        <v>5583835529</v>
      </c>
      <c r="E1242" s="44">
        <v>300755</v>
      </c>
      <c r="F1242" s="87">
        <v>15980</v>
      </c>
      <c r="G1242" s="46">
        <v>46105</v>
      </c>
    </row>
    <row r="1243" spans="1:7" hidden="1" x14ac:dyDescent="0.3">
      <c r="A1243" s="60" t="s">
        <v>11</v>
      </c>
      <c r="B1243" s="60" t="s">
        <v>1362</v>
      </c>
      <c r="C1243" s="60" t="s">
        <v>763</v>
      </c>
      <c r="D1243" s="60">
        <v>5611682149</v>
      </c>
      <c r="E1243" s="60">
        <v>300093</v>
      </c>
      <c r="F1243" s="79">
        <v>13560.48</v>
      </c>
      <c r="G1243" s="69">
        <v>46105</v>
      </c>
    </row>
    <row r="1244" spans="1:7" s="60" customFormat="1" hidden="1" x14ac:dyDescent="0.3">
      <c r="A1244" s="60" t="s">
        <v>11</v>
      </c>
      <c r="B1244" s="60" t="s">
        <v>1361</v>
      </c>
      <c r="C1244" s="60" t="s">
        <v>32</v>
      </c>
      <c r="D1244" s="60">
        <v>5618553975</v>
      </c>
      <c r="E1244" s="60">
        <v>188470</v>
      </c>
      <c r="F1244" s="79">
        <v>117</v>
      </c>
      <c r="G1244" s="69">
        <v>46105</v>
      </c>
    </row>
    <row r="1245" spans="1:7" hidden="1" x14ac:dyDescent="0.3">
      <c r="A1245" s="44" t="s">
        <v>11</v>
      </c>
      <c r="B1245" s="44" t="s">
        <v>1361</v>
      </c>
      <c r="C1245" s="44" t="s">
        <v>32</v>
      </c>
      <c r="D1245" s="44">
        <v>5618553975</v>
      </c>
      <c r="E1245" s="44">
        <v>33868</v>
      </c>
      <c r="F1245" s="87">
        <v>111</v>
      </c>
      <c r="G1245" s="46">
        <v>46105</v>
      </c>
    </row>
    <row r="1246" spans="1:7" s="42" customFormat="1" hidden="1" x14ac:dyDescent="0.3">
      <c r="A1246" s="42" t="s">
        <v>47</v>
      </c>
      <c r="B1246" s="42" t="s">
        <v>1385</v>
      </c>
      <c r="C1246" s="42" t="s">
        <v>1386</v>
      </c>
      <c r="D1246" s="42">
        <v>5531894140</v>
      </c>
      <c r="E1246" s="42">
        <v>300403</v>
      </c>
      <c r="F1246" s="86">
        <v>3661.19</v>
      </c>
      <c r="G1246" s="43">
        <v>46106</v>
      </c>
    </row>
    <row r="1247" spans="1:7" hidden="1" x14ac:dyDescent="0.3">
      <c r="A1247" s="44" t="s">
        <v>47</v>
      </c>
      <c r="B1247" s="44" t="s">
        <v>1387</v>
      </c>
      <c r="C1247" s="44" t="s">
        <v>511</v>
      </c>
      <c r="D1247" s="44">
        <f>IFERROR(VLOOKUP(C1247,Base2026!B:D,2,FALSE),"")</f>
        <v>5547956325</v>
      </c>
      <c r="E1247" s="44">
        <v>188528</v>
      </c>
      <c r="F1247" s="87">
        <v>2011</v>
      </c>
      <c r="G1247" s="46">
        <v>46106</v>
      </c>
    </row>
    <row r="1248" spans="1:7" s="42" customFormat="1" hidden="1" x14ac:dyDescent="0.3">
      <c r="A1248" s="42" t="s">
        <v>47</v>
      </c>
      <c r="B1248" s="42" t="s">
        <v>1382</v>
      </c>
      <c r="C1248" s="42" t="s">
        <v>6</v>
      </c>
      <c r="D1248" s="42">
        <v>5566961247</v>
      </c>
      <c r="E1248" s="42">
        <v>189096</v>
      </c>
      <c r="F1248" s="86">
        <v>10768</v>
      </c>
      <c r="G1248" s="43">
        <v>46106</v>
      </c>
    </row>
    <row r="1249" spans="1:7" hidden="1" x14ac:dyDescent="0.3">
      <c r="A1249" s="42" t="s">
        <v>47</v>
      </c>
      <c r="B1249" s="42" t="s">
        <v>1388</v>
      </c>
      <c r="C1249" s="42" t="s">
        <v>60</v>
      </c>
      <c r="D1249" s="42">
        <v>5591983923</v>
      </c>
      <c r="E1249" s="42">
        <v>300842</v>
      </c>
      <c r="F1249" s="86">
        <v>4922</v>
      </c>
      <c r="G1249" s="43">
        <v>46106</v>
      </c>
    </row>
    <row r="1250" spans="1:7" s="42" customFormat="1" hidden="1" x14ac:dyDescent="0.3">
      <c r="A1250" s="44" t="s">
        <v>47</v>
      </c>
      <c r="B1250" s="44" t="s">
        <v>1383</v>
      </c>
      <c r="C1250" s="44" t="s">
        <v>1384</v>
      </c>
      <c r="D1250" s="44">
        <v>7202610189</v>
      </c>
      <c r="E1250" s="44">
        <v>188995</v>
      </c>
      <c r="F1250" s="87">
        <v>2500</v>
      </c>
      <c r="G1250" s="46">
        <v>46106</v>
      </c>
    </row>
    <row r="1251" spans="1:7" hidden="1" x14ac:dyDescent="0.3">
      <c r="A1251" s="44" t="s">
        <v>47</v>
      </c>
      <c r="B1251" s="44" t="s">
        <v>1389</v>
      </c>
      <c r="C1251" s="44" t="s">
        <v>41</v>
      </c>
      <c r="D1251" s="44">
        <v>7297677630</v>
      </c>
      <c r="E1251" s="44">
        <v>189087</v>
      </c>
      <c r="F1251" s="87">
        <v>1562</v>
      </c>
      <c r="G1251" s="46">
        <v>46106</v>
      </c>
    </row>
    <row r="1252" spans="1:7" s="42" customFormat="1" hidden="1" x14ac:dyDescent="0.3">
      <c r="A1252" s="42" t="s">
        <v>10</v>
      </c>
      <c r="B1252" s="42" t="s">
        <v>1391</v>
      </c>
      <c r="C1252" s="42" t="s">
        <v>474</v>
      </c>
      <c r="D1252" s="42">
        <v>5527372432</v>
      </c>
      <c r="E1252" s="42">
        <v>300743</v>
      </c>
      <c r="F1252" s="86">
        <v>7642.08</v>
      </c>
      <c r="G1252" s="43">
        <v>46106</v>
      </c>
    </row>
    <row r="1253" spans="1:7" hidden="1" x14ac:dyDescent="0.3">
      <c r="A1253" s="44" t="s">
        <v>10</v>
      </c>
      <c r="B1253" s="44" t="s">
        <v>1381</v>
      </c>
      <c r="C1253" s="44" t="s">
        <v>167</v>
      </c>
      <c r="D1253" s="44">
        <v>5527684877</v>
      </c>
      <c r="E1253" s="44">
        <v>189114</v>
      </c>
      <c r="F1253" s="87">
        <v>1730</v>
      </c>
      <c r="G1253" s="46">
        <v>46106</v>
      </c>
    </row>
    <row r="1254" spans="1:7" s="42" customFormat="1" hidden="1" x14ac:dyDescent="0.3">
      <c r="A1254" s="42" t="s">
        <v>10</v>
      </c>
      <c r="B1254" s="42" t="s">
        <v>1380</v>
      </c>
      <c r="C1254" s="42" t="s">
        <v>74</v>
      </c>
      <c r="D1254" s="42">
        <v>5528872468</v>
      </c>
      <c r="E1254" s="42">
        <v>300798</v>
      </c>
      <c r="F1254" s="86">
        <v>4018.99</v>
      </c>
      <c r="G1254" s="43">
        <v>46106</v>
      </c>
    </row>
    <row r="1255" spans="1:7" hidden="1" x14ac:dyDescent="0.3">
      <c r="A1255" s="44" t="s">
        <v>10</v>
      </c>
      <c r="B1255" s="44" t="s">
        <v>491</v>
      </c>
      <c r="C1255" s="44" t="str">
        <f>IFERROR(VLOOKUP(B1255,Base2026!A:C,2,FALSE),"")</f>
        <v>JARDINES DEL TEPEYAC</v>
      </c>
      <c r="D1255" s="44">
        <v>5540443958</v>
      </c>
      <c r="E1255" s="44">
        <v>300818</v>
      </c>
      <c r="F1255" s="87">
        <v>6534.56</v>
      </c>
      <c r="G1255" s="46">
        <v>46106</v>
      </c>
    </row>
    <row r="1256" spans="1:7" s="42" customFormat="1" hidden="1" x14ac:dyDescent="0.3">
      <c r="A1256" s="42" t="s">
        <v>10</v>
      </c>
      <c r="B1256" s="42" t="s">
        <v>625</v>
      </c>
      <c r="C1256" s="42" t="str">
        <f>IFERROR(VLOOKUP(B1256,Base2026!A:C,2,FALSE),"")</f>
        <v>GRANJAS VALLE</v>
      </c>
      <c r="D1256" s="42">
        <f>IFERROR(VLOOKUP(C1256,Base2026!B:D,2,FALSE),"")</f>
        <v>5578992575</v>
      </c>
      <c r="E1256" s="42">
        <v>189138</v>
      </c>
      <c r="F1256" s="86">
        <v>2412</v>
      </c>
      <c r="G1256" s="43">
        <v>46106</v>
      </c>
    </row>
    <row r="1257" spans="1:7" hidden="1" x14ac:dyDescent="0.3">
      <c r="A1257" s="44" t="s">
        <v>10</v>
      </c>
      <c r="B1257" s="44" t="s">
        <v>1378</v>
      </c>
      <c r="C1257" s="44" t="s">
        <v>1379</v>
      </c>
      <c r="D1257" s="44">
        <v>5612830956</v>
      </c>
      <c r="E1257" s="44">
        <v>300553</v>
      </c>
      <c r="F1257" s="87">
        <v>6989.43</v>
      </c>
      <c r="G1257" s="46">
        <v>46106</v>
      </c>
    </row>
    <row r="1258" spans="1:7" s="42" customFormat="1" hidden="1" x14ac:dyDescent="0.3">
      <c r="A1258" s="44" t="s">
        <v>10</v>
      </c>
      <c r="B1258" s="44" t="s">
        <v>522</v>
      </c>
      <c r="C1258" s="44" t="str">
        <f>IFERROR(VLOOKUP(B1258,Base2026!A:C,2,FALSE),"")</f>
        <v>VERGEL DE GUADALUPE</v>
      </c>
      <c r="D1258" s="44">
        <v>5635031347</v>
      </c>
      <c r="E1258" s="44">
        <v>187667</v>
      </c>
      <c r="F1258" s="87">
        <v>1100</v>
      </c>
      <c r="G1258" s="46">
        <v>46106</v>
      </c>
    </row>
    <row r="1259" spans="1:7" hidden="1" x14ac:dyDescent="0.3">
      <c r="A1259" s="44" t="s">
        <v>10</v>
      </c>
      <c r="B1259" s="44" t="s">
        <v>1383</v>
      </c>
      <c r="C1259" s="44" t="s">
        <v>1384</v>
      </c>
      <c r="D1259" s="44">
        <v>7202610189</v>
      </c>
      <c r="E1259" s="44">
        <v>188995</v>
      </c>
      <c r="F1259" s="87">
        <v>2500</v>
      </c>
      <c r="G1259" s="46">
        <v>46106</v>
      </c>
    </row>
    <row r="1260" spans="1:7" s="42" customFormat="1" hidden="1" x14ac:dyDescent="0.3">
      <c r="A1260" s="42" t="s">
        <v>17</v>
      </c>
      <c r="B1260" s="42" t="s">
        <v>1376</v>
      </c>
      <c r="C1260" s="42" t="s">
        <v>474</v>
      </c>
      <c r="D1260" s="42">
        <v>5527372432</v>
      </c>
      <c r="E1260" s="42">
        <v>300743</v>
      </c>
      <c r="F1260" s="86">
        <v>7642.08</v>
      </c>
      <c r="G1260" s="43">
        <v>46106</v>
      </c>
    </row>
    <row r="1261" spans="1:7" hidden="1" x14ac:dyDescent="0.3">
      <c r="A1261" s="44" t="s">
        <v>17</v>
      </c>
      <c r="B1261" s="44" t="s">
        <v>188</v>
      </c>
      <c r="C1261" s="44" t="s">
        <v>187</v>
      </c>
      <c r="D1261" s="44">
        <f>IFERROR(VLOOKUP(C1261,Base2026!B:D,2,FALSE),"")</f>
        <v>5529849094</v>
      </c>
      <c r="E1261" s="44">
        <v>33880</v>
      </c>
      <c r="F1261" s="87">
        <v>352</v>
      </c>
      <c r="G1261" s="46">
        <v>46106</v>
      </c>
    </row>
    <row r="1262" spans="1:7" s="42" customFormat="1" hidden="1" x14ac:dyDescent="0.3">
      <c r="A1262" s="42" t="s">
        <v>17</v>
      </c>
      <c r="B1262" s="42" t="s">
        <v>188</v>
      </c>
      <c r="C1262" s="42" t="s">
        <v>187</v>
      </c>
      <c r="D1262" s="42">
        <f>IFERROR(VLOOKUP(C1262,Base2026!B:D,2,FALSE),"")</f>
        <v>5529849094</v>
      </c>
      <c r="E1262" s="42">
        <v>188556</v>
      </c>
      <c r="F1262" s="86">
        <v>5169</v>
      </c>
      <c r="G1262" s="43">
        <v>46106</v>
      </c>
    </row>
    <row r="1263" spans="1:7" hidden="1" x14ac:dyDescent="0.3">
      <c r="A1263" s="42" t="s">
        <v>17</v>
      </c>
      <c r="B1263" s="42" t="s">
        <v>1390</v>
      </c>
      <c r="C1263" s="42" t="s">
        <v>1374</v>
      </c>
      <c r="D1263" s="42">
        <v>5534660016</v>
      </c>
      <c r="E1263" s="42">
        <v>300408</v>
      </c>
      <c r="F1263" s="86">
        <v>1885.08</v>
      </c>
      <c r="G1263" s="43">
        <v>46106</v>
      </c>
    </row>
    <row r="1264" spans="1:7" s="42" customFormat="1" hidden="1" x14ac:dyDescent="0.3">
      <c r="A1264" s="44" t="s">
        <v>17</v>
      </c>
      <c r="B1264" s="44" t="s">
        <v>1377</v>
      </c>
      <c r="C1264" s="44" t="s">
        <v>113</v>
      </c>
      <c r="D1264" s="44">
        <v>5535727235</v>
      </c>
      <c r="E1264" s="44">
        <v>188306</v>
      </c>
      <c r="F1264" s="87">
        <v>2297.9899999999998</v>
      </c>
      <c r="G1264" s="46">
        <v>46106</v>
      </c>
    </row>
    <row r="1265" spans="1:8" hidden="1" x14ac:dyDescent="0.3">
      <c r="A1265" s="42" t="s">
        <v>17</v>
      </c>
      <c r="B1265" s="42" t="s">
        <v>1377</v>
      </c>
      <c r="C1265" s="42" t="s">
        <v>113</v>
      </c>
      <c r="D1265" s="42">
        <v>5535727235</v>
      </c>
      <c r="E1265" s="42">
        <v>33850</v>
      </c>
      <c r="F1265" s="86">
        <v>758</v>
      </c>
      <c r="G1265" s="43">
        <v>46106</v>
      </c>
    </row>
    <row r="1266" spans="1:8" s="42" customFormat="1" hidden="1" x14ac:dyDescent="0.3">
      <c r="A1266" s="44" t="s">
        <v>17</v>
      </c>
      <c r="B1266" s="44" t="s">
        <v>964</v>
      </c>
      <c r="C1266" s="44" t="s">
        <v>973</v>
      </c>
      <c r="D1266" s="44">
        <v>5610738772</v>
      </c>
      <c r="E1266" s="44">
        <v>353919</v>
      </c>
      <c r="F1266" s="87">
        <v>6500</v>
      </c>
      <c r="G1266" s="46">
        <v>46106</v>
      </c>
    </row>
    <row r="1267" spans="1:8" hidden="1" x14ac:dyDescent="0.3">
      <c r="A1267" s="44" t="s">
        <v>17</v>
      </c>
      <c r="B1267" s="44" t="s">
        <v>186</v>
      </c>
      <c r="C1267" s="44" t="str">
        <f>IFERROR(VLOOKUP(B1267,Base2026!A:C,2,FALSE),"")</f>
        <v>CASAS ALEMAN</v>
      </c>
      <c r="D1267" s="44">
        <v>5610944519</v>
      </c>
      <c r="E1267" s="44">
        <v>189032</v>
      </c>
      <c r="F1267" s="87">
        <v>1254</v>
      </c>
      <c r="G1267" s="46">
        <v>46106</v>
      </c>
    </row>
    <row r="1268" spans="1:8" s="42" customFormat="1" hidden="1" x14ac:dyDescent="0.3">
      <c r="A1268" s="42" t="s">
        <v>17</v>
      </c>
      <c r="B1268" s="42" t="s">
        <v>186</v>
      </c>
      <c r="C1268" s="42" t="str">
        <f>IFERROR(VLOOKUP(B1268,Base2026!A:C,2,FALSE),"")</f>
        <v>CASAS ALEMAN</v>
      </c>
      <c r="D1268" s="42">
        <v>5610944519</v>
      </c>
      <c r="E1268" s="42">
        <v>33948</v>
      </c>
      <c r="F1268" s="86">
        <v>48</v>
      </c>
      <c r="G1268" s="43">
        <v>46106</v>
      </c>
    </row>
    <row r="1269" spans="1:8" s="42" customFormat="1" hidden="1" x14ac:dyDescent="0.3">
      <c r="A1269" s="44" t="s">
        <v>17</v>
      </c>
      <c r="B1269" s="44" t="s">
        <v>1375</v>
      </c>
      <c r="C1269" s="44" t="s">
        <v>798</v>
      </c>
      <c r="D1269" s="44">
        <v>5641262958</v>
      </c>
      <c r="E1269" s="44">
        <v>188832</v>
      </c>
      <c r="F1269" s="87">
        <v>7686</v>
      </c>
      <c r="G1269" s="46">
        <v>46106</v>
      </c>
    </row>
    <row r="1270" spans="1:8" hidden="1" x14ac:dyDescent="0.3">
      <c r="A1270" s="42" t="s">
        <v>17</v>
      </c>
      <c r="B1270" s="42" t="s">
        <v>1375</v>
      </c>
      <c r="C1270" s="42" t="s">
        <v>798</v>
      </c>
      <c r="D1270" s="42">
        <v>5641262958</v>
      </c>
      <c r="E1270" s="42">
        <v>353689</v>
      </c>
      <c r="F1270" s="86">
        <v>1878</v>
      </c>
      <c r="G1270" s="43">
        <v>46106</v>
      </c>
    </row>
    <row r="1271" spans="1:8" hidden="1" x14ac:dyDescent="0.3">
      <c r="A1271" s="42" t="s">
        <v>11</v>
      </c>
      <c r="B1271" s="42" t="s">
        <v>920</v>
      </c>
      <c r="C1271" s="42" t="str">
        <f>IFERROR(VLOOKUP(B1271,Base2026!A:C,2,FALSE),"")</f>
        <v>LAZARO CARDENAS</v>
      </c>
      <c r="D1271" s="42">
        <v>5518666206</v>
      </c>
      <c r="E1271" s="42">
        <v>353549</v>
      </c>
      <c r="F1271" s="86">
        <v>14545.03</v>
      </c>
      <c r="G1271" s="43">
        <v>46106</v>
      </c>
    </row>
    <row r="1272" spans="1:8" s="48" customFormat="1" hidden="1" x14ac:dyDescent="0.3">
      <c r="A1272" s="44" t="s">
        <v>11</v>
      </c>
      <c r="B1272" s="44" t="s">
        <v>1226</v>
      </c>
      <c r="C1272" s="44" t="s">
        <v>637</v>
      </c>
      <c r="D1272" s="44">
        <v>5518743829</v>
      </c>
      <c r="E1272" s="44">
        <v>188808</v>
      </c>
      <c r="F1272" s="87">
        <v>559.28</v>
      </c>
      <c r="G1272" s="46">
        <v>46106</v>
      </c>
    </row>
    <row r="1273" spans="1:8" hidden="1" x14ac:dyDescent="0.3">
      <c r="A1273" s="44" t="s">
        <v>10</v>
      </c>
      <c r="B1273" s="44" t="s">
        <v>57</v>
      </c>
      <c r="C1273" s="44" t="str">
        <f>IFERROR(VLOOKUP(B1273,Base2026!A:C,2,FALSE),"")</f>
        <v>EJE 8</v>
      </c>
      <c r="D1273" s="80">
        <v>5554550976</v>
      </c>
      <c r="E1273" s="44">
        <v>300863</v>
      </c>
      <c r="F1273" s="87">
        <v>225.04</v>
      </c>
      <c r="G1273" s="46">
        <v>46107</v>
      </c>
    </row>
    <row r="1274" spans="1:8" s="48" customFormat="1" hidden="1" x14ac:dyDescent="0.3">
      <c r="A1274" s="48" t="s">
        <v>10</v>
      </c>
      <c r="B1274" s="48" t="s">
        <v>57</v>
      </c>
      <c r="C1274" s="48" t="str">
        <f>IFERROR(VLOOKUP(B1274,Base2026!A:C,2,FALSE),"")</f>
        <v>EJE 8</v>
      </c>
      <c r="D1274" s="80">
        <v>5554550976</v>
      </c>
      <c r="E1274" s="48">
        <v>300030</v>
      </c>
      <c r="F1274" s="88">
        <v>14794.43</v>
      </c>
      <c r="G1274" s="50">
        <v>46107</v>
      </c>
    </row>
    <row r="1275" spans="1:8" hidden="1" x14ac:dyDescent="0.3">
      <c r="A1275" s="48" t="s">
        <v>10</v>
      </c>
      <c r="B1275" s="48" t="s">
        <v>530</v>
      </c>
      <c r="C1275" s="48" t="str">
        <f>IFERROR(VLOOKUP(B1275,Base2026!A:C,2,FALSE),"")</f>
        <v>TULTEPEC</v>
      </c>
      <c r="D1275" s="48">
        <f>IFERROR(VLOOKUP(C1275,Base2026!B:D,2,FALSE),"")</f>
        <v>5554704647</v>
      </c>
      <c r="E1275" s="48">
        <v>300327</v>
      </c>
      <c r="F1275" s="88">
        <v>12189.95</v>
      </c>
      <c r="G1275" s="50">
        <v>46107</v>
      </c>
    </row>
    <row r="1276" spans="1:8" s="48" customFormat="1" hidden="1" x14ac:dyDescent="0.3">
      <c r="A1276" s="44" t="s">
        <v>10</v>
      </c>
      <c r="B1276" s="44" t="s">
        <v>1400</v>
      </c>
      <c r="C1276" s="44" t="s">
        <v>105</v>
      </c>
      <c r="D1276" s="44">
        <v>5572179756</v>
      </c>
      <c r="E1276" s="44">
        <v>300882</v>
      </c>
      <c r="F1276" s="87">
        <v>1103</v>
      </c>
      <c r="G1276" s="46">
        <v>46107</v>
      </c>
    </row>
    <row r="1277" spans="1:8" hidden="1" x14ac:dyDescent="0.3">
      <c r="A1277" s="48" t="s">
        <v>10</v>
      </c>
      <c r="B1277" s="48" t="s">
        <v>1400</v>
      </c>
      <c r="C1277" s="48" t="s">
        <v>105</v>
      </c>
      <c r="D1277" s="48">
        <v>5572179756</v>
      </c>
      <c r="E1277" s="48">
        <v>300848</v>
      </c>
      <c r="F1277" s="88">
        <v>8848.9699999999993</v>
      </c>
      <c r="G1277" s="50">
        <v>46107</v>
      </c>
    </row>
    <row r="1278" spans="1:8" s="48" customFormat="1" hidden="1" x14ac:dyDescent="0.3">
      <c r="A1278" s="48" t="s">
        <v>17</v>
      </c>
      <c r="B1278" s="48" t="s">
        <v>1390</v>
      </c>
      <c r="C1278" s="48" t="s">
        <v>1374</v>
      </c>
      <c r="D1278" s="48">
        <v>5534660016</v>
      </c>
      <c r="E1278" s="48">
        <v>300408</v>
      </c>
      <c r="F1278" s="88">
        <v>1885.08</v>
      </c>
      <c r="G1278" s="50">
        <v>46107</v>
      </c>
    </row>
    <row r="1279" spans="1:8" hidden="1" x14ac:dyDescent="0.3">
      <c r="A1279" s="44" t="s">
        <v>17</v>
      </c>
      <c r="B1279" s="44" t="s">
        <v>1395</v>
      </c>
      <c r="C1279" s="44" t="s">
        <v>1396</v>
      </c>
      <c r="D1279" s="44">
        <v>5554732779</v>
      </c>
      <c r="E1279" s="44">
        <v>302015</v>
      </c>
      <c r="F1279" s="87">
        <v>1300</v>
      </c>
      <c r="G1279" s="46">
        <v>46107</v>
      </c>
      <c r="H1279" s="44" t="s">
        <v>1399</v>
      </c>
    </row>
    <row r="1280" spans="1:8" s="48" customFormat="1" hidden="1" x14ac:dyDescent="0.3">
      <c r="A1280" s="44" t="s">
        <v>17</v>
      </c>
      <c r="B1280" s="44" t="s">
        <v>894</v>
      </c>
      <c r="C1280" s="44" t="str">
        <f>IFERROR(VLOOKUP(B1280,Base2026!A:C,2,FALSE),"")</f>
        <v>JARDINES DE GUADALUPE</v>
      </c>
      <c r="D1280" s="44">
        <f>IFERROR(VLOOKUP(C1280,Base2026!B:D,2,FALSE),"")</f>
        <v>5565425223</v>
      </c>
      <c r="E1280" s="44">
        <v>188804</v>
      </c>
      <c r="F1280" s="87">
        <v>430</v>
      </c>
      <c r="G1280" s="46">
        <v>46107</v>
      </c>
    </row>
    <row r="1281" spans="1:7" hidden="1" x14ac:dyDescent="0.3">
      <c r="A1281" s="48" t="s">
        <v>17</v>
      </c>
      <c r="B1281" s="48" t="s">
        <v>894</v>
      </c>
      <c r="C1281" s="48" t="str">
        <f>IFERROR(VLOOKUP(B1281,Base2026!A:C,2,FALSE),"")</f>
        <v>JARDINES DE GUADALUPE</v>
      </c>
      <c r="D1281" s="48">
        <f>IFERROR(VLOOKUP(C1281,Base2026!B:D,2,FALSE),"")</f>
        <v>5565425223</v>
      </c>
      <c r="E1281" s="44">
        <v>188804</v>
      </c>
      <c r="F1281" s="88">
        <v>4</v>
      </c>
      <c r="G1281" s="50">
        <v>46107</v>
      </c>
    </row>
    <row r="1282" spans="1:7" s="48" customFormat="1" hidden="1" x14ac:dyDescent="0.3">
      <c r="A1282" s="44" t="s">
        <v>17</v>
      </c>
      <c r="B1282" s="44" t="s">
        <v>1397</v>
      </c>
      <c r="C1282" s="44" t="s">
        <v>1398</v>
      </c>
      <c r="D1282" s="44">
        <v>7351353899</v>
      </c>
      <c r="E1282" s="44">
        <v>300649</v>
      </c>
      <c r="F1282" s="87">
        <v>2427.75</v>
      </c>
      <c r="G1282" s="46">
        <v>46107</v>
      </c>
    </row>
    <row r="1283" spans="1:7" hidden="1" x14ac:dyDescent="0.3">
      <c r="A1283" s="48" t="s">
        <v>17</v>
      </c>
      <c r="B1283" s="48" t="s">
        <v>1397</v>
      </c>
      <c r="C1283" s="48" t="s">
        <v>1398</v>
      </c>
      <c r="D1283" s="48">
        <v>7351353899</v>
      </c>
      <c r="E1283" s="48">
        <v>300962</v>
      </c>
      <c r="F1283" s="88">
        <v>1781.76</v>
      </c>
      <c r="G1283" s="50">
        <v>46107</v>
      </c>
    </row>
    <row r="1284" spans="1:7" s="48" customFormat="1" hidden="1" x14ac:dyDescent="0.3">
      <c r="A1284" s="44" t="s">
        <v>17</v>
      </c>
      <c r="B1284" s="44" t="s">
        <v>1397</v>
      </c>
      <c r="C1284" s="44" t="s">
        <v>1398</v>
      </c>
      <c r="D1284" s="44">
        <v>7351353899</v>
      </c>
      <c r="E1284" s="44">
        <v>300964</v>
      </c>
      <c r="F1284" s="87">
        <v>400</v>
      </c>
      <c r="G1284" s="46">
        <v>46107</v>
      </c>
    </row>
    <row r="1285" spans="1:7" hidden="1" x14ac:dyDescent="0.3">
      <c r="A1285" s="48" t="s">
        <v>17</v>
      </c>
      <c r="B1285" s="48" t="s">
        <v>1397</v>
      </c>
      <c r="C1285" s="48" t="s">
        <v>1398</v>
      </c>
      <c r="D1285" s="48">
        <v>7351353899</v>
      </c>
      <c r="E1285" s="48">
        <v>300963</v>
      </c>
      <c r="F1285" s="88">
        <v>2397</v>
      </c>
      <c r="G1285" s="50">
        <v>46107</v>
      </c>
    </row>
    <row r="1286" spans="1:7" s="51" customFormat="1" hidden="1" x14ac:dyDescent="0.3">
      <c r="A1286" s="51" t="s">
        <v>47</v>
      </c>
      <c r="B1286" s="51" t="s">
        <v>1412</v>
      </c>
      <c r="C1286" s="51" t="s">
        <v>1413</v>
      </c>
      <c r="D1286" s="51">
        <v>5537134469</v>
      </c>
      <c r="E1286" s="51">
        <v>187503</v>
      </c>
      <c r="F1286" s="68">
        <v>9435</v>
      </c>
      <c r="G1286" s="52">
        <v>46108</v>
      </c>
    </row>
    <row r="1287" spans="1:7" hidden="1" x14ac:dyDescent="0.3">
      <c r="A1287" s="44" t="s">
        <v>10</v>
      </c>
      <c r="B1287" s="44" t="s">
        <v>1409</v>
      </c>
      <c r="C1287" s="44" t="s">
        <v>204</v>
      </c>
      <c r="D1287" s="44">
        <v>5514658837</v>
      </c>
      <c r="E1287" s="44">
        <v>300447</v>
      </c>
      <c r="F1287" s="87">
        <v>8064.35</v>
      </c>
      <c r="G1287" s="46">
        <v>46108</v>
      </c>
    </row>
    <row r="1288" spans="1:7" s="51" customFormat="1" hidden="1" x14ac:dyDescent="0.3">
      <c r="A1288" s="51" t="s">
        <v>10</v>
      </c>
      <c r="B1288" s="51" t="s">
        <v>911</v>
      </c>
      <c r="C1288" s="51" t="str">
        <f>IFERROR(VLOOKUP(B1288,Base2026!A:C,2,FALSE),"")</f>
        <v>ESTRELLA</v>
      </c>
      <c r="D1288" s="51">
        <v>5527812319</v>
      </c>
      <c r="E1288" s="51">
        <v>354206</v>
      </c>
      <c r="F1288" s="68">
        <v>1255</v>
      </c>
      <c r="G1288" s="52">
        <v>46108</v>
      </c>
    </row>
    <row r="1289" spans="1:7" hidden="1" x14ac:dyDescent="0.3">
      <c r="A1289" s="44" t="s">
        <v>10</v>
      </c>
      <c r="B1289" s="44" t="s">
        <v>911</v>
      </c>
      <c r="C1289" s="44" t="s">
        <v>167</v>
      </c>
      <c r="D1289" s="44">
        <v>5527812319</v>
      </c>
      <c r="E1289" s="44">
        <v>354205</v>
      </c>
      <c r="F1289" s="87">
        <v>645</v>
      </c>
      <c r="G1289" s="46">
        <v>46108</v>
      </c>
    </row>
    <row r="1290" spans="1:7" s="51" customFormat="1" hidden="1" x14ac:dyDescent="0.3">
      <c r="A1290" s="51" t="s">
        <v>10</v>
      </c>
      <c r="B1290" s="51" t="s">
        <v>1408</v>
      </c>
      <c r="C1290" s="51" t="s">
        <v>9</v>
      </c>
      <c r="D1290" s="51">
        <v>5581490100</v>
      </c>
      <c r="E1290" s="51">
        <v>188450</v>
      </c>
      <c r="F1290" s="68">
        <v>13143.99</v>
      </c>
      <c r="G1290" s="52">
        <v>46108</v>
      </c>
    </row>
    <row r="1291" spans="1:7" hidden="1" x14ac:dyDescent="0.3">
      <c r="A1291" s="44" t="s">
        <v>10</v>
      </c>
      <c r="B1291" s="44" t="s">
        <v>1407</v>
      </c>
      <c r="C1291" s="44" t="s">
        <v>591</v>
      </c>
      <c r="D1291" s="44">
        <f>IFERROR(VLOOKUP(C1291,Base2026!B:D,2,FALSE),"")</f>
        <v>5591940032</v>
      </c>
      <c r="E1291" s="44">
        <v>300400</v>
      </c>
      <c r="F1291" s="87">
        <v>876.28</v>
      </c>
      <c r="G1291" s="46">
        <v>46108</v>
      </c>
    </row>
    <row r="1292" spans="1:7" s="51" customFormat="1" hidden="1" x14ac:dyDescent="0.3">
      <c r="A1292" s="51" t="s">
        <v>10</v>
      </c>
      <c r="B1292" s="51" t="s">
        <v>374</v>
      </c>
      <c r="C1292" s="51" t="s">
        <v>297</v>
      </c>
      <c r="D1292" s="51">
        <v>5621030826</v>
      </c>
      <c r="E1292" s="51">
        <v>301058</v>
      </c>
      <c r="F1292" s="68">
        <v>2685</v>
      </c>
      <c r="G1292" s="52">
        <v>46108</v>
      </c>
    </row>
    <row r="1293" spans="1:7" hidden="1" x14ac:dyDescent="0.3">
      <c r="A1293" s="44" t="s">
        <v>17</v>
      </c>
      <c r="B1293" s="44" t="s">
        <v>1401</v>
      </c>
      <c r="C1293" s="44" t="s">
        <v>631</v>
      </c>
      <c r="D1293" s="44">
        <f>IFERROR(VLOOKUP(C1293,Base2026!B:D,2,FALSE),"")</f>
        <v>5517957453</v>
      </c>
      <c r="E1293" s="44">
        <v>354132</v>
      </c>
      <c r="F1293" s="87">
        <v>1439.88</v>
      </c>
      <c r="G1293" s="46">
        <v>46108</v>
      </c>
    </row>
    <row r="1294" spans="1:7" s="51" customFormat="1" hidden="1" x14ac:dyDescent="0.3">
      <c r="A1294" s="51" t="s">
        <v>17</v>
      </c>
      <c r="B1294" s="51" t="s">
        <v>1406</v>
      </c>
      <c r="C1294" s="51" t="s">
        <v>1403</v>
      </c>
      <c r="D1294" s="51">
        <v>5519022233</v>
      </c>
      <c r="E1294" s="51">
        <v>300551</v>
      </c>
      <c r="F1294" s="68">
        <v>6250.98</v>
      </c>
      <c r="G1294" s="52">
        <v>46108</v>
      </c>
    </row>
    <row r="1295" spans="1:7" hidden="1" x14ac:dyDescent="0.3">
      <c r="A1295" s="51" t="s">
        <v>17</v>
      </c>
      <c r="B1295" s="51" t="s">
        <v>1402</v>
      </c>
      <c r="C1295" s="51" t="s">
        <v>1369</v>
      </c>
      <c r="D1295" s="51">
        <v>5529896715</v>
      </c>
      <c r="E1295" s="51">
        <v>354000</v>
      </c>
      <c r="F1295" s="68">
        <v>6150</v>
      </c>
      <c r="G1295" s="52">
        <v>46108</v>
      </c>
    </row>
    <row r="1296" spans="1:7" s="51" customFormat="1" hidden="1" x14ac:dyDescent="0.3">
      <c r="A1296" s="44" t="s">
        <v>17</v>
      </c>
      <c r="B1296" s="44" t="s">
        <v>1402</v>
      </c>
      <c r="C1296" s="44" t="s">
        <v>1369</v>
      </c>
      <c r="D1296" s="44">
        <v>5529896715</v>
      </c>
      <c r="E1296" s="44">
        <v>301999</v>
      </c>
      <c r="F1296" s="87">
        <v>724</v>
      </c>
      <c r="G1296" s="46">
        <v>46108</v>
      </c>
    </row>
    <row r="1297" spans="1:7" hidden="1" x14ac:dyDescent="0.3">
      <c r="A1297" s="44" t="s">
        <v>17</v>
      </c>
      <c r="B1297" s="44" t="s">
        <v>1404</v>
      </c>
      <c r="C1297" s="44" t="s">
        <v>68</v>
      </c>
      <c r="D1297" s="44">
        <v>5557800399</v>
      </c>
      <c r="E1297" s="44">
        <v>300547</v>
      </c>
      <c r="F1297" s="87">
        <v>5278.59</v>
      </c>
      <c r="G1297" s="46">
        <v>46108</v>
      </c>
    </row>
    <row r="1298" spans="1:7" s="51" customFormat="1" hidden="1" x14ac:dyDescent="0.3">
      <c r="A1298" s="44" t="s">
        <v>11</v>
      </c>
      <c r="B1298" s="44" t="s">
        <v>920</v>
      </c>
      <c r="C1298" s="44" t="str">
        <f>IFERROR(VLOOKUP(B1298,Base2026!A:C,2,FALSE),"")</f>
        <v>LAZARO CARDENAS</v>
      </c>
      <c r="D1298" s="44">
        <f>IFERROR(VLOOKUP(C1298,Base2026!B:D,2,FALSE),"")</f>
        <v>5517473496</v>
      </c>
      <c r="E1298" s="44">
        <v>301870</v>
      </c>
      <c r="F1298" s="87">
        <v>8502</v>
      </c>
      <c r="G1298" s="46">
        <v>46108</v>
      </c>
    </row>
    <row r="1299" spans="1:7" hidden="1" x14ac:dyDescent="0.3">
      <c r="A1299" s="51" t="s">
        <v>11</v>
      </c>
      <c r="B1299" s="51" t="s">
        <v>920</v>
      </c>
      <c r="C1299" s="51" t="str">
        <f>IFERROR(VLOOKUP(B1299,Base2026!A:C,2,FALSE),"")</f>
        <v>LAZARO CARDENAS</v>
      </c>
      <c r="D1299" s="51">
        <f>IFERROR(VLOOKUP(C1299,Base2026!B:D,2,FALSE),"")</f>
        <v>5517473496</v>
      </c>
      <c r="E1299" s="51">
        <v>353396</v>
      </c>
      <c r="F1299" s="68">
        <v>8502</v>
      </c>
      <c r="G1299" s="52">
        <v>46108</v>
      </c>
    </row>
    <row r="1300" spans="1:7" s="51" customFormat="1" hidden="1" x14ac:dyDescent="0.3">
      <c r="A1300" s="44" t="s">
        <v>11</v>
      </c>
      <c r="B1300" s="44" t="s">
        <v>920</v>
      </c>
      <c r="C1300" s="44" t="str">
        <f>IFERROR(VLOOKUP(B1300,Base2026!A:C,2,FALSE),"")</f>
        <v>LAZARO CARDENAS</v>
      </c>
      <c r="D1300" s="44">
        <f>IFERROR(VLOOKUP(C1300,Base2026!B:D,2,FALSE),"")</f>
        <v>5517473496</v>
      </c>
      <c r="E1300" s="44">
        <v>301904</v>
      </c>
      <c r="F1300" s="87">
        <v>48</v>
      </c>
      <c r="G1300" s="46">
        <v>46108</v>
      </c>
    </row>
    <row r="1301" spans="1:7" hidden="1" x14ac:dyDescent="0.3">
      <c r="A1301" s="51" t="s">
        <v>11</v>
      </c>
      <c r="B1301" s="51" t="s">
        <v>1405</v>
      </c>
      <c r="C1301" s="51" t="s">
        <v>383</v>
      </c>
      <c r="D1301" s="51">
        <v>5518150129</v>
      </c>
      <c r="E1301" s="51">
        <v>353933</v>
      </c>
      <c r="F1301" s="68">
        <v>19664.98</v>
      </c>
      <c r="G1301" s="52">
        <v>46108</v>
      </c>
    </row>
    <row r="1302" spans="1:7" s="51" customFormat="1" hidden="1" x14ac:dyDescent="0.3">
      <c r="A1302" s="44" t="s">
        <v>11</v>
      </c>
      <c r="B1302" s="44" t="s">
        <v>610</v>
      </c>
      <c r="C1302" s="44" t="str">
        <f>IFERROR(VLOOKUP(B1302,Base2026!A:C,2,FALSE),"")</f>
        <v>SAN PABLO TEXCOCO</v>
      </c>
      <c r="D1302" s="44">
        <f>IFERROR(VLOOKUP(C1302,Base2026!B:D,2,FALSE),"")</f>
        <v>5582860407</v>
      </c>
      <c r="E1302" s="44">
        <v>399636</v>
      </c>
      <c r="F1302" s="87">
        <v>8726</v>
      </c>
      <c r="G1302" s="46">
        <v>46108</v>
      </c>
    </row>
    <row r="1303" spans="1:7" hidden="1" x14ac:dyDescent="0.3">
      <c r="A1303" s="51" t="s">
        <v>11</v>
      </c>
      <c r="B1303" s="51" t="s">
        <v>610</v>
      </c>
      <c r="C1303" s="51" t="str">
        <f>IFERROR(VLOOKUP(B1303,Base2026!A:C,2,FALSE),"")</f>
        <v>SAN PABLO TEXCOCO</v>
      </c>
      <c r="D1303" s="51">
        <f>IFERROR(VLOOKUP(C1303,Base2026!B:D,2,FALSE),"")</f>
        <v>5582860407</v>
      </c>
      <c r="E1303" s="51">
        <v>299636</v>
      </c>
      <c r="F1303" s="68">
        <v>38270.46</v>
      </c>
      <c r="G1303" s="52">
        <v>46108</v>
      </c>
    </row>
    <row r="1304" spans="1:7" s="60" customFormat="1" hidden="1" x14ac:dyDescent="0.3">
      <c r="A1304" s="60" t="s">
        <v>47</v>
      </c>
      <c r="B1304" s="60" t="s">
        <v>310</v>
      </c>
      <c r="C1304" s="60" t="str">
        <f>IFERROR(VLOOKUP(B1304,Base2026!A:C,2,FALSE),"")</f>
        <v>EJIDOS DE SAN CRISTOBAL</v>
      </c>
      <c r="D1304" s="60">
        <f>IFERROR(VLOOKUP(C1304,Base2026!B:D,2,FALSE),"")</f>
        <v>5514614910</v>
      </c>
      <c r="E1304" s="60">
        <v>301970</v>
      </c>
      <c r="F1304" s="79">
        <v>572</v>
      </c>
      <c r="G1304" s="69">
        <v>46111</v>
      </c>
    </row>
    <row r="1305" spans="1:7" hidden="1" x14ac:dyDescent="0.3">
      <c r="A1305" s="44" t="s">
        <v>47</v>
      </c>
      <c r="B1305" s="44" t="s">
        <v>310</v>
      </c>
      <c r="C1305" s="44" t="str">
        <f>IFERROR(VLOOKUP(B1305,Base2026!A:C,2,FALSE),"")</f>
        <v>EJIDOS DE SAN CRISTOBAL</v>
      </c>
      <c r="D1305" s="44">
        <f>IFERROR(VLOOKUP(C1305,Base2026!B:D,2,FALSE),"")</f>
        <v>5514614910</v>
      </c>
      <c r="E1305" s="44">
        <v>353823</v>
      </c>
      <c r="F1305" s="87">
        <v>2765.99</v>
      </c>
      <c r="G1305" s="46">
        <v>46111</v>
      </c>
    </row>
    <row r="1306" spans="1:7" s="60" customFormat="1" hidden="1" x14ac:dyDescent="0.3">
      <c r="A1306" s="60" t="s">
        <v>47</v>
      </c>
      <c r="B1306" s="60" t="s">
        <v>360</v>
      </c>
      <c r="C1306" s="60" t="s">
        <v>361</v>
      </c>
      <c r="D1306" s="60">
        <v>5561720540</v>
      </c>
      <c r="E1306" s="60">
        <v>189073</v>
      </c>
      <c r="F1306" s="79">
        <v>2930</v>
      </c>
      <c r="G1306" s="69">
        <v>46111</v>
      </c>
    </row>
    <row r="1307" spans="1:7" hidden="1" x14ac:dyDescent="0.3">
      <c r="A1307" s="44" t="s">
        <v>47</v>
      </c>
      <c r="B1307" s="44" t="s">
        <v>360</v>
      </c>
      <c r="C1307" s="44" t="s">
        <v>361</v>
      </c>
      <c r="D1307" s="44">
        <v>5561720540</v>
      </c>
      <c r="E1307" s="44">
        <v>33953</v>
      </c>
      <c r="F1307" s="87">
        <v>882</v>
      </c>
      <c r="G1307" s="46">
        <v>46111</v>
      </c>
    </row>
    <row r="1308" spans="1:7" s="60" customFormat="1" hidden="1" x14ac:dyDescent="0.3">
      <c r="A1308" s="60" t="s">
        <v>47</v>
      </c>
      <c r="B1308" s="60" t="s">
        <v>360</v>
      </c>
      <c r="C1308" s="60" t="s">
        <v>361</v>
      </c>
      <c r="D1308" s="60">
        <v>5561720540</v>
      </c>
      <c r="E1308" s="60">
        <v>188676</v>
      </c>
      <c r="F1308" s="79">
        <v>7279</v>
      </c>
      <c r="G1308" s="69">
        <v>46111</v>
      </c>
    </row>
    <row r="1309" spans="1:7" hidden="1" x14ac:dyDescent="0.3">
      <c r="A1309" s="44" t="s">
        <v>47</v>
      </c>
      <c r="B1309" s="44" t="s">
        <v>360</v>
      </c>
      <c r="C1309" s="44" t="s">
        <v>361</v>
      </c>
      <c r="D1309" s="44">
        <v>5561720540</v>
      </c>
      <c r="E1309" s="44">
        <v>33899</v>
      </c>
      <c r="F1309" s="87">
        <v>1708</v>
      </c>
      <c r="G1309" s="46">
        <v>46111</v>
      </c>
    </row>
    <row r="1310" spans="1:7" s="60" customFormat="1" hidden="1" x14ac:dyDescent="0.3">
      <c r="A1310" s="60" t="s">
        <v>47</v>
      </c>
      <c r="B1310" s="60" t="s">
        <v>1410</v>
      </c>
      <c r="C1310" s="60" t="s">
        <v>1411</v>
      </c>
      <c r="D1310" s="60">
        <v>5561859505</v>
      </c>
      <c r="E1310" s="60">
        <v>301073</v>
      </c>
      <c r="F1310" s="79">
        <v>10100</v>
      </c>
      <c r="G1310" s="69">
        <v>46111</v>
      </c>
    </row>
    <row r="1311" spans="1:7" hidden="1" x14ac:dyDescent="0.3">
      <c r="A1311" s="44" t="s">
        <v>47</v>
      </c>
      <c r="B1311" s="44" t="s">
        <v>1410</v>
      </c>
      <c r="C1311" s="44" t="s">
        <v>1411</v>
      </c>
      <c r="D1311" s="44">
        <v>5561859505</v>
      </c>
      <c r="E1311" s="44">
        <v>301072</v>
      </c>
      <c r="F1311" s="87">
        <v>450</v>
      </c>
      <c r="G1311" s="46">
        <v>46111</v>
      </c>
    </row>
    <row r="1312" spans="1:7" s="60" customFormat="1" hidden="1" x14ac:dyDescent="0.3">
      <c r="A1312" s="60" t="s">
        <v>47</v>
      </c>
      <c r="B1312" s="60" t="s">
        <v>517</v>
      </c>
      <c r="C1312" s="60" t="str">
        <f>IFERROR(VLOOKUP(B1312,Base2026!A:C,2,FALSE),"")</f>
        <v>MELCHOR OCAMPO</v>
      </c>
      <c r="D1312" s="60">
        <f>IFERROR(VLOOKUP(C1312,Base2026!B:D,2,FALSE),"")</f>
        <v>5569318105</v>
      </c>
      <c r="E1312" s="60">
        <v>300822</v>
      </c>
      <c r="F1312" s="79">
        <v>2501.98</v>
      </c>
      <c r="G1312" s="69">
        <v>46111</v>
      </c>
    </row>
    <row r="1313" spans="1:7" hidden="1" x14ac:dyDescent="0.3">
      <c r="A1313" s="44" t="s">
        <v>47</v>
      </c>
      <c r="B1313" s="44" t="s">
        <v>517</v>
      </c>
      <c r="C1313" s="44" t="str">
        <f>IFERROR(VLOOKUP(B1313,Base2026!A:C,2,FALSE),"")</f>
        <v>MELCHOR OCAMPO</v>
      </c>
      <c r="D1313" s="44">
        <f>IFERROR(VLOOKUP(C1313,Base2026!B:D,2,FALSE),"")</f>
        <v>5569318105</v>
      </c>
      <c r="E1313" s="44">
        <v>300771</v>
      </c>
      <c r="F1313" s="87">
        <v>13122.84</v>
      </c>
      <c r="G1313" s="46">
        <v>46111</v>
      </c>
    </row>
    <row r="1314" spans="1:7" s="60" customFormat="1" hidden="1" x14ac:dyDescent="0.3">
      <c r="A1314" s="44" t="s">
        <v>10</v>
      </c>
      <c r="B1314" s="44" t="s">
        <v>650</v>
      </c>
      <c r="C1314" s="44" t="s">
        <v>41</v>
      </c>
      <c r="D1314" s="44">
        <v>5510455631</v>
      </c>
      <c r="E1314" s="44">
        <v>188598</v>
      </c>
      <c r="F1314" s="87">
        <v>13130</v>
      </c>
      <c r="G1314" s="46">
        <v>46111</v>
      </c>
    </row>
    <row r="1315" spans="1:7" hidden="1" x14ac:dyDescent="0.3">
      <c r="A1315" s="60" t="s">
        <v>10</v>
      </c>
      <c r="B1315" s="60" t="s">
        <v>650</v>
      </c>
      <c r="C1315" s="60" t="s">
        <v>41</v>
      </c>
      <c r="D1315" s="60">
        <v>5510455631</v>
      </c>
      <c r="E1315" s="60">
        <v>33888</v>
      </c>
      <c r="F1315" s="79">
        <v>1048</v>
      </c>
      <c r="G1315" s="69">
        <v>46111</v>
      </c>
    </row>
    <row r="1316" spans="1:7" s="60" customFormat="1" hidden="1" x14ac:dyDescent="0.3">
      <c r="A1316" s="60" t="s">
        <v>10</v>
      </c>
      <c r="B1316" s="60" t="s">
        <v>1414</v>
      </c>
      <c r="C1316" s="60" t="s">
        <v>60</v>
      </c>
      <c r="D1316" s="60">
        <v>5510941613</v>
      </c>
      <c r="E1316" s="60">
        <v>354337</v>
      </c>
      <c r="F1316" s="79">
        <v>12750</v>
      </c>
      <c r="G1316" s="69">
        <v>46111</v>
      </c>
    </row>
    <row r="1317" spans="1:7" hidden="1" x14ac:dyDescent="0.3">
      <c r="A1317" s="60" t="s">
        <v>10</v>
      </c>
      <c r="B1317" s="60" t="s">
        <v>238</v>
      </c>
      <c r="C1317" s="60" t="s">
        <v>237</v>
      </c>
      <c r="D1317" s="60">
        <v>5537411500</v>
      </c>
      <c r="E1317" s="60">
        <v>187420</v>
      </c>
      <c r="F1317" s="79">
        <v>563.91999999999996</v>
      </c>
      <c r="G1317" s="69">
        <v>46111</v>
      </c>
    </row>
    <row r="1318" spans="1:7" s="60" customFormat="1" hidden="1" x14ac:dyDescent="0.3">
      <c r="A1318" s="44" t="s">
        <v>10</v>
      </c>
      <c r="B1318" s="44" t="s">
        <v>238</v>
      </c>
      <c r="C1318" s="44" t="s">
        <v>237</v>
      </c>
      <c r="D1318" s="44">
        <v>5537411500</v>
      </c>
      <c r="E1318" s="44">
        <v>187421</v>
      </c>
      <c r="F1318" s="87">
        <v>4369</v>
      </c>
      <c r="G1318" s="46">
        <v>46111</v>
      </c>
    </row>
    <row r="1319" spans="1:7" hidden="1" x14ac:dyDescent="0.3">
      <c r="A1319" s="60" t="s">
        <v>10</v>
      </c>
      <c r="B1319" s="60" t="s">
        <v>238</v>
      </c>
      <c r="C1319" s="60" t="s">
        <v>237</v>
      </c>
      <c r="D1319" s="60">
        <v>5537411500</v>
      </c>
      <c r="E1319" s="60">
        <v>187422</v>
      </c>
      <c r="F1319" s="79">
        <v>7392</v>
      </c>
      <c r="G1319" s="69">
        <v>46111</v>
      </c>
    </row>
    <row r="1320" spans="1:7" s="60" customFormat="1" hidden="1" x14ac:dyDescent="0.3">
      <c r="A1320" s="44" t="s">
        <v>10</v>
      </c>
      <c r="B1320" s="44" t="s">
        <v>813</v>
      </c>
      <c r="C1320" s="44" t="str">
        <f>IFERROR(VLOOKUP(B1320,Base2026!A:C,2,FALSE),"")</f>
        <v>MARINA NACIONAL</v>
      </c>
      <c r="D1320" s="44">
        <f>IFERROR(VLOOKUP(C1320,Base2026!B:D,2,FALSE),"")</f>
        <v>5577936861</v>
      </c>
      <c r="E1320" s="44">
        <v>301167</v>
      </c>
      <c r="F1320" s="87">
        <v>2955</v>
      </c>
      <c r="G1320" s="46">
        <v>46111</v>
      </c>
    </row>
    <row r="1321" spans="1:7" hidden="1" x14ac:dyDescent="0.3">
      <c r="A1321" s="44" t="s">
        <v>10</v>
      </c>
      <c r="B1321" s="44" t="s">
        <v>233</v>
      </c>
      <c r="C1321" s="44" t="s">
        <v>46</v>
      </c>
      <c r="D1321" s="44">
        <v>5586772887</v>
      </c>
      <c r="E1321" s="44">
        <v>189048</v>
      </c>
      <c r="F1321" s="87">
        <v>4099.99</v>
      </c>
      <c r="G1321" s="46">
        <v>46111</v>
      </c>
    </row>
    <row r="1322" spans="1:7" s="60" customFormat="1" hidden="1" x14ac:dyDescent="0.3">
      <c r="A1322" s="60" t="s">
        <v>10</v>
      </c>
      <c r="B1322" s="60" t="s">
        <v>233</v>
      </c>
      <c r="C1322" s="60" t="s">
        <v>46</v>
      </c>
      <c r="D1322" s="60">
        <v>5586772887</v>
      </c>
      <c r="E1322" s="60">
        <v>33951</v>
      </c>
      <c r="F1322" s="79">
        <v>1434</v>
      </c>
      <c r="G1322" s="69">
        <v>46111</v>
      </c>
    </row>
    <row r="1323" spans="1:7" hidden="1" x14ac:dyDescent="0.3">
      <c r="A1323" s="60" t="s">
        <v>17</v>
      </c>
      <c r="B1323" s="60" t="s">
        <v>1421</v>
      </c>
      <c r="C1323" s="60" t="s">
        <v>1419</v>
      </c>
      <c r="D1323" s="60">
        <v>5516866073</v>
      </c>
      <c r="E1323" s="60">
        <v>300972</v>
      </c>
      <c r="F1323" s="79">
        <v>1950</v>
      </c>
      <c r="G1323" s="69">
        <v>46111</v>
      </c>
    </row>
    <row r="1324" spans="1:7" s="60" customFormat="1" hidden="1" x14ac:dyDescent="0.3">
      <c r="A1324" s="44" t="s">
        <v>17</v>
      </c>
      <c r="B1324" s="44" t="s">
        <v>1421</v>
      </c>
      <c r="C1324" s="44" t="s">
        <v>1419</v>
      </c>
      <c r="D1324" s="44">
        <v>5516866073</v>
      </c>
      <c r="E1324" s="44">
        <v>300973</v>
      </c>
      <c r="F1324" s="87">
        <v>1950</v>
      </c>
      <c r="G1324" s="46">
        <v>46111</v>
      </c>
    </row>
    <row r="1325" spans="1:7" hidden="1" x14ac:dyDescent="0.3">
      <c r="A1325" s="60" t="s">
        <v>17</v>
      </c>
      <c r="B1325" s="60" t="s">
        <v>1421</v>
      </c>
      <c r="C1325" s="60" t="s">
        <v>1419</v>
      </c>
      <c r="D1325" s="60">
        <v>5516866073</v>
      </c>
      <c r="E1325" s="60">
        <v>300974</v>
      </c>
      <c r="F1325" s="79">
        <v>1950</v>
      </c>
      <c r="G1325" s="69">
        <v>46111</v>
      </c>
    </row>
    <row r="1326" spans="1:7" s="60" customFormat="1" hidden="1" x14ac:dyDescent="0.3">
      <c r="A1326" s="44" t="s">
        <v>17</v>
      </c>
      <c r="B1326" s="44" t="s">
        <v>1421</v>
      </c>
      <c r="C1326" s="44" t="s">
        <v>1419</v>
      </c>
      <c r="D1326" s="44">
        <v>5516866073</v>
      </c>
      <c r="E1326" s="44">
        <v>300975</v>
      </c>
      <c r="F1326" s="87">
        <v>1950</v>
      </c>
      <c r="G1326" s="46">
        <v>46111</v>
      </c>
    </row>
    <row r="1327" spans="1:7" hidden="1" x14ac:dyDescent="0.3">
      <c r="A1327" s="60" t="s">
        <v>17</v>
      </c>
      <c r="B1327" s="60" t="s">
        <v>1421</v>
      </c>
      <c r="C1327" s="60" t="s">
        <v>1419</v>
      </c>
      <c r="D1327" s="60">
        <v>5516866073</v>
      </c>
      <c r="E1327" s="60">
        <v>300976</v>
      </c>
      <c r="F1327" s="79">
        <v>1950</v>
      </c>
      <c r="G1327" s="69">
        <v>46111</v>
      </c>
    </row>
    <row r="1328" spans="1:7" s="60" customFormat="1" hidden="1" x14ac:dyDescent="0.3">
      <c r="A1328" s="44" t="s">
        <v>17</v>
      </c>
      <c r="B1328" s="44" t="s">
        <v>1421</v>
      </c>
      <c r="C1328" s="44" t="s">
        <v>1419</v>
      </c>
      <c r="D1328" s="44">
        <v>5516866073</v>
      </c>
      <c r="E1328" s="44">
        <v>300977</v>
      </c>
      <c r="F1328" s="87">
        <v>1950</v>
      </c>
      <c r="G1328" s="46">
        <v>46111</v>
      </c>
    </row>
    <row r="1329" spans="1:7" hidden="1" x14ac:dyDescent="0.3">
      <c r="A1329" s="60" t="s">
        <v>17</v>
      </c>
      <c r="B1329" s="60" t="s">
        <v>1421</v>
      </c>
      <c r="C1329" s="60" t="s">
        <v>1419</v>
      </c>
      <c r="D1329" s="60">
        <v>5516866073</v>
      </c>
      <c r="E1329" s="60">
        <v>300978</v>
      </c>
      <c r="F1329" s="79">
        <v>1250</v>
      </c>
      <c r="G1329" s="69">
        <v>46111</v>
      </c>
    </row>
    <row r="1330" spans="1:7" s="60" customFormat="1" hidden="1" x14ac:dyDescent="0.3">
      <c r="A1330" s="44" t="s">
        <v>17</v>
      </c>
      <c r="B1330" s="44" t="s">
        <v>1421</v>
      </c>
      <c r="C1330" s="44" t="s">
        <v>1419</v>
      </c>
      <c r="D1330" s="44">
        <v>5516866073</v>
      </c>
      <c r="E1330" s="44">
        <v>300979</v>
      </c>
      <c r="F1330" s="87">
        <v>1250</v>
      </c>
      <c r="G1330" s="46">
        <v>46111</v>
      </c>
    </row>
    <row r="1331" spans="1:7" hidden="1" x14ac:dyDescent="0.3">
      <c r="A1331" s="60" t="s">
        <v>17</v>
      </c>
      <c r="B1331" s="60" t="s">
        <v>1421</v>
      </c>
      <c r="C1331" s="60" t="s">
        <v>1419</v>
      </c>
      <c r="D1331" s="60">
        <v>5516866073</v>
      </c>
      <c r="E1331" s="60">
        <v>300980</v>
      </c>
      <c r="F1331" s="79">
        <v>1369.6</v>
      </c>
      <c r="G1331" s="69">
        <v>46111</v>
      </c>
    </row>
    <row r="1332" spans="1:7" s="60" customFormat="1" hidden="1" x14ac:dyDescent="0.3">
      <c r="A1332" s="44" t="s">
        <v>17</v>
      </c>
      <c r="B1332" s="44" t="s">
        <v>66</v>
      </c>
      <c r="C1332" s="44" t="s">
        <v>68</v>
      </c>
      <c r="D1332" s="44">
        <f>IFERROR(VLOOKUP(C1332,Base2026!B:D,2,FALSE),"")</f>
        <v>5520706498</v>
      </c>
      <c r="E1332" s="44">
        <v>301059</v>
      </c>
      <c r="F1332" s="87">
        <v>1070.97</v>
      </c>
      <c r="G1332" s="46">
        <v>46111</v>
      </c>
    </row>
    <row r="1333" spans="1:7" hidden="1" x14ac:dyDescent="0.3">
      <c r="A1333" s="60" t="s">
        <v>17</v>
      </c>
      <c r="B1333" s="60" t="s">
        <v>131</v>
      </c>
      <c r="C1333" s="60" t="str">
        <f>IFERROR(VLOOKUP(B1333,Base2026!A:C,2,FALSE),"")</f>
        <v>PRIZO</v>
      </c>
      <c r="D1333" s="60">
        <v>5540020170</v>
      </c>
      <c r="E1333" s="60">
        <v>189230</v>
      </c>
      <c r="F1333" s="79">
        <v>1492</v>
      </c>
      <c r="G1333" s="69">
        <v>46111</v>
      </c>
    </row>
    <row r="1334" spans="1:7" s="60" customFormat="1" hidden="1" x14ac:dyDescent="0.3">
      <c r="A1334" s="44" t="s">
        <v>17</v>
      </c>
      <c r="B1334" s="44" t="s">
        <v>131</v>
      </c>
      <c r="C1334" s="44" t="str">
        <f>IFERROR(VLOOKUP(B1334,Base2026!A:C,2,FALSE),"")</f>
        <v>PRIZO</v>
      </c>
      <c r="D1334" s="44">
        <v>5540020170</v>
      </c>
      <c r="E1334" s="44">
        <v>33973</v>
      </c>
      <c r="F1334" s="87">
        <v>208</v>
      </c>
      <c r="G1334" s="46">
        <v>46111</v>
      </c>
    </row>
    <row r="1335" spans="1:7" hidden="1" x14ac:dyDescent="0.3">
      <c r="A1335" s="60" t="s">
        <v>17</v>
      </c>
      <c r="B1335" s="60" t="s">
        <v>66</v>
      </c>
      <c r="C1335" s="60" t="s">
        <v>68</v>
      </c>
      <c r="D1335" s="60">
        <v>5545286813</v>
      </c>
      <c r="E1335" s="60">
        <v>301067</v>
      </c>
      <c r="F1335" s="79">
        <v>4196</v>
      </c>
      <c r="G1335" s="69">
        <v>46111</v>
      </c>
    </row>
    <row r="1336" spans="1:7" s="60" customFormat="1" hidden="1" x14ac:dyDescent="0.3">
      <c r="A1336" s="44" t="s">
        <v>17</v>
      </c>
      <c r="B1336" s="44" t="s">
        <v>1420</v>
      </c>
      <c r="C1336" s="44" t="s">
        <v>68</v>
      </c>
      <c r="D1336" s="44">
        <v>5549711808</v>
      </c>
      <c r="E1336" s="44">
        <v>354174</v>
      </c>
      <c r="F1336" s="87">
        <v>5463.28</v>
      </c>
      <c r="G1336" s="46">
        <v>46111</v>
      </c>
    </row>
    <row r="1337" spans="1:7" hidden="1" x14ac:dyDescent="0.3">
      <c r="A1337" s="60" t="s">
        <v>17</v>
      </c>
      <c r="B1337" s="60" t="s">
        <v>1418</v>
      </c>
      <c r="C1337" s="60" t="s">
        <v>1419</v>
      </c>
      <c r="D1337" s="60">
        <v>5574370112</v>
      </c>
      <c r="E1337" s="60">
        <v>301075</v>
      </c>
      <c r="F1337" s="79">
        <v>3771.99</v>
      </c>
      <c r="G1337" s="69">
        <v>46111</v>
      </c>
    </row>
    <row r="1338" spans="1:7" s="60" customFormat="1" hidden="1" x14ac:dyDescent="0.3">
      <c r="A1338" s="44" t="s">
        <v>17</v>
      </c>
      <c r="B1338" s="44" t="s">
        <v>1416</v>
      </c>
      <c r="C1338" s="44" t="s">
        <v>1417</v>
      </c>
      <c r="D1338" s="44">
        <v>5633190736</v>
      </c>
      <c r="E1338" s="44">
        <v>189527</v>
      </c>
      <c r="F1338" s="87">
        <v>2984</v>
      </c>
      <c r="G1338" s="46">
        <v>46111</v>
      </c>
    </row>
    <row r="1339" spans="1:7" hidden="1" x14ac:dyDescent="0.3">
      <c r="A1339" s="60" t="s">
        <v>11</v>
      </c>
      <c r="B1339" s="60" t="s">
        <v>1097</v>
      </c>
      <c r="C1339" s="60" t="s">
        <v>614</v>
      </c>
      <c r="D1339" s="60">
        <f>IFERROR(VLOOKUP(C1339,Base2026!B:D,2,FALSE),"")</f>
        <v>5512282267</v>
      </c>
      <c r="E1339" s="60">
        <v>33999</v>
      </c>
      <c r="F1339" s="79">
        <v>16</v>
      </c>
      <c r="G1339" s="69">
        <v>46111</v>
      </c>
    </row>
    <row r="1340" spans="1:7" s="60" customFormat="1" hidden="1" x14ac:dyDescent="0.3">
      <c r="A1340" s="60" t="s">
        <v>11</v>
      </c>
      <c r="B1340" s="60" t="s">
        <v>1314</v>
      </c>
      <c r="C1340" s="60" t="s">
        <v>218</v>
      </c>
      <c r="D1340" s="60">
        <v>5521745267</v>
      </c>
      <c r="E1340" s="60">
        <v>354071</v>
      </c>
      <c r="F1340" s="79">
        <v>11834.99</v>
      </c>
      <c r="G1340" s="69">
        <v>46111</v>
      </c>
    </row>
    <row r="1341" spans="1:7" hidden="1" x14ac:dyDescent="0.3">
      <c r="A1341" s="44" t="s">
        <v>11</v>
      </c>
      <c r="B1341" s="44" t="s">
        <v>1422</v>
      </c>
      <c r="C1341" s="44" t="s">
        <v>163</v>
      </c>
      <c r="D1341" s="44">
        <f>IFERROR(VLOOKUP(C1341,Base2026!B:D,2,FALSE),"")</f>
        <v>5531441980</v>
      </c>
      <c r="E1341" s="44">
        <v>188765</v>
      </c>
      <c r="F1341" s="87">
        <v>8818</v>
      </c>
      <c r="G1341" s="46">
        <v>46111</v>
      </c>
    </row>
    <row r="1342" spans="1:7" s="60" customFormat="1" hidden="1" x14ac:dyDescent="0.3">
      <c r="A1342" s="60" t="s">
        <v>11</v>
      </c>
      <c r="B1342" s="60" t="s">
        <v>249</v>
      </c>
      <c r="C1342" s="60" t="str">
        <f>IFERROR(VLOOKUP(B1342,Base2026!A:C,2,FALSE),"")</f>
        <v>TONATITLA</v>
      </c>
      <c r="D1342" s="60">
        <f>IFERROR(VLOOKUP(C1342,Base2026!B:D,2,FALSE),"")</f>
        <v>5535334019</v>
      </c>
      <c r="E1342" s="60">
        <v>188757</v>
      </c>
      <c r="F1342" s="79">
        <v>7800</v>
      </c>
      <c r="G1342" s="69">
        <v>46111</v>
      </c>
    </row>
    <row r="1343" spans="1:7" hidden="1" x14ac:dyDescent="0.3">
      <c r="A1343" s="44" t="s">
        <v>11</v>
      </c>
      <c r="B1343" s="44" t="s">
        <v>249</v>
      </c>
      <c r="C1343" s="44" t="str">
        <f>IFERROR(VLOOKUP(B1343,Base2026!A:C,2,FALSE),"")</f>
        <v>TONATITLA</v>
      </c>
      <c r="D1343" s="44">
        <f>IFERROR(VLOOKUP(C1343,Base2026!B:D,2,FALSE),"")</f>
        <v>5535334019</v>
      </c>
      <c r="E1343" s="44">
        <v>33912</v>
      </c>
      <c r="F1343" s="87">
        <v>1410</v>
      </c>
      <c r="G1343" s="46">
        <v>46111</v>
      </c>
    </row>
    <row r="1344" spans="1:7" s="60" customFormat="1" hidden="1" x14ac:dyDescent="0.3">
      <c r="A1344" s="60" t="s">
        <v>11</v>
      </c>
      <c r="B1344" s="60" t="s">
        <v>249</v>
      </c>
      <c r="C1344" s="60" t="str">
        <f>IFERROR(VLOOKUP(B1344,Base2026!A:C,2,FALSE),"")</f>
        <v>TONATITLA</v>
      </c>
      <c r="D1344" s="60">
        <f>IFERROR(VLOOKUP(C1344,Base2026!B:D,2,FALSE),"")</f>
        <v>5535334019</v>
      </c>
      <c r="E1344" s="60">
        <v>188758</v>
      </c>
      <c r="F1344" s="79">
        <v>794</v>
      </c>
      <c r="G1344" s="69">
        <v>46111</v>
      </c>
    </row>
    <row r="1345" spans="1:7" hidden="1" x14ac:dyDescent="0.3">
      <c r="A1345" s="44" t="s">
        <v>11</v>
      </c>
      <c r="B1345" s="44" t="s">
        <v>1314</v>
      </c>
      <c r="C1345" s="44" t="s">
        <v>218</v>
      </c>
      <c r="D1345" s="44">
        <f>IFERROR(VLOOKUP(C1345,Base2026!B:D,2,FALSE),"")</f>
        <v>5539511994</v>
      </c>
      <c r="E1345" s="44">
        <v>302008</v>
      </c>
      <c r="F1345" s="87">
        <v>920</v>
      </c>
      <c r="G1345" s="46">
        <v>46111</v>
      </c>
    </row>
    <row r="1346" spans="1:7" s="60" customFormat="1" hidden="1" x14ac:dyDescent="0.3">
      <c r="A1346" s="60" t="s">
        <v>11</v>
      </c>
      <c r="B1346" s="60" t="s">
        <v>1314</v>
      </c>
      <c r="C1346" s="60" t="s">
        <v>218</v>
      </c>
      <c r="D1346" s="60">
        <f>IFERROR(VLOOKUP(C1346,Base2026!B:D,2,FALSE),"")</f>
        <v>5539511994</v>
      </c>
      <c r="E1346" s="60">
        <v>354077</v>
      </c>
      <c r="F1346" s="79">
        <v>1682</v>
      </c>
      <c r="G1346" s="69">
        <v>46111</v>
      </c>
    </row>
    <row r="1347" spans="1:7" hidden="1" x14ac:dyDescent="0.3">
      <c r="A1347" s="44" t="s">
        <v>11</v>
      </c>
      <c r="B1347" s="44" t="s">
        <v>1423</v>
      </c>
      <c r="C1347" s="44" t="s">
        <v>1424</v>
      </c>
      <c r="D1347" s="44">
        <v>5561743082</v>
      </c>
      <c r="E1347" s="44">
        <v>300668</v>
      </c>
      <c r="F1347" s="87">
        <v>2193</v>
      </c>
      <c r="G1347" s="46">
        <v>46111</v>
      </c>
    </row>
    <row r="1348" spans="1:7" s="60" customFormat="1" hidden="1" x14ac:dyDescent="0.3">
      <c r="A1348" s="60" t="s">
        <v>11</v>
      </c>
      <c r="B1348" s="60" t="s">
        <v>1423</v>
      </c>
      <c r="C1348" s="60" t="s">
        <v>1424</v>
      </c>
      <c r="D1348" s="60">
        <v>5561743082</v>
      </c>
      <c r="E1348" s="60">
        <v>33924</v>
      </c>
      <c r="F1348" s="79">
        <v>364</v>
      </c>
      <c r="G1348" s="69">
        <v>46111</v>
      </c>
    </row>
    <row r="1349" spans="1:7" hidden="1" x14ac:dyDescent="0.3">
      <c r="A1349" s="44" t="s">
        <v>11</v>
      </c>
      <c r="B1349" s="44" t="s">
        <v>1423</v>
      </c>
      <c r="C1349" s="44" t="s">
        <v>1424</v>
      </c>
      <c r="D1349" s="44">
        <v>5561743082</v>
      </c>
      <c r="E1349" s="44">
        <v>33925</v>
      </c>
      <c r="F1349" s="87">
        <v>400</v>
      </c>
      <c r="G1349" s="46">
        <v>46111</v>
      </c>
    </row>
    <row r="1350" spans="1:7" s="60" customFormat="1" hidden="1" x14ac:dyDescent="0.3">
      <c r="A1350" s="44" t="s">
        <v>11</v>
      </c>
      <c r="B1350" s="44" t="s">
        <v>1097</v>
      </c>
      <c r="C1350" s="44" t="s">
        <v>614</v>
      </c>
      <c r="D1350" s="44">
        <v>5624251365</v>
      </c>
      <c r="E1350" s="44">
        <v>189418</v>
      </c>
      <c r="F1350" s="87">
        <v>1112</v>
      </c>
      <c r="G1350" s="46">
        <v>46111</v>
      </c>
    </row>
    <row r="1351" spans="1:7" s="42" customFormat="1" hidden="1" x14ac:dyDescent="0.3">
      <c r="A1351" s="44" t="s">
        <v>47</v>
      </c>
      <c r="B1351" s="44" t="s">
        <v>310</v>
      </c>
      <c r="C1351" s="44" t="str">
        <f>IFERROR(VLOOKUP(B1351,Base2026!A:C,2,FALSE),"")</f>
        <v>EJIDOS DE SAN CRISTOBAL</v>
      </c>
      <c r="D1351" s="44">
        <f>IFERROR(VLOOKUP(C1351,Base2026!B:D,2,FALSE),"")</f>
        <v>5514614910</v>
      </c>
      <c r="E1351" s="44">
        <v>188953</v>
      </c>
      <c r="F1351" s="87">
        <v>8444.6299999999992</v>
      </c>
      <c r="G1351" s="46">
        <v>46112</v>
      </c>
    </row>
    <row r="1352" spans="1:7" hidden="1" x14ac:dyDescent="0.3">
      <c r="A1352" s="44" t="s">
        <v>47</v>
      </c>
      <c r="B1352" s="44" t="s">
        <v>1434</v>
      </c>
      <c r="C1352" s="44" t="s">
        <v>16</v>
      </c>
      <c r="D1352" s="44">
        <v>5518489946</v>
      </c>
      <c r="E1352" s="44">
        <v>188674</v>
      </c>
      <c r="F1352" s="87">
        <v>14408.19</v>
      </c>
      <c r="G1352" s="46">
        <v>46112</v>
      </c>
    </row>
    <row r="1353" spans="1:7" s="42" customFormat="1" hidden="1" x14ac:dyDescent="0.3">
      <c r="A1353" s="42" t="s">
        <v>47</v>
      </c>
      <c r="B1353" s="42" t="s">
        <v>1434</v>
      </c>
      <c r="C1353" s="42" t="s">
        <v>16</v>
      </c>
      <c r="D1353" s="42">
        <v>5518489946</v>
      </c>
      <c r="E1353" s="42">
        <v>33898</v>
      </c>
      <c r="F1353" s="86">
        <v>3046</v>
      </c>
      <c r="G1353" s="43">
        <v>46112</v>
      </c>
    </row>
    <row r="1354" spans="1:7" hidden="1" x14ac:dyDescent="0.3">
      <c r="A1354" s="44" t="s">
        <v>47</v>
      </c>
      <c r="B1354" s="44" t="s">
        <v>1432</v>
      </c>
      <c r="C1354" s="44" t="s">
        <v>1433</v>
      </c>
      <c r="D1354" s="44">
        <v>5521769475</v>
      </c>
      <c r="E1354" s="44">
        <v>188095</v>
      </c>
      <c r="F1354" s="87">
        <v>16499</v>
      </c>
      <c r="G1354" s="46">
        <v>46112</v>
      </c>
    </row>
    <row r="1355" spans="1:7" s="42" customFormat="1" hidden="1" x14ac:dyDescent="0.3">
      <c r="A1355" s="42" t="s">
        <v>47</v>
      </c>
      <c r="B1355" s="42" t="s">
        <v>1432</v>
      </c>
      <c r="C1355" s="42" t="s">
        <v>1433</v>
      </c>
      <c r="D1355" s="42">
        <v>5521769475</v>
      </c>
      <c r="E1355" s="42">
        <v>33821</v>
      </c>
      <c r="F1355" s="86">
        <v>2474</v>
      </c>
      <c r="G1355" s="43">
        <v>46112</v>
      </c>
    </row>
    <row r="1356" spans="1:7" hidden="1" x14ac:dyDescent="0.3">
      <c r="A1356" s="42" t="s">
        <v>47</v>
      </c>
      <c r="B1356" s="42" t="s">
        <v>398</v>
      </c>
      <c r="C1356" s="42" t="str">
        <f>IFERROR(VLOOKUP(B1356,Base2026!A:C,2,FALSE),"")</f>
        <v>FRANCISCO VILLA</v>
      </c>
      <c r="D1356" s="42">
        <f>IFERROR(VLOOKUP(C1356,Base2026!B:D,2,FALSE),"")</f>
        <v>5535173661</v>
      </c>
      <c r="E1356" s="42">
        <v>189427</v>
      </c>
      <c r="F1356" s="86">
        <v>793.52</v>
      </c>
      <c r="G1356" s="43">
        <v>46112</v>
      </c>
    </row>
    <row r="1357" spans="1:7" s="42" customFormat="1" hidden="1" x14ac:dyDescent="0.3">
      <c r="A1357" s="44" t="s">
        <v>10</v>
      </c>
      <c r="B1357" s="44" t="s">
        <v>1436</v>
      </c>
      <c r="C1357" s="44" t="s">
        <v>28</v>
      </c>
      <c r="D1357" s="44">
        <v>5514760395</v>
      </c>
      <c r="E1357" s="44">
        <v>189764</v>
      </c>
      <c r="F1357" s="87">
        <v>8304</v>
      </c>
      <c r="G1357" s="46">
        <v>46112</v>
      </c>
    </row>
    <row r="1358" spans="1:7" hidden="1" x14ac:dyDescent="0.3">
      <c r="A1358" s="42" t="s">
        <v>10</v>
      </c>
      <c r="B1358" s="42" t="s">
        <v>1437</v>
      </c>
      <c r="C1358" s="42" t="s">
        <v>60</v>
      </c>
      <c r="D1358" s="42">
        <v>5522950465</v>
      </c>
      <c r="E1358" s="42">
        <v>186266</v>
      </c>
      <c r="F1358" s="86">
        <v>2200</v>
      </c>
      <c r="G1358" s="43">
        <v>46112</v>
      </c>
    </row>
    <row r="1359" spans="1:7" s="42" customFormat="1" hidden="1" x14ac:dyDescent="0.3">
      <c r="A1359" s="42" t="s">
        <v>10</v>
      </c>
      <c r="B1359" s="42" t="s">
        <v>1440</v>
      </c>
      <c r="C1359" s="42" t="s">
        <v>41</v>
      </c>
      <c r="D1359" s="42">
        <v>5532083177</v>
      </c>
      <c r="E1359" s="42">
        <v>353977</v>
      </c>
      <c r="F1359" s="86">
        <v>15627.98</v>
      </c>
      <c r="G1359" s="43">
        <v>46112</v>
      </c>
    </row>
    <row r="1360" spans="1:7" hidden="1" x14ac:dyDescent="0.3">
      <c r="A1360" s="42" t="s">
        <v>10</v>
      </c>
      <c r="B1360" s="42" t="s">
        <v>1435</v>
      </c>
      <c r="C1360" s="42" t="s">
        <v>237</v>
      </c>
      <c r="D1360" s="42">
        <v>5617063033</v>
      </c>
      <c r="E1360" s="42">
        <v>189780</v>
      </c>
      <c r="F1360" s="86">
        <v>1878</v>
      </c>
      <c r="G1360" s="43">
        <v>46112</v>
      </c>
    </row>
    <row r="1361" spans="1:7" s="42" customFormat="1" hidden="1" x14ac:dyDescent="0.3">
      <c r="A1361" s="44" t="s">
        <v>10</v>
      </c>
      <c r="B1361" s="44" t="s">
        <v>1441</v>
      </c>
      <c r="C1361" s="44" t="s">
        <v>60</v>
      </c>
      <c r="D1361" s="44">
        <v>5629107485</v>
      </c>
      <c r="E1361" s="44">
        <v>189444</v>
      </c>
      <c r="F1361" s="87">
        <v>7150</v>
      </c>
      <c r="G1361" s="46">
        <v>46112</v>
      </c>
    </row>
    <row r="1362" spans="1:7" hidden="1" x14ac:dyDescent="0.3">
      <c r="A1362" s="42" t="s">
        <v>10</v>
      </c>
      <c r="B1362" s="42" t="s">
        <v>1441</v>
      </c>
      <c r="C1362" s="42" t="s">
        <v>60</v>
      </c>
      <c r="D1362" s="42">
        <v>5629107485</v>
      </c>
      <c r="E1362" s="42">
        <v>34003</v>
      </c>
      <c r="F1362" s="86">
        <v>604</v>
      </c>
      <c r="G1362" s="43">
        <v>46112</v>
      </c>
    </row>
    <row r="1363" spans="1:7" s="42" customFormat="1" hidden="1" x14ac:dyDescent="0.3">
      <c r="A1363" s="44" t="s">
        <v>10</v>
      </c>
      <c r="B1363" s="44" t="s">
        <v>1438</v>
      </c>
      <c r="C1363" s="44" t="s">
        <v>1439</v>
      </c>
      <c r="D1363" s="44">
        <v>5647659138</v>
      </c>
      <c r="E1363" s="44">
        <v>189894</v>
      </c>
      <c r="F1363" s="87">
        <v>2600</v>
      </c>
      <c r="G1363" s="46">
        <v>46112</v>
      </c>
    </row>
    <row r="1364" spans="1:7" hidden="1" x14ac:dyDescent="0.3">
      <c r="A1364" s="42" t="s">
        <v>17</v>
      </c>
      <c r="B1364" s="42" t="s">
        <v>1425</v>
      </c>
      <c r="C1364" s="42" t="s">
        <v>1426</v>
      </c>
      <c r="D1364" s="42">
        <v>5518548421</v>
      </c>
      <c r="E1364" s="42">
        <v>189787</v>
      </c>
      <c r="F1364" s="86">
        <v>6500</v>
      </c>
      <c r="G1364" s="43">
        <v>46112</v>
      </c>
    </row>
    <row r="1365" spans="1:7" s="42" customFormat="1" hidden="1" x14ac:dyDescent="0.3">
      <c r="A1365" s="44" t="s">
        <v>17</v>
      </c>
      <c r="B1365" s="44" t="s">
        <v>1428</v>
      </c>
      <c r="C1365" s="44" t="s">
        <v>115</v>
      </c>
      <c r="D1365" s="44">
        <v>5534324927</v>
      </c>
      <c r="E1365" s="44">
        <v>301061</v>
      </c>
      <c r="F1365" s="87">
        <v>3755.92</v>
      </c>
      <c r="G1365" s="46">
        <v>46112</v>
      </c>
    </row>
    <row r="1366" spans="1:7" hidden="1" x14ac:dyDescent="0.3">
      <c r="A1366" s="44" t="s">
        <v>17</v>
      </c>
      <c r="B1366" s="44" t="s">
        <v>537</v>
      </c>
      <c r="C1366" s="44" t="str">
        <f>IFERROR(VLOOKUP(B1366,Base2026!A:C,2,FALSE),"")</f>
        <v>MARTIN CARRERA</v>
      </c>
      <c r="D1366" s="44">
        <f>IFERROR(VLOOKUP(C1366,Base2026!B:D,2,FALSE),"")</f>
        <v>5541813683</v>
      </c>
      <c r="E1366" s="44">
        <v>188217</v>
      </c>
      <c r="F1366" s="87">
        <v>6714</v>
      </c>
      <c r="G1366" s="46">
        <v>46112</v>
      </c>
    </row>
    <row r="1367" spans="1:7" s="42" customFormat="1" hidden="1" x14ac:dyDescent="0.3">
      <c r="A1367" s="42" t="s">
        <v>17</v>
      </c>
      <c r="B1367" s="42" t="s">
        <v>537</v>
      </c>
      <c r="C1367" s="42" t="str">
        <f>IFERROR(VLOOKUP(B1367,Base2026!A:C,2,FALSE),"")</f>
        <v>MARTIN CARRERA</v>
      </c>
      <c r="D1367" s="42">
        <f>IFERROR(VLOOKUP(C1367,Base2026!B:D,2,FALSE),"")</f>
        <v>5541813683</v>
      </c>
      <c r="E1367" s="42">
        <v>33837</v>
      </c>
      <c r="F1367" s="86">
        <v>2280</v>
      </c>
      <c r="G1367" s="43">
        <v>46112</v>
      </c>
    </row>
    <row r="1368" spans="1:7" hidden="1" x14ac:dyDescent="0.3">
      <c r="A1368" s="44" t="s">
        <v>17</v>
      </c>
      <c r="B1368" s="44" t="s">
        <v>537</v>
      </c>
      <c r="C1368" s="44" t="str">
        <f>IFERROR(VLOOKUP(B1368,Base2026!A:C,2,FALSE),"")</f>
        <v>MARTIN CARRERA</v>
      </c>
      <c r="D1368" s="44">
        <f>IFERROR(VLOOKUP(C1368,Base2026!B:D,2,FALSE),"")</f>
        <v>5541813683</v>
      </c>
      <c r="E1368" s="44">
        <v>354033</v>
      </c>
      <c r="F1368" s="87">
        <v>16752.98</v>
      </c>
      <c r="G1368" s="46">
        <v>46112</v>
      </c>
    </row>
    <row r="1369" spans="1:7" s="42" customFormat="1" hidden="1" x14ac:dyDescent="0.3">
      <c r="A1369" s="42" t="s">
        <v>17</v>
      </c>
      <c r="B1369" s="42" t="s">
        <v>537</v>
      </c>
      <c r="C1369" s="42" t="str">
        <f>IFERROR(VLOOKUP(B1369,Base2026!A:C,2,FALSE),"")</f>
        <v>MARTIN CARRERA</v>
      </c>
      <c r="D1369" s="42">
        <f>IFERROR(VLOOKUP(C1369,Base2026!B:D,2,FALSE),"")</f>
        <v>5541813683</v>
      </c>
      <c r="E1369" s="42">
        <v>302004</v>
      </c>
      <c r="F1369" s="86">
        <v>3076</v>
      </c>
      <c r="G1369" s="43">
        <v>46112</v>
      </c>
    </row>
    <row r="1370" spans="1:7" hidden="1" x14ac:dyDescent="0.3">
      <c r="A1370" s="44" t="s">
        <v>17</v>
      </c>
      <c r="B1370" s="44" t="s">
        <v>254</v>
      </c>
      <c r="C1370" s="44" t="s">
        <v>1431</v>
      </c>
      <c r="D1370" s="80">
        <v>5554550976</v>
      </c>
      <c r="E1370" s="44">
        <v>299129</v>
      </c>
      <c r="F1370" s="87">
        <v>3094</v>
      </c>
      <c r="G1370" s="46">
        <v>46112</v>
      </c>
    </row>
    <row r="1371" spans="1:7" s="42" customFormat="1" hidden="1" x14ac:dyDescent="0.3">
      <c r="A1371" s="42" t="s">
        <v>17</v>
      </c>
      <c r="B1371" s="42" t="s">
        <v>1429</v>
      </c>
      <c r="C1371" s="42" t="s">
        <v>848</v>
      </c>
      <c r="D1371" s="42">
        <v>5567642202</v>
      </c>
      <c r="E1371" s="42">
        <v>301264</v>
      </c>
      <c r="F1371" s="86">
        <v>1170</v>
      </c>
      <c r="G1371" s="43">
        <v>46112</v>
      </c>
    </row>
    <row r="1372" spans="1:7" hidden="1" x14ac:dyDescent="0.3">
      <c r="A1372" s="42" t="s">
        <v>17</v>
      </c>
      <c r="B1372" s="42" t="s">
        <v>1430</v>
      </c>
      <c r="C1372" s="42" t="s">
        <v>204</v>
      </c>
      <c r="D1372" s="42">
        <f>IFERROR(VLOOKUP(C1372,Base2026!B:D,2,FALSE),"")</f>
        <v>5570265288</v>
      </c>
      <c r="E1372" s="42">
        <v>301203</v>
      </c>
      <c r="F1372" s="86">
        <v>2959</v>
      </c>
      <c r="G1372" s="43">
        <v>46112</v>
      </c>
    </row>
    <row r="1373" spans="1:7" s="42" customFormat="1" hidden="1" x14ac:dyDescent="0.3">
      <c r="A1373" s="44" t="s">
        <v>17</v>
      </c>
      <c r="B1373" s="44" t="s">
        <v>1430</v>
      </c>
      <c r="C1373" s="44" t="s">
        <v>204</v>
      </c>
      <c r="D1373" s="44">
        <f>IFERROR(VLOOKUP(C1373,Base2026!B:D,2,FALSE),"")</f>
        <v>5570265288</v>
      </c>
      <c r="E1373" s="44">
        <v>301190</v>
      </c>
      <c r="F1373" s="87">
        <v>7174</v>
      </c>
      <c r="G1373" s="46">
        <v>46112</v>
      </c>
    </row>
    <row r="1374" spans="1:7" hidden="1" x14ac:dyDescent="0.3">
      <c r="A1374" s="42" t="s">
        <v>17</v>
      </c>
      <c r="B1374" s="42" t="s">
        <v>1430</v>
      </c>
      <c r="C1374" s="42" t="s">
        <v>204</v>
      </c>
      <c r="D1374" s="42">
        <f>IFERROR(VLOOKUP(C1374,Base2026!B:D,2,FALSE),"")</f>
        <v>5570265288</v>
      </c>
      <c r="E1374" s="42">
        <v>301189</v>
      </c>
      <c r="F1374" s="86">
        <v>8346</v>
      </c>
      <c r="G1374" s="43">
        <v>46112</v>
      </c>
    </row>
    <row r="1375" spans="1:7" s="42" customFormat="1" hidden="1" x14ac:dyDescent="0.3">
      <c r="A1375" s="42" t="s">
        <v>17</v>
      </c>
      <c r="B1375" s="42" t="s">
        <v>1427</v>
      </c>
      <c r="C1375" s="42" t="s">
        <v>688</v>
      </c>
      <c r="D1375" s="42">
        <f>IFERROR(VLOOKUP(C1375,Base2026!B:D,2,FALSE),"")</f>
        <v>5572111897</v>
      </c>
      <c r="E1375" s="42">
        <v>354237</v>
      </c>
      <c r="F1375" s="86">
        <v>12899</v>
      </c>
      <c r="G1375" s="43">
        <v>46112</v>
      </c>
    </row>
    <row r="1376" spans="1:7" hidden="1" x14ac:dyDescent="0.3">
      <c r="A1376" s="44" t="s">
        <v>17</v>
      </c>
      <c r="B1376" s="44" t="s">
        <v>1430</v>
      </c>
      <c r="C1376" s="44" t="s">
        <v>204</v>
      </c>
      <c r="D1376" s="44">
        <v>5624174197</v>
      </c>
      <c r="E1376" s="44">
        <v>301118</v>
      </c>
      <c r="F1376" s="87">
        <v>11909</v>
      </c>
      <c r="G1376" s="46">
        <v>46112</v>
      </c>
    </row>
    <row r="1377" spans="1:7" s="42" customFormat="1" hidden="1" x14ac:dyDescent="0.3">
      <c r="A1377" s="44" t="s">
        <v>17</v>
      </c>
      <c r="B1377" s="44" t="s">
        <v>473</v>
      </c>
      <c r="C1377" s="44" t="str">
        <f>IFERROR(VLOOKUP(B1377,Base2026!A:C,2,FALSE),"")</f>
        <v>NUEVA ATZACOALCO</v>
      </c>
      <c r="D1377" s="44">
        <f>IFERROR(VLOOKUP(C1377,Base2026!B:D,2,FALSE),"")</f>
        <v>5638291782</v>
      </c>
      <c r="E1377" s="44">
        <v>189700</v>
      </c>
      <c r="F1377" s="87">
        <v>7636</v>
      </c>
      <c r="G1377" s="46">
        <v>46112</v>
      </c>
    </row>
    <row r="1378" spans="1:7" hidden="1" x14ac:dyDescent="0.3">
      <c r="A1378" s="44" t="s">
        <v>11</v>
      </c>
      <c r="B1378" s="44" t="s">
        <v>1442</v>
      </c>
      <c r="C1378" s="44" t="s">
        <v>70</v>
      </c>
      <c r="D1378" s="44">
        <v>3221281470</v>
      </c>
      <c r="E1378" s="44">
        <v>188962</v>
      </c>
      <c r="F1378" s="87">
        <v>5655</v>
      </c>
      <c r="G1378" s="46">
        <v>46112</v>
      </c>
    </row>
    <row r="1379" spans="1:7" s="42" customFormat="1" hidden="1" x14ac:dyDescent="0.3">
      <c r="A1379" s="42" t="s">
        <v>11</v>
      </c>
      <c r="B1379" s="42" t="s">
        <v>1442</v>
      </c>
      <c r="C1379" s="42" t="s">
        <v>70</v>
      </c>
      <c r="D1379" s="42">
        <v>3221281470</v>
      </c>
      <c r="E1379" s="42">
        <v>33937</v>
      </c>
      <c r="F1379" s="86">
        <v>900</v>
      </c>
      <c r="G1379" s="43">
        <v>46112</v>
      </c>
    </row>
    <row r="1380" spans="1:7" hidden="1" x14ac:dyDescent="0.3">
      <c r="A1380" s="42" t="s">
        <v>11</v>
      </c>
      <c r="B1380" s="42" t="s">
        <v>1444</v>
      </c>
      <c r="C1380" s="42" t="s">
        <v>1445</v>
      </c>
      <c r="D1380" s="42">
        <v>5542503443</v>
      </c>
      <c r="E1380" s="42">
        <v>188185</v>
      </c>
      <c r="F1380" s="86">
        <v>13236.79</v>
      </c>
      <c r="G1380" s="43">
        <v>46112</v>
      </c>
    </row>
    <row r="1381" spans="1:7" s="42" customFormat="1" hidden="1" x14ac:dyDescent="0.3">
      <c r="A1381" s="44" t="s">
        <v>11</v>
      </c>
      <c r="B1381" s="44" t="s">
        <v>1448</v>
      </c>
      <c r="C1381" s="44" t="s">
        <v>795</v>
      </c>
      <c r="D1381" s="44">
        <f>IFERROR(VLOOKUP(C1381,Base2026!B:D,2,FALSE),"")</f>
        <v>5557748451</v>
      </c>
      <c r="E1381" s="44">
        <v>188523</v>
      </c>
      <c r="F1381" s="87">
        <v>25968.04</v>
      </c>
      <c r="G1381" s="46">
        <v>46112</v>
      </c>
    </row>
    <row r="1382" spans="1:7" hidden="1" x14ac:dyDescent="0.3">
      <c r="A1382" s="44" t="s">
        <v>11</v>
      </c>
      <c r="B1382" s="44" t="s">
        <v>488</v>
      </c>
      <c r="C1382" s="44" t="s">
        <v>1443</v>
      </c>
      <c r="D1382" s="44">
        <v>5563020807</v>
      </c>
      <c r="E1382" s="44">
        <v>189741</v>
      </c>
      <c r="F1382" s="87">
        <v>14708</v>
      </c>
      <c r="G1382" s="46">
        <v>46112</v>
      </c>
    </row>
    <row r="1383" spans="1:7" s="42" customFormat="1" hidden="1" x14ac:dyDescent="0.3">
      <c r="A1383" s="44" t="s">
        <v>11</v>
      </c>
      <c r="B1383" s="44" t="s">
        <v>1446</v>
      </c>
      <c r="C1383" s="44" t="s">
        <v>1447</v>
      </c>
      <c r="D1383" s="44">
        <v>5626963628</v>
      </c>
      <c r="E1383" s="44">
        <v>189249</v>
      </c>
      <c r="F1383" s="87">
        <v>2502</v>
      </c>
      <c r="G1383" s="46">
        <v>46112</v>
      </c>
    </row>
    <row r="1384" spans="1:7" hidden="1" x14ac:dyDescent="0.3">
      <c r="A1384" s="42" t="s">
        <v>11</v>
      </c>
      <c r="B1384" s="42" t="s">
        <v>1446</v>
      </c>
      <c r="C1384" s="42" t="s">
        <v>1447</v>
      </c>
      <c r="D1384" s="42">
        <v>5626963628</v>
      </c>
      <c r="E1384" s="42">
        <v>33975</v>
      </c>
      <c r="F1384" s="86">
        <v>494</v>
      </c>
      <c r="G1384" s="43">
        <v>46112</v>
      </c>
    </row>
    <row r="1385" spans="1:7" s="48" customFormat="1" hidden="1" x14ac:dyDescent="0.3">
      <c r="A1385" s="44" t="s">
        <v>10</v>
      </c>
      <c r="B1385" s="44" t="s">
        <v>1315</v>
      </c>
      <c r="C1385" s="44" t="s">
        <v>138</v>
      </c>
      <c r="D1385" s="44">
        <v>5514851554</v>
      </c>
      <c r="E1385" s="44">
        <v>354173</v>
      </c>
      <c r="F1385" s="87">
        <v>5732.16</v>
      </c>
      <c r="G1385" s="46">
        <v>46113</v>
      </c>
    </row>
    <row r="1386" spans="1:7" hidden="1" x14ac:dyDescent="0.3">
      <c r="A1386" s="48" t="s">
        <v>10</v>
      </c>
      <c r="B1386" s="48" t="s">
        <v>1315</v>
      </c>
      <c r="C1386" s="48" t="s">
        <v>138</v>
      </c>
      <c r="D1386" s="48">
        <v>5514851554</v>
      </c>
      <c r="E1386" s="48">
        <v>354172</v>
      </c>
      <c r="F1386" s="88">
        <v>50</v>
      </c>
      <c r="G1386" s="50">
        <v>46113</v>
      </c>
    </row>
    <row r="1387" spans="1:7" s="48" customFormat="1" hidden="1" x14ac:dyDescent="0.3">
      <c r="A1387" s="44" t="s">
        <v>10</v>
      </c>
      <c r="B1387" s="44" t="s">
        <v>1315</v>
      </c>
      <c r="C1387" s="44" t="s">
        <v>138</v>
      </c>
      <c r="D1387" s="44">
        <v>5514851554</v>
      </c>
      <c r="E1387" s="44">
        <v>354208</v>
      </c>
      <c r="F1387" s="87">
        <v>425</v>
      </c>
      <c r="G1387" s="46">
        <v>46113</v>
      </c>
    </row>
    <row r="1388" spans="1:7" hidden="1" x14ac:dyDescent="0.3">
      <c r="A1388" s="48" t="s">
        <v>10</v>
      </c>
      <c r="B1388" s="48" t="s">
        <v>579</v>
      </c>
      <c r="C1388" s="48" t="str">
        <f>IFERROR(VLOOKUP(B1388,Base2026!A:C,2,FALSE),"")</f>
        <v>CHAMIZALITO</v>
      </c>
      <c r="D1388" s="48">
        <f>IFERROR(VLOOKUP(C1388,Base2026!B:D,2,FALSE),"")</f>
        <v>5515369770</v>
      </c>
      <c r="E1388" s="48">
        <v>353945</v>
      </c>
      <c r="F1388" s="88">
        <v>7963</v>
      </c>
      <c r="G1388" s="50">
        <v>46113</v>
      </c>
    </row>
    <row r="1389" spans="1:7" s="48" customFormat="1" hidden="1" x14ac:dyDescent="0.3">
      <c r="A1389" s="44" t="s">
        <v>10</v>
      </c>
      <c r="B1389" s="44" t="s">
        <v>579</v>
      </c>
      <c r="C1389" s="44" t="str">
        <f>IFERROR(VLOOKUP(B1389,Base2026!A:C,2,FALSE),"")</f>
        <v>CHAMIZALITO</v>
      </c>
      <c r="D1389" s="44">
        <f>IFERROR(VLOOKUP(C1389,Base2026!B:D,2,FALSE),"")</f>
        <v>5515369770</v>
      </c>
      <c r="E1389" s="44">
        <v>301990</v>
      </c>
      <c r="F1389" s="87">
        <v>1178</v>
      </c>
      <c r="G1389" s="46">
        <v>46113</v>
      </c>
    </row>
    <row r="1390" spans="1:7" hidden="1" x14ac:dyDescent="0.3">
      <c r="A1390" s="44" t="s">
        <v>10</v>
      </c>
      <c r="B1390" s="44" t="s">
        <v>1459</v>
      </c>
      <c r="C1390" s="44" t="s">
        <v>1460</v>
      </c>
      <c r="D1390" s="44">
        <v>5516868201</v>
      </c>
      <c r="E1390" s="44">
        <v>190010</v>
      </c>
      <c r="F1390" s="87">
        <v>2500</v>
      </c>
      <c r="G1390" s="46">
        <v>46113</v>
      </c>
    </row>
    <row r="1391" spans="1:7" s="48" customFormat="1" hidden="1" x14ac:dyDescent="0.3">
      <c r="A1391" s="48" t="s">
        <v>10</v>
      </c>
      <c r="B1391" s="48" t="s">
        <v>1452</v>
      </c>
      <c r="C1391" s="48" t="s">
        <v>431</v>
      </c>
      <c r="D1391" s="48">
        <v>5539096836</v>
      </c>
      <c r="E1391" s="48">
        <v>189710</v>
      </c>
      <c r="F1391" s="88">
        <v>1182.52</v>
      </c>
      <c r="G1391" s="50">
        <v>46113</v>
      </c>
    </row>
    <row r="1392" spans="1:7" hidden="1" x14ac:dyDescent="0.3">
      <c r="A1392" s="44" t="s">
        <v>10</v>
      </c>
      <c r="B1392" s="44" t="s">
        <v>314</v>
      </c>
      <c r="C1392" s="44" t="str">
        <f>IFERROR(VLOOKUP(B1392,Base2026!A:C,2,FALSE),"")</f>
        <v>JARDINES DE SANTA CLARA</v>
      </c>
      <c r="D1392" s="44">
        <v>5544844808</v>
      </c>
      <c r="E1392" s="44">
        <v>301380</v>
      </c>
      <c r="F1392" s="87">
        <v>1606</v>
      </c>
      <c r="G1392" s="46">
        <v>46113</v>
      </c>
    </row>
    <row r="1393" spans="1:8" s="48" customFormat="1" hidden="1" x14ac:dyDescent="0.3">
      <c r="A1393" s="48" t="s">
        <v>10</v>
      </c>
      <c r="B1393" s="48" t="s">
        <v>1450</v>
      </c>
      <c r="C1393" s="48" t="s">
        <v>1451</v>
      </c>
      <c r="D1393" s="48">
        <v>5560764033</v>
      </c>
      <c r="E1393" s="48">
        <v>190036</v>
      </c>
      <c r="F1393" s="88">
        <v>10958</v>
      </c>
      <c r="G1393" s="50">
        <v>46113</v>
      </c>
    </row>
    <row r="1394" spans="1:8" hidden="1" x14ac:dyDescent="0.3">
      <c r="A1394" s="48" t="s">
        <v>10</v>
      </c>
      <c r="B1394" s="48" t="s">
        <v>1449</v>
      </c>
      <c r="C1394" s="48" t="s">
        <v>84</v>
      </c>
      <c r="D1394" s="48">
        <v>5611893754</v>
      </c>
      <c r="E1394" s="48">
        <v>189289</v>
      </c>
      <c r="F1394" s="88">
        <v>2296.56</v>
      </c>
      <c r="G1394" s="50">
        <v>46113</v>
      </c>
    </row>
    <row r="1395" spans="1:8" s="48" customFormat="1" hidden="1" x14ac:dyDescent="0.3">
      <c r="A1395" s="44" t="s">
        <v>10</v>
      </c>
      <c r="B1395" s="44" t="s">
        <v>1449</v>
      </c>
      <c r="C1395" s="44" t="s">
        <v>84</v>
      </c>
      <c r="D1395" s="44">
        <v>5611893754</v>
      </c>
      <c r="E1395" s="44">
        <v>189325</v>
      </c>
      <c r="F1395" s="87">
        <v>1615.48</v>
      </c>
      <c r="G1395" s="46">
        <v>46113</v>
      </c>
    </row>
    <row r="1396" spans="1:8" hidden="1" x14ac:dyDescent="0.3">
      <c r="A1396" s="48" t="s">
        <v>10</v>
      </c>
      <c r="B1396" s="48" t="s">
        <v>1453</v>
      </c>
      <c r="C1396" s="48" t="s">
        <v>60</v>
      </c>
      <c r="D1396" s="48">
        <v>5633663091</v>
      </c>
      <c r="E1396" s="48">
        <v>189760</v>
      </c>
      <c r="F1396" s="88">
        <v>10668.56</v>
      </c>
      <c r="G1396" s="50">
        <v>46113</v>
      </c>
      <c r="H1396" s="44" t="s">
        <v>1458</v>
      </c>
    </row>
    <row r="1397" spans="1:8" s="48" customFormat="1" hidden="1" x14ac:dyDescent="0.3">
      <c r="A1397" s="44" t="s">
        <v>17</v>
      </c>
      <c r="B1397" s="44" t="s">
        <v>1455</v>
      </c>
      <c r="C1397" s="44" t="s">
        <v>425</v>
      </c>
      <c r="D1397" s="44">
        <f>IFERROR(VLOOKUP(C1397,Base2026!B:D,2,FALSE),"")</f>
        <v>5517957453</v>
      </c>
      <c r="E1397" s="44">
        <v>188437</v>
      </c>
      <c r="F1397" s="87">
        <v>10488.99</v>
      </c>
      <c r="G1397" s="46">
        <v>46113</v>
      </c>
    </row>
    <row r="1398" spans="1:8" hidden="1" x14ac:dyDescent="0.3">
      <c r="A1398" s="44" t="s">
        <v>17</v>
      </c>
      <c r="B1398" s="44" t="s">
        <v>1454</v>
      </c>
      <c r="C1398" s="44" t="s">
        <v>54</v>
      </c>
      <c r="D1398" s="44">
        <f>IFERROR(VLOOKUP(C1398,Base2026!B:D,2,FALSE),"")</f>
        <v>5533096013</v>
      </c>
      <c r="E1398" s="44">
        <v>188796</v>
      </c>
      <c r="F1398" s="87">
        <v>2954</v>
      </c>
      <c r="G1398" s="46">
        <v>46113</v>
      </c>
    </row>
    <row r="1399" spans="1:8" s="48" customFormat="1" hidden="1" x14ac:dyDescent="0.3">
      <c r="A1399" s="48" t="s">
        <v>17</v>
      </c>
      <c r="B1399" s="48" t="s">
        <v>1456</v>
      </c>
      <c r="C1399" s="48" t="s">
        <v>1457</v>
      </c>
      <c r="D1399" s="48">
        <v>5534311941</v>
      </c>
      <c r="E1399" s="48">
        <v>301339</v>
      </c>
      <c r="F1399" s="88">
        <v>4053</v>
      </c>
      <c r="G1399" s="50">
        <v>46113</v>
      </c>
    </row>
    <row r="1400" spans="1:8" hidden="1" x14ac:dyDescent="0.3">
      <c r="A1400" s="48" t="s">
        <v>17</v>
      </c>
      <c r="B1400" s="48" t="s">
        <v>1454</v>
      </c>
      <c r="C1400" s="48" t="s">
        <v>54</v>
      </c>
      <c r="D1400" s="48">
        <v>5543382201</v>
      </c>
      <c r="E1400" s="48">
        <v>188795</v>
      </c>
      <c r="F1400" s="88">
        <v>14540.72</v>
      </c>
      <c r="G1400" s="50">
        <v>46113</v>
      </c>
    </row>
    <row r="1401" spans="1:8" s="48" customFormat="1" hidden="1" x14ac:dyDescent="0.3">
      <c r="A1401" s="48" t="s">
        <v>17</v>
      </c>
      <c r="B1401" s="48" t="s">
        <v>1455</v>
      </c>
      <c r="C1401" s="48" t="s">
        <v>425</v>
      </c>
      <c r="D1401" s="48">
        <v>5564001479</v>
      </c>
      <c r="E1401" s="48">
        <v>33861</v>
      </c>
      <c r="F1401" s="88">
        <v>1496</v>
      </c>
      <c r="G1401" s="50">
        <v>46113</v>
      </c>
    </row>
    <row r="1402" spans="1:8" hidden="1" x14ac:dyDescent="0.3">
      <c r="A1402" s="44" t="s">
        <v>17</v>
      </c>
      <c r="B1402" s="44" t="s">
        <v>625</v>
      </c>
      <c r="C1402" s="44" t="str">
        <f>IFERROR(VLOOKUP(B1402,Base2026!A:C,2,FALSE),"")</f>
        <v>GRANJAS VALLE</v>
      </c>
      <c r="D1402" s="44">
        <f>IFERROR(VLOOKUP(C1402,Base2026!B:D,2,FALSE),"")</f>
        <v>5578992575</v>
      </c>
      <c r="E1402" s="44">
        <v>189968</v>
      </c>
      <c r="F1402" s="87">
        <v>650</v>
      </c>
      <c r="G1402" s="46">
        <v>46113</v>
      </c>
    </row>
    <row r="1403" spans="1:8" s="48" customFormat="1" hidden="1" x14ac:dyDescent="0.3">
      <c r="A1403" s="44" t="s">
        <v>17</v>
      </c>
      <c r="B1403" s="44" t="s">
        <v>1430</v>
      </c>
      <c r="C1403" s="44" t="s">
        <v>204</v>
      </c>
      <c r="D1403" s="44">
        <v>5624174197</v>
      </c>
      <c r="E1403" s="44">
        <v>301188</v>
      </c>
      <c r="F1403" s="87">
        <v>11909</v>
      </c>
      <c r="G1403" s="46">
        <v>46113</v>
      </c>
    </row>
    <row r="1404" spans="1:8" hidden="1" x14ac:dyDescent="0.3">
      <c r="A1404" s="48" t="s">
        <v>17</v>
      </c>
      <c r="B1404" s="48" t="s">
        <v>1430</v>
      </c>
      <c r="C1404" s="48" t="s">
        <v>204</v>
      </c>
      <c r="D1404" s="48">
        <v>5624174197</v>
      </c>
      <c r="E1404" s="48">
        <v>301203</v>
      </c>
      <c r="F1404" s="88">
        <v>2959</v>
      </c>
      <c r="G1404" s="50">
        <v>46113</v>
      </c>
      <c r="H1404" s="44" t="s">
        <v>1458</v>
      </c>
    </row>
    <row r="1405" spans="1:8" s="48" customFormat="1" hidden="1" x14ac:dyDescent="0.3">
      <c r="A1405" s="44" t="s">
        <v>17</v>
      </c>
      <c r="B1405" s="44" t="s">
        <v>1430</v>
      </c>
      <c r="C1405" s="44" t="s">
        <v>204</v>
      </c>
      <c r="D1405" s="44">
        <v>5624174197</v>
      </c>
      <c r="E1405" s="44">
        <v>301190</v>
      </c>
      <c r="F1405" s="87">
        <v>7174</v>
      </c>
      <c r="G1405" s="46">
        <v>46113</v>
      </c>
      <c r="H1405" s="48" t="s">
        <v>1458</v>
      </c>
    </row>
    <row r="1406" spans="1:8" hidden="1" x14ac:dyDescent="0.3">
      <c r="A1406" s="48" t="s">
        <v>17</v>
      </c>
      <c r="B1406" s="48" t="s">
        <v>1430</v>
      </c>
      <c r="C1406" s="48" t="s">
        <v>204</v>
      </c>
      <c r="D1406" s="48">
        <v>5624174197</v>
      </c>
      <c r="E1406" s="48">
        <v>301189</v>
      </c>
      <c r="F1406" s="88">
        <v>8436</v>
      </c>
      <c r="G1406" s="50">
        <v>46113</v>
      </c>
      <c r="H1406" s="44" t="s">
        <v>1458</v>
      </c>
    </row>
    <row r="1407" spans="1:8" s="48" customFormat="1" hidden="1" x14ac:dyDescent="0.3">
      <c r="A1407" s="48" t="s">
        <v>942</v>
      </c>
      <c r="B1407" s="48" t="s">
        <v>1392</v>
      </c>
      <c r="C1407" s="48" t="s">
        <v>923</v>
      </c>
      <c r="D1407" s="48">
        <v>5540809412</v>
      </c>
      <c r="E1407" s="48">
        <v>298263</v>
      </c>
      <c r="F1407" s="88">
        <v>154254.74</v>
      </c>
      <c r="G1407" s="50">
        <v>46113</v>
      </c>
      <c r="H1407" s="48" t="s">
        <v>1458</v>
      </c>
    </row>
    <row r="1408" spans="1:8" hidden="1" x14ac:dyDescent="0.3">
      <c r="A1408" s="44" t="s">
        <v>942</v>
      </c>
      <c r="B1408" s="44" t="s">
        <v>1392</v>
      </c>
      <c r="C1408" s="44" t="s">
        <v>923</v>
      </c>
      <c r="D1408" s="44">
        <v>5540809412</v>
      </c>
      <c r="E1408" s="44">
        <v>33300</v>
      </c>
      <c r="F1408" s="87">
        <v>32076</v>
      </c>
      <c r="G1408" s="46">
        <v>46113</v>
      </c>
      <c r="H1408" s="44" t="s">
        <v>1458</v>
      </c>
    </row>
    <row r="1409" spans="1:12" s="51" customFormat="1" hidden="1" x14ac:dyDescent="0.3">
      <c r="A1409" s="51" t="s">
        <v>47</v>
      </c>
      <c r="B1409" s="51" t="s">
        <v>1472</v>
      </c>
      <c r="C1409" s="51" t="s">
        <v>1275</v>
      </c>
      <c r="D1409" s="51">
        <v>5528255855</v>
      </c>
      <c r="E1409" s="51">
        <v>354025</v>
      </c>
      <c r="F1409" s="68">
        <v>14736.72</v>
      </c>
      <c r="G1409" s="52">
        <v>46114</v>
      </c>
      <c r="H1409" s="51" t="s">
        <v>1458</v>
      </c>
    </row>
    <row r="1410" spans="1:12" hidden="1" x14ac:dyDescent="0.3">
      <c r="A1410" s="44" t="s">
        <v>47</v>
      </c>
      <c r="B1410" s="44" t="s">
        <v>1449</v>
      </c>
      <c r="C1410" s="44" t="s">
        <v>285</v>
      </c>
      <c r="D1410" s="44">
        <v>5611893754</v>
      </c>
      <c r="E1410" s="44">
        <v>189289</v>
      </c>
      <c r="F1410" s="87">
        <v>2295.56</v>
      </c>
      <c r="G1410" s="46">
        <v>46114</v>
      </c>
      <c r="H1410" s="44" t="s">
        <v>1461</v>
      </c>
    </row>
    <row r="1411" spans="1:12" s="51" customFormat="1" x14ac:dyDescent="0.3">
      <c r="A1411" s="44" t="s">
        <v>10</v>
      </c>
      <c r="B1411" s="44" t="s">
        <v>1465</v>
      </c>
      <c r="C1411" s="44" t="s">
        <v>88</v>
      </c>
      <c r="D1411" s="44">
        <v>301374</v>
      </c>
      <c r="E1411" s="44">
        <v>301374</v>
      </c>
      <c r="F1411" s="87">
        <v>14920</v>
      </c>
      <c r="G1411" s="46">
        <v>46114</v>
      </c>
    </row>
    <row r="1412" spans="1:12" hidden="1" x14ac:dyDescent="0.3">
      <c r="A1412" s="44" t="s">
        <v>10</v>
      </c>
      <c r="B1412" s="44" t="s">
        <v>122</v>
      </c>
      <c r="C1412" s="44" t="str">
        <f>IFERROR(VLOOKUP(B1412,Base2026!A:C,2,FALSE),"")</f>
        <v>SANTA ISABEL TOLA</v>
      </c>
      <c r="D1412" s="44">
        <v>5526754082</v>
      </c>
      <c r="E1412" s="44">
        <v>354482</v>
      </c>
      <c r="F1412" s="87">
        <v>185</v>
      </c>
      <c r="G1412" s="46">
        <v>46114</v>
      </c>
    </row>
    <row r="1413" spans="1:12" s="51" customFormat="1" hidden="1" x14ac:dyDescent="0.3">
      <c r="A1413" s="51" t="s">
        <v>10</v>
      </c>
      <c r="B1413" s="51" t="s">
        <v>122</v>
      </c>
      <c r="C1413" s="51" t="str">
        <f>IFERROR(VLOOKUP(B1413,Base2026!A:C,2,FALSE),"")</f>
        <v>SANTA ISABEL TOLA</v>
      </c>
      <c r="D1413" s="51">
        <v>5526754082</v>
      </c>
      <c r="E1413" s="51">
        <v>354484</v>
      </c>
      <c r="F1413" s="68">
        <v>852</v>
      </c>
      <c r="G1413" s="52">
        <v>46114</v>
      </c>
    </row>
    <row r="1414" spans="1:12" hidden="1" x14ac:dyDescent="0.3">
      <c r="A1414" s="51" t="s">
        <v>10</v>
      </c>
      <c r="B1414" s="51" t="s">
        <v>1468</v>
      </c>
      <c r="C1414" s="51" t="s">
        <v>88</v>
      </c>
      <c r="D1414" s="51">
        <f>IFERROR(VLOOKUP(C1414,Base2026!B:D,2,FALSE),"")</f>
        <v>5529570508</v>
      </c>
      <c r="E1414" s="51">
        <v>354362</v>
      </c>
      <c r="F1414" s="68">
        <v>3466.71</v>
      </c>
      <c r="G1414" s="52">
        <v>46114</v>
      </c>
      <c r="H1414" s="44" t="s">
        <v>1458</v>
      </c>
      <c r="I1414" s="44" t="s">
        <v>1467</v>
      </c>
      <c r="J1414" s="44">
        <v>1</v>
      </c>
    </row>
    <row r="1415" spans="1:12" s="51" customFormat="1" hidden="1" x14ac:dyDescent="0.3">
      <c r="A1415" s="44" t="s">
        <v>10</v>
      </c>
      <c r="B1415" s="44" t="s">
        <v>1026</v>
      </c>
      <c r="C1415" s="44" t="s">
        <v>1469</v>
      </c>
      <c r="D1415" s="44">
        <v>5546376429</v>
      </c>
      <c r="E1415" s="44">
        <v>301417</v>
      </c>
      <c r="F1415" s="87">
        <v>4470</v>
      </c>
      <c r="G1415" s="46">
        <v>46114</v>
      </c>
      <c r="H1415" s="51" t="s">
        <v>1461</v>
      </c>
    </row>
    <row r="1416" spans="1:12" hidden="1" x14ac:dyDescent="0.3">
      <c r="A1416" s="51" t="s">
        <v>17</v>
      </c>
      <c r="B1416" s="51" t="s">
        <v>1462</v>
      </c>
      <c r="C1416" s="51" t="s">
        <v>115</v>
      </c>
      <c r="D1416" s="51">
        <v>5541113329</v>
      </c>
      <c r="E1416" s="51">
        <v>189726</v>
      </c>
      <c r="F1416" s="68">
        <v>6763</v>
      </c>
      <c r="G1416" s="52">
        <v>46114</v>
      </c>
      <c r="H1416" s="44" t="s">
        <v>1458</v>
      </c>
      <c r="I1416" s="44" t="s">
        <v>1466</v>
      </c>
      <c r="J1416" s="44">
        <v>20</v>
      </c>
    </row>
    <row r="1417" spans="1:12" s="51" customFormat="1" hidden="1" x14ac:dyDescent="0.3">
      <c r="A1417" s="44" t="s">
        <v>17</v>
      </c>
      <c r="B1417" s="44" t="s">
        <v>1462</v>
      </c>
      <c r="C1417" s="44" t="s">
        <v>115</v>
      </c>
      <c r="D1417" s="44">
        <v>5541113329</v>
      </c>
      <c r="E1417" s="44">
        <v>34047</v>
      </c>
      <c r="F1417" s="87">
        <v>1648</v>
      </c>
      <c r="G1417" s="46">
        <v>46114</v>
      </c>
    </row>
    <row r="1418" spans="1:12" hidden="1" x14ac:dyDescent="0.3">
      <c r="A1418" s="51" t="s">
        <v>17</v>
      </c>
      <c r="B1418" s="51" t="s">
        <v>1463</v>
      </c>
      <c r="C1418" s="51" t="s">
        <v>1464</v>
      </c>
      <c r="D1418" s="51">
        <v>5552143713</v>
      </c>
      <c r="E1418" s="51">
        <v>300830</v>
      </c>
      <c r="F1418" s="68">
        <v>15842.35</v>
      </c>
      <c r="G1418" s="52">
        <v>46114</v>
      </c>
      <c r="H1418" s="44" t="s">
        <v>1458</v>
      </c>
      <c r="I1418" s="44" t="s">
        <v>1470</v>
      </c>
      <c r="J1418" s="44">
        <v>1</v>
      </c>
      <c r="K1418" s="44" t="s">
        <v>1471</v>
      </c>
      <c r="L1418" s="44">
        <v>4</v>
      </c>
    </row>
    <row r="1419" spans="1:12" s="51" customFormat="1" hidden="1" x14ac:dyDescent="0.3">
      <c r="A1419" s="51" t="s">
        <v>17</v>
      </c>
      <c r="B1419" s="51" t="s">
        <v>1257</v>
      </c>
      <c r="C1419" s="51" t="s">
        <v>733</v>
      </c>
      <c r="D1419" s="51">
        <v>5578767052</v>
      </c>
      <c r="E1419" s="51">
        <v>190092</v>
      </c>
      <c r="F1419" s="68">
        <v>1617</v>
      </c>
      <c r="G1419" s="52">
        <v>46114</v>
      </c>
      <c r="H1419" s="51" t="s">
        <v>1473</v>
      </c>
    </row>
    <row r="1420" spans="1:12" hidden="1" x14ac:dyDescent="0.3">
      <c r="A1420" s="44" t="s">
        <v>17</v>
      </c>
      <c r="B1420" s="44" t="s">
        <v>1257</v>
      </c>
      <c r="C1420" s="44" t="s">
        <v>733</v>
      </c>
      <c r="D1420" s="44">
        <v>5578767052</v>
      </c>
      <c r="E1420" s="44">
        <v>190093</v>
      </c>
      <c r="F1420" s="87">
        <v>224</v>
      </c>
      <c r="G1420" s="46">
        <v>46114</v>
      </c>
    </row>
    <row r="1421" spans="1:12" s="51" customFormat="1" hidden="1" x14ac:dyDescent="0.3">
      <c r="A1421" s="44" t="s">
        <v>11</v>
      </c>
      <c r="B1421" s="44" t="s">
        <v>1079</v>
      </c>
      <c r="C1421" s="44" t="s">
        <v>174</v>
      </c>
      <c r="D1421" s="44">
        <v>5542290962</v>
      </c>
      <c r="E1421" s="44">
        <v>353915</v>
      </c>
      <c r="F1421" s="87">
        <v>17431.990000000002</v>
      </c>
      <c r="G1421" s="46">
        <v>46114</v>
      </c>
    </row>
    <row r="1422" spans="1:12" hidden="1" x14ac:dyDescent="0.3">
      <c r="A1422" s="51" t="s">
        <v>11</v>
      </c>
      <c r="B1422" s="51" t="s">
        <v>1079</v>
      </c>
      <c r="C1422" s="51" t="s">
        <v>174</v>
      </c>
      <c r="D1422" s="51">
        <v>5542290962</v>
      </c>
      <c r="E1422" s="51">
        <v>301982</v>
      </c>
      <c r="F1422" s="68">
        <v>1490</v>
      </c>
      <c r="G1422" s="52">
        <v>46114</v>
      </c>
    </row>
    <row r="1423" spans="1:12" s="51" customFormat="1" hidden="1" x14ac:dyDescent="0.3">
      <c r="A1423" s="44" t="s">
        <v>11</v>
      </c>
      <c r="B1423" s="44" t="s">
        <v>1474</v>
      </c>
      <c r="C1423" s="44" t="s">
        <v>626</v>
      </c>
      <c r="D1423" s="44">
        <f>IFERROR(VLOOKUP(C1423,Base2026!B:D,2,FALSE),"")</f>
        <v>5578992575</v>
      </c>
      <c r="E1423" s="44">
        <v>188776</v>
      </c>
      <c r="F1423" s="87">
        <v>13773.99</v>
      </c>
      <c r="G1423" s="46">
        <v>46114</v>
      </c>
    </row>
    <row r="1424" spans="1:12" hidden="1" x14ac:dyDescent="0.3">
      <c r="A1424" s="51" t="s">
        <v>11</v>
      </c>
      <c r="B1424" s="51" t="s">
        <v>1474</v>
      </c>
      <c r="C1424" s="51" t="s">
        <v>626</v>
      </c>
      <c r="D1424" s="51">
        <f>IFERROR(VLOOKUP(C1424,Base2026!B:D,2,FALSE),"")</f>
        <v>5578992575</v>
      </c>
      <c r="E1424" s="51">
        <v>33914</v>
      </c>
      <c r="F1424" s="68">
        <v>1821</v>
      </c>
      <c r="G1424" s="52">
        <v>46114</v>
      </c>
    </row>
    <row r="1425" spans="1:10" s="48" customFormat="1" hidden="1" x14ac:dyDescent="0.3">
      <c r="A1425" s="44" t="s">
        <v>10</v>
      </c>
      <c r="B1425" s="44" t="s">
        <v>516</v>
      </c>
      <c r="C1425" s="44" t="str">
        <f>IFERROR(VLOOKUP(B1425,Base2026!A:C,2,FALSE),"")</f>
        <v>EJIDOS DE SAN CRISTOBAL</v>
      </c>
      <c r="D1425" s="44">
        <f>IFERROR(VLOOKUP(C1425,Base2026!B:D,2,FALSE),"")</f>
        <v>5514614910</v>
      </c>
      <c r="E1425" s="44">
        <v>189643</v>
      </c>
      <c r="F1425" s="87">
        <v>11522.58</v>
      </c>
      <c r="G1425" s="46">
        <v>46118</v>
      </c>
    </row>
    <row r="1426" spans="1:10" hidden="1" x14ac:dyDescent="0.3">
      <c r="A1426" s="48" t="s">
        <v>10</v>
      </c>
      <c r="B1426" s="48" t="s">
        <v>1483</v>
      </c>
      <c r="C1426" s="48" t="s">
        <v>626</v>
      </c>
      <c r="D1426" s="48">
        <v>5532346493</v>
      </c>
      <c r="E1426" s="48">
        <v>189645</v>
      </c>
      <c r="F1426" s="88">
        <v>22725.99</v>
      </c>
      <c r="G1426" s="50">
        <v>46118</v>
      </c>
      <c r="H1426" s="44" t="s">
        <v>1461</v>
      </c>
    </row>
    <row r="1427" spans="1:10" s="48" customFormat="1" hidden="1" x14ac:dyDescent="0.3">
      <c r="A1427" s="44" t="s">
        <v>10</v>
      </c>
      <c r="B1427" s="44" t="s">
        <v>1483</v>
      </c>
      <c r="C1427" s="44" t="s">
        <v>626</v>
      </c>
      <c r="D1427" s="44">
        <v>5532346493</v>
      </c>
      <c r="E1427" s="44">
        <v>34029</v>
      </c>
      <c r="F1427" s="87">
        <v>2113</v>
      </c>
      <c r="G1427" s="46">
        <v>46118</v>
      </c>
      <c r="H1427" s="48" t="s">
        <v>1461</v>
      </c>
    </row>
    <row r="1428" spans="1:10" hidden="1" x14ac:dyDescent="0.3">
      <c r="A1428" s="48" t="s">
        <v>10</v>
      </c>
      <c r="B1428" s="48" t="s">
        <v>1480</v>
      </c>
      <c r="C1428" s="48" t="s">
        <v>798</v>
      </c>
      <c r="D1428" s="48">
        <v>5641262958</v>
      </c>
      <c r="E1428" s="48">
        <v>354466</v>
      </c>
      <c r="F1428" s="88">
        <v>1200</v>
      </c>
      <c r="G1428" s="50">
        <v>46118</v>
      </c>
      <c r="H1428" s="44" t="s">
        <v>1458</v>
      </c>
      <c r="I1428" s="44" t="s">
        <v>1477</v>
      </c>
      <c r="J1428" s="44">
        <v>21</v>
      </c>
    </row>
    <row r="1429" spans="1:10" s="48" customFormat="1" hidden="1" x14ac:dyDescent="0.3">
      <c r="A1429" s="44" t="s">
        <v>10</v>
      </c>
      <c r="B1429" s="44" t="s">
        <v>885</v>
      </c>
      <c r="C1429" s="44" t="s">
        <v>1479</v>
      </c>
      <c r="D1429" s="44">
        <v>5657508062</v>
      </c>
      <c r="E1429" s="44">
        <v>190360</v>
      </c>
      <c r="F1429" s="87">
        <v>3094</v>
      </c>
      <c r="G1429" s="46">
        <v>46118</v>
      </c>
      <c r="H1429" s="48" t="s">
        <v>1461</v>
      </c>
    </row>
    <row r="1430" spans="1:10" hidden="1" x14ac:dyDescent="0.3">
      <c r="A1430" s="48" t="s">
        <v>17</v>
      </c>
      <c r="B1430" s="48" t="s">
        <v>233</v>
      </c>
      <c r="C1430" s="48" t="s">
        <v>103</v>
      </c>
      <c r="D1430" s="48">
        <v>5586772887</v>
      </c>
      <c r="E1430" s="48">
        <v>185579</v>
      </c>
      <c r="F1430" s="88">
        <v>13434</v>
      </c>
      <c r="G1430" s="50">
        <v>46118</v>
      </c>
      <c r="H1430" s="44" t="s">
        <v>1461</v>
      </c>
    </row>
    <row r="1431" spans="1:10" s="48" customFormat="1" hidden="1" x14ac:dyDescent="0.3">
      <c r="A1431" s="44" t="s">
        <v>17</v>
      </c>
      <c r="B1431" s="44" t="s">
        <v>233</v>
      </c>
      <c r="C1431" s="44" t="s">
        <v>103</v>
      </c>
      <c r="D1431" s="44">
        <v>5586772887</v>
      </c>
      <c r="E1431" s="44">
        <v>34021</v>
      </c>
      <c r="F1431" s="87">
        <v>4968</v>
      </c>
      <c r="G1431" s="46">
        <v>46118</v>
      </c>
    </row>
    <row r="1432" spans="1:10" hidden="1" x14ac:dyDescent="0.3">
      <c r="A1432" s="44" t="s">
        <v>17</v>
      </c>
      <c r="B1432" s="44" t="s">
        <v>1478</v>
      </c>
      <c r="C1432" s="44" t="s">
        <v>1074</v>
      </c>
      <c r="D1432" s="44">
        <v>6528013590</v>
      </c>
      <c r="E1432" s="44">
        <v>301043</v>
      </c>
      <c r="F1432" s="87">
        <v>4531.99</v>
      </c>
      <c r="G1432" s="46">
        <v>46118</v>
      </c>
    </row>
    <row r="1433" spans="1:10" s="48" customFormat="1" hidden="1" x14ac:dyDescent="0.3">
      <c r="A1433" s="48" t="s">
        <v>17</v>
      </c>
      <c r="B1433" s="48" t="s">
        <v>1478</v>
      </c>
      <c r="C1433" s="48" t="s">
        <v>1074</v>
      </c>
      <c r="D1433" s="48">
        <v>6528013590</v>
      </c>
      <c r="E1433" s="48">
        <v>301033</v>
      </c>
      <c r="F1433" s="88">
        <v>9126.56</v>
      </c>
      <c r="G1433" s="50">
        <v>46118</v>
      </c>
      <c r="H1433" s="48" t="s">
        <v>1481</v>
      </c>
      <c r="I1433" s="48" t="s">
        <v>1482</v>
      </c>
      <c r="J1433" s="48">
        <v>2</v>
      </c>
    </row>
    <row r="1434" spans="1:10" hidden="1" x14ac:dyDescent="0.3">
      <c r="A1434" s="48" t="s">
        <v>11</v>
      </c>
      <c r="B1434" s="48" t="s">
        <v>1315</v>
      </c>
      <c r="C1434" s="48" t="s">
        <v>138</v>
      </c>
      <c r="D1434" s="48">
        <v>5514851554</v>
      </c>
      <c r="E1434" s="48">
        <v>354173</v>
      </c>
      <c r="F1434" s="88">
        <v>5732.16</v>
      </c>
      <c r="G1434" s="50">
        <v>46118</v>
      </c>
    </row>
    <row r="1435" spans="1:10" s="48" customFormat="1" hidden="1" x14ac:dyDescent="0.3">
      <c r="A1435" s="44" t="s">
        <v>11</v>
      </c>
      <c r="B1435" s="44" t="s">
        <v>1475</v>
      </c>
      <c r="C1435" s="44" t="s">
        <v>1476</v>
      </c>
      <c r="D1435" s="44">
        <v>5611765145</v>
      </c>
      <c r="E1435" s="44">
        <v>301359</v>
      </c>
      <c r="F1435" s="87">
        <v>3688</v>
      </c>
      <c r="G1435" s="46">
        <v>46118</v>
      </c>
    </row>
    <row r="1436" spans="1:10" hidden="1" x14ac:dyDescent="0.3">
      <c r="A1436" s="48" t="s">
        <v>11</v>
      </c>
      <c r="B1436" s="48" t="s">
        <v>1475</v>
      </c>
      <c r="C1436" s="48" t="s">
        <v>1476</v>
      </c>
      <c r="D1436" s="48">
        <v>5611765146</v>
      </c>
      <c r="E1436" s="48">
        <v>301360</v>
      </c>
      <c r="F1436" s="88">
        <v>894.3</v>
      </c>
      <c r="G1436" s="50">
        <v>46118</v>
      </c>
    </row>
    <row r="1437" spans="1:10" s="48" customFormat="1" hidden="1" x14ac:dyDescent="0.3">
      <c r="A1437" s="44" t="s">
        <v>11</v>
      </c>
      <c r="B1437" s="44" t="s">
        <v>1475</v>
      </c>
      <c r="C1437" s="44" t="s">
        <v>1476</v>
      </c>
      <c r="D1437" s="44">
        <v>5611765147</v>
      </c>
      <c r="E1437" s="44">
        <v>301354</v>
      </c>
      <c r="F1437" s="87">
        <v>29989.599999999999</v>
      </c>
      <c r="G1437" s="46">
        <v>46118</v>
      </c>
    </row>
    <row r="1438" spans="1:10" hidden="1" x14ac:dyDescent="0.3">
      <c r="A1438" s="48" t="s">
        <v>11</v>
      </c>
      <c r="B1438" s="48" t="s">
        <v>1475</v>
      </c>
      <c r="C1438" s="48" t="s">
        <v>1476</v>
      </c>
      <c r="D1438" s="48">
        <v>5611765148</v>
      </c>
      <c r="E1438" s="48">
        <v>300861</v>
      </c>
      <c r="F1438" s="88">
        <v>1428.98</v>
      </c>
      <c r="G1438" s="50">
        <v>46118</v>
      </c>
    </row>
    <row r="1439" spans="1:10" s="76" customFormat="1" hidden="1" x14ac:dyDescent="0.3">
      <c r="A1439" s="44" t="s">
        <v>47</v>
      </c>
      <c r="B1439" s="44" t="s">
        <v>1494</v>
      </c>
      <c r="C1439" s="44" t="s">
        <v>1495</v>
      </c>
      <c r="D1439" s="44">
        <v>5533237564</v>
      </c>
      <c r="E1439" s="44">
        <v>301009</v>
      </c>
      <c r="F1439" s="87">
        <v>52709.760000000002</v>
      </c>
      <c r="G1439" s="46">
        <v>46119</v>
      </c>
    </row>
    <row r="1440" spans="1:10" hidden="1" x14ac:dyDescent="0.3">
      <c r="A1440" s="76" t="s">
        <v>47</v>
      </c>
      <c r="B1440" s="76" t="s">
        <v>1494</v>
      </c>
      <c r="C1440" s="76" t="s">
        <v>1495</v>
      </c>
      <c r="D1440" s="44">
        <v>5533237564</v>
      </c>
      <c r="E1440" s="76">
        <v>34187</v>
      </c>
      <c r="F1440" s="95">
        <v>240</v>
      </c>
      <c r="G1440" s="77">
        <v>46119</v>
      </c>
    </row>
    <row r="1441" spans="1:17" s="76" customFormat="1" hidden="1" x14ac:dyDescent="0.3">
      <c r="A1441" s="44" t="s">
        <v>10</v>
      </c>
      <c r="B1441" s="44" t="s">
        <v>8</v>
      </c>
      <c r="C1441" s="44" t="str">
        <f>IFERROR(VLOOKUP(B1441,Base2026!A:C,2,FALSE),"")</f>
        <v>JORGE NEGRETE</v>
      </c>
      <c r="D1441" s="44">
        <f>IFERROR(VLOOKUP(C1441,Base2026!B:D,2,FALSE),"")</f>
        <v>3223271287</v>
      </c>
      <c r="E1441" s="44">
        <v>354597</v>
      </c>
      <c r="F1441" s="87">
        <v>11744.99</v>
      </c>
      <c r="G1441" s="46">
        <v>46119</v>
      </c>
    </row>
    <row r="1442" spans="1:17" hidden="1" x14ac:dyDescent="0.3">
      <c r="A1442" s="76" t="s">
        <v>10</v>
      </c>
      <c r="B1442" s="76" t="s">
        <v>1505</v>
      </c>
      <c r="C1442" s="76" t="s">
        <v>41</v>
      </c>
      <c r="D1442" s="76">
        <v>5503807910</v>
      </c>
      <c r="E1442" s="76">
        <v>189859</v>
      </c>
      <c r="F1442" s="95">
        <v>2650.44</v>
      </c>
      <c r="G1442" s="77">
        <v>46119</v>
      </c>
    </row>
    <row r="1443" spans="1:17" s="76" customFormat="1" hidden="1" x14ac:dyDescent="0.3">
      <c r="A1443" s="76" t="s">
        <v>10</v>
      </c>
      <c r="B1443" s="76" t="s">
        <v>685</v>
      </c>
      <c r="C1443" s="76" t="str">
        <f>IFERROR(VLOOKUP(B1443,Base2026!A:C,2,FALSE),"")</f>
        <v>PLAZAS DE ARAGON</v>
      </c>
      <c r="D1443" s="76">
        <v>5573743760</v>
      </c>
      <c r="E1443" s="76">
        <v>354550</v>
      </c>
      <c r="F1443" s="95">
        <v>5217</v>
      </c>
      <c r="G1443" s="77">
        <v>46119</v>
      </c>
      <c r="H1443" s="76" t="s">
        <v>1458</v>
      </c>
      <c r="I1443" s="76" t="s">
        <v>1487</v>
      </c>
      <c r="J1443" s="76">
        <v>3</v>
      </c>
      <c r="K1443" s="76" t="s">
        <v>1488</v>
      </c>
      <c r="L1443" s="76">
        <v>1</v>
      </c>
      <c r="M1443" s="76" t="s">
        <v>1489</v>
      </c>
      <c r="N1443" s="76" t="s">
        <v>1490</v>
      </c>
      <c r="O1443" s="76">
        <v>2</v>
      </c>
      <c r="P1443" s="76" t="s">
        <v>1491</v>
      </c>
      <c r="Q1443" s="76">
        <v>1</v>
      </c>
    </row>
    <row r="1444" spans="1:17" hidden="1" x14ac:dyDescent="0.3">
      <c r="A1444" s="44" t="s">
        <v>10</v>
      </c>
      <c r="B1444" s="44" t="s">
        <v>1485</v>
      </c>
      <c r="C1444" s="44" t="s">
        <v>1486</v>
      </c>
      <c r="D1444" s="44">
        <v>5586059572</v>
      </c>
      <c r="E1444" s="44">
        <v>190103</v>
      </c>
      <c r="F1444" s="87">
        <v>650</v>
      </c>
      <c r="G1444" s="46">
        <v>46119</v>
      </c>
    </row>
    <row r="1445" spans="1:17" s="76" customFormat="1" hidden="1" x14ac:dyDescent="0.3">
      <c r="A1445" s="76" t="s">
        <v>10</v>
      </c>
      <c r="B1445" s="76" t="s">
        <v>1485</v>
      </c>
      <c r="C1445" s="76" t="s">
        <v>1486</v>
      </c>
      <c r="D1445" s="44">
        <v>5586059572</v>
      </c>
      <c r="E1445" s="76">
        <v>34115</v>
      </c>
      <c r="F1445" s="95">
        <v>8</v>
      </c>
      <c r="G1445" s="77">
        <v>46119</v>
      </c>
    </row>
    <row r="1446" spans="1:17" hidden="1" x14ac:dyDescent="0.3">
      <c r="A1446" s="44" t="s">
        <v>10</v>
      </c>
      <c r="B1446" s="44" t="s">
        <v>523</v>
      </c>
      <c r="C1446" s="44" t="s">
        <v>458</v>
      </c>
      <c r="D1446" s="44">
        <v>5613536877</v>
      </c>
      <c r="E1446" s="44">
        <v>190531</v>
      </c>
      <c r="F1446" s="87">
        <v>5050</v>
      </c>
      <c r="G1446" s="46">
        <v>46119</v>
      </c>
    </row>
    <row r="1447" spans="1:17" s="76" customFormat="1" hidden="1" x14ac:dyDescent="0.3">
      <c r="A1447" s="76" t="s">
        <v>10</v>
      </c>
      <c r="B1447" s="76" t="s">
        <v>1484</v>
      </c>
      <c r="C1447" s="76" t="s">
        <v>63</v>
      </c>
      <c r="D1447" s="76">
        <v>5621367001</v>
      </c>
      <c r="E1447" s="76">
        <v>189925</v>
      </c>
      <c r="F1447" s="95">
        <v>673</v>
      </c>
      <c r="G1447" s="77">
        <v>46119</v>
      </c>
    </row>
    <row r="1448" spans="1:17" hidden="1" x14ac:dyDescent="0.3">
      <c r="A1448" s="76" t="s">
        <v>17</v>
      </c>
      <c r="B1448" s="76" t="s">
        <v>1499</v>
      </c>
      <c r="C1448" s="76" t="s">
        <v>1260</v>
      </c>
      <c r="D1448" s="76">
        <v>5532347570</v>
      </c>
      <c r="E1448" s="76">
        <v>188896</v>
      </c>
      <c r="F1448" s="95">
        <v>746</v>
      </c>
      <c r="G1448" s="77">
        <v>46119</v>
      </c>
    </row>
    <row r="1449" spans="1:17" s="76" customFormat="1" hidden="1" x14ac:dyDescent="0.3">
      <c r="A1449" s="44" t="s">
        <v>17</v>
      </c>
      <c r="B1449" s="76" t="s">
        <v>1499</v>
      </c>
      <c r="C1449" s="76" t="s">
        <v>1260</v>
      </c>
      <c r="D1449" s="76">
        <v>5532347570</v>
      </c>
      <c r="E1449" s="44">
        <v>33932</v>
      </c>
      <c r="F1449" s="87">
        <v>212</v>
      </c>
      <c r="G1449" s="46">
        <v>46119</v>
      </c>
    </row>
    <row r="1450" spans="1:17" hidden="1" x14ac:dyDescent="0.3">
      <c r="A1450" s="44" t="s">
        <v>17</v>
      </c>
      <c r="B1450" s="44" t="s">
        <v>314</v>
      </c>
      <c r="C1450" s="44" t="s">
        <v>1502</v>
      </c>
      <c r="D1450" s="44">
        <v>5620807201</v>
      </c>
      <c r="E1450" s="44">
        <v>189424</v>
      </c>
      <c r="F1450" s="87">
        <v>11537.99</v>
      </c>
      <c r="G1450" s="46">
        <v>46119</v>
      </c>
    </row>
    <row r="1451" spans="1:17" s="76" customFormat="1" hidden="1" x14ac:dyDescent="0.3">
      <c r="A1451" s="76" t="s">
        <v>17</v>
      </c>
      <c r="B1451" s="76" t="s">
        <v>314</v>
      </c>
      <c r="C1451" s="76" t="s">
        <v>1502</v>
      </c>
      <c r="D1451" s="44">
        <v>5620807201</v>
      </c>
      <c r="E1451" s="76">
        <v>34000</v>
      </c>
      <c r="F1451" s="95">
        <v>1320</v>
      </c>
      <c r="G1451" s="77">
        <v>46119</v>
      </c>
    </row>
    <row r="1452" spans="1:17" hidden="1" x14ac:dyDescent="0.3">
      <c r="A1452" s="44" t="s">
        <v>17</v>
      </c>
      <c r="B1452" s="44" t="s">
        <v>314</v>
      </c>
      <c r="C1452" s="44" t="s">
        <v>1502</v>
      </c>
      <c r="D1452" s="44">
        <v>5620807201</v>
      </c>
      <c r="E1452" s="44">
        <v>189425</v>
      </c>
      <c r="F1452" s="87">
        <v>474</v>
      </c>
      <c r="G1452" s="46">
        <v>46119</v>
      </c>
    </row>
    <row r="1453" spans="1:17" s="76" customFormat="1" hidden="1" x14ac:dyDescent="0.3">
      <c r="A1453" s="76" t="s">
        <v>17</v>
      </c>
      <c r="B1453" s="76" t="s">
        <v>314</v>
      </c>
      <c r="C1453" s="76" t="s">
        <v>1502</v>
      </c>
      <c r="D1453" s="44">
        <v>5620807201</v>
      </c>
      <c r="E1453" s="76">
        <v>34002</v>
      </c>
      <c r="F1453" s="95">
        <v>925</v>
      </c>
      <c r="G1453" s="77">
        <v>46119</v>
      </c>
    </row>
    <row r="1454" spans="1:17" hidden="1" x14ac:dyDescent="0.3">
      <c r="A1454" s="76" t="s">
        <v>17</v>
      </c>
      <c r="B1454" s="76" t="s">
        <v>1500</v>
      </c>
      <c r="C1454" s="76" t="s">
        <v>1501</v>
      </c>
      <c r="D1454" s="76">
        <v>5636879171</v>
      </c>
      <c r="E1454" s="76">
        <v>189842</v>
      </c>
      <c r="F1454" s="95">
        <v>3291.76</v>
      </c>
      <c r="G1454" s="77">
        <v>46119</v>
      </c>
    </row>
    <row r="1455" spans="1:17" s="76" customFormat="1" hidden="1" x14ac:dyDescent="0.3">
      <c r="A1455" s="76" t="s">
        <v>11</v>
      </c>
      <c r="B1455" s="76" t="s">
        <v>325</v>
      </c>
      <c r="C1455" s="76" t="s">
        <v>16</v>
      </c>
      <c r="D1455" s="76">
        <f>IFERROR(VLOOKUP(C1455,Base2026!B:D,2,FALSE),"")</f>
        <v>5514614910</v>
      </c>
      <c r="E1455" s="76">
        <v>354383</v>
      </c>
      <c r="F1455" s="95">
        <v>2843.99</v>
      </c>
      <c r="G1455" s="77">
        <v>46119</v>
      </c>
    </row>
    <row r="1456" spans="1:17" hidden="1" x14ac:dyDescent="0.3">
      <c r="A1456" s="44" t="s">
        <v>11</v>
      </c>
      <c r="B1456" s="44" t="s">
        <v>325</v>
      </c>
      <c r="C1456" s="44" t="s">
        <v>16</v>
      </c>
      <c r="D1456" s="76">
        <f>IFERROR(VLOOKUP(C1456,Base2026!B:D,2,FALSE),"")</f>
        <v>5514614910</v>
      </c>
      <c r="E1456" s="44">
        <v>302057</v>
      </c>
      <c r="F1456" s="87">
        <v>1050</v>
      </c>
      <c r="G1456" s="46">
        <v>46119</v>
      </c>
    </row>
    <row r="1457" spans="1:13" s="76" customFormat="1" hidden="1" x14ac:dyDescent="0.3">
      <c r="A1457" s="76" t="s">
        <v>11</v>
      </c>
      <c r="B1457" s="76" t="s">
        <v>1497</v>
      </c>
      <c r="C1457" s="76" t="s">
        <v>1498</v>
      </c>
      <c r="D1457" s="76">
        <v>5534341719</v>
      </c>
      <c r="E1457" s="76">
        <v>189802</v>
      </c>
      <c r="F1457" s="95">
        <v>5244.88</v>
      </c>
      <c r="G1457" s="77">
        <v>46119</v>
      </c>
    </row>
    <row r="1458" spans="1:13" hidden="1" x14ac:dyDescent="0.3">
      <c r="A1458" s="44" t="s">
        <v>11</v>
      </c>
      <c r="B1458" s="44" t="s">
        <v>1497</v>
      </c>
      <c r="C1458" s="44" t="s">
        <v>1498</v>
      </c>
      <c r="D1458" s="76">
        <v>5534341719</v>
      </c>
      <c r="E1458" s="44">
        <v>189803</v>
      </c>
      <c r="F1458" s="87">
        <v>675</v>
      </c>
      <c r="G1458" s="46">
        <v>46119</v>
      </c>
    </row>
    <row r="1459" spans="1:13" s="76" customFormat="1" hidden="1" x14ac:dyDescent="0.3">
      <c r="A1459" s="76" t="s">
        <v>11</v>
      </c>
      <c r="B1459" s="76" t="s">
        <v>314</v>
      </c>
      <c r="C1459" s="76" t="s">
        <v>218</v>
      </c>
      <c r="D1459" s="76">
        <f>IFERROR(VLOOKUP(C1459,Base2026!B:D,2,FALSE),"")</f>
        <v>5539511994</v>
      </c>
      <c r="E1459" s="76">
        <v>189891</v>
      </c>
      <c r="F1459" s="95">
        <v>2530.02</v>
      </c>
      <c r="G1459" s="77">
        <v>46119</v>
      </c>
    </row>
    <row r="1460" spans="1:13" hidden="1" x14ac:dyDescent="0.3">
      <c r="A1460" s="44" t="s">
        <v>11</v>
      </c>
      <c r="B1460" s="44" t="s">
        <v>314</v>
      </c>
      <c r="C1460" s="44" t="s">
        <v>218</v>
      </c>
      <c r="D1460" s="76">
        <f>IFERROR(VLOOKUP(C1460,Base2026!B:D,2,FALSE),"")</f>
        <v>5539511994</v>
      </c>
      <c r="E1460" s="44">
        <v>34083</v>
      </c>
      <c r="F1460" s="87">
        <v>440</v>
      </c>
      <c r="G1460" s="46">
        <v>46119</v>
      </c>
      <c r="H1460" s="44" t="s">
        <v>1458</v>
      </c>
      <c r="I1460" s="44" t="s">
        <v>1489</v>
      </c>
      <c r="J1460" s="44">
        <v>10</v>
      </c>
      <c r="K1460" s="44" t="s">
        <v>1503</v>
      </c>
      <c r="L1460" s="44">
        <v>2</v>
      </c>
      <c r="M1460" s="44" t="s">
        <v>1504</v>
      </c>
    </row>
    <row r="1461" spans="1:13" s="76" customFormat="1" hidden="1" x14ac:dyDescent="0.3">
      <c r="A1461" s="44" t="s">
        <v>11</v>
      </c>
      <c r="B1461" s="44" t="s">
        <v>1448</v>
      </c>
      <c r="C1461" s="44" t="s">
        <v>1496</v>
      </c>
      <c r="D1461" s="44">
        <v>5566404478</v>
      </c>
      <c r="E1461" s="44">
        <v>189434</v>
      </c>
      <c r="F1461" s="87">
        <v>14833.07</v>
      </c>
      <c r="G1461" s="46">
        <v>46119</v>
      </c>
    </row>
    <row r="1462" spans="1:13" hidden="1" x14ac:dyDescent="0.3">
      <c r="A1462" s="44" t="s">
        <v>47</v>
      </c>
      <c r="B1462" s="44" t="s">
        <v>1516</v>
      </c>
      <c r="C1462" s="44" t="s">
        <v>68</v>
      </c>
      <c r="D1462" s="44">
        <v>5513511613</v>
      </c>
      <c r="E1462" s="44">
        <v>190086</v>
      </c>
      <c r="F1462" s="87">
        <v>5860.32</v>
      </c>
      <c r="G1462" s="46">
        <v>46120</v>
      </c>
    </row>
    <row r="1463" spans="1:13" s="48" customFormat="1" hidden="1" x14ac:dyDescent="0.3">
      <c r="A1463" s="48" t="s">
        <v>47</v>
      </c>
      <c r="B1463" s="48" t="s">
        <v>1516</v>
      </c>
      <c r="C1463" s="48" t="s">
        <v>68</v>
      </c>
      <c r="D1463" s="44">
        <v>5513511613</v>
      </c>
      <c r="E1463" s="48">
        <v>190087</v>
      </c>
      <c r="F1463" s="88">
        <v>2685</v>
      </c>
      <c r="G1463" s="50">
        <v>46120</v>
      </c>
    </row>
    <row r="1464" spans="1:13" hidden="1" x14ac:dyDescent="0.3">
      <c r="A1464" s="44" t="s">
        <v>47</v>
      </c>
      <c r="B1464" s="44" t="s">
        <v>131</v>
      </c>
      <c r="C1464" s="44" t="str">
        <f>IFERROR(VLOOKUP(B1464,Base2026!A:C,2,FALSE),"")</f>
        <v>PRIZO</v>
      </c>
      <c r="D1464" s="44">
        <v>5540020170</v>
      </c>
      <c r="E1464" s="44">
        <v>189797</v>
      </c>
      <c r="F1464" s="87">
        <v>6060</v>
      </c>
      <c r="G1464" s="46">
        <v>46120</v>
      </c>
    </row>
    <row r="1465" spans="1:13" s="48" customFormat="1" hidden="1" x14ac:dyDescent="0.3">
      <c r="A1465" s="48" t="s">
        <v>47</v>
      </c>
      <c r="B1465" s="48" t="s">
        <v>131</v>
      </c>
      <c r="C1465" s="48" t="str">
        <f>IFERROR(VLOOKUP(B1465,Base2026!A:C,2,FALSE),"")</f>
        <v>PRIZO</v>
      </c>
      <c r="D1465" s="48">
        <f>IFERROR(VLOOKUP(C1465,Base2026!B:D,2,FALSE),"")</f>
        <v>5551141444</v>
      </c>
      <c r="E1465" s="48">
        <v>34059</v>
      </c>
      <c r="F1465" s="88">
        <v>640</v>
      </c>
      <c r="G1465" s="50">
        <v>46120</v>
      </c>
    </row>
    <row r="1466" spans="1:13" hidden="1" x14ac:dyDescent="0.3">
      <c r="A1466" s="44" t="s">
        <v>10</v>
      </c>
      <c r="B1466" s="44" t="s">
        <v>1512</v>
      </c>
      <c r="C1466" s="44" t="s">
        <v>1351</v>
      </c>
      <c r="D1466" s="44">
        <v>5511718319</v>
      </c>
      <c r="E1466" s="44">
        <v>190647</v>
      </c>
      <c r="F1466" s="87">
        <v>5984</v>
      </c>
      <c r="G1466" s="46">
        <v>46120</v>
      </c>
    </row>
    <row r="1467" spans="1:13" s="48" customFormat="1" hidden="1" x14ac:dyDescent="0.3">
      <c r="A1467" s="44" t="s">
        <v>10</v>
      </c>
      <c r="B1467" s="44" t="s">
        <v>680</v>
      </c>
      <c r="C1467" s="44" t="s">
        <v>88</v>
      </c>
      <c r="D1467" s="44">
        <v>5518594866</v>
      </c>
      <c r="E1467" s="44">
        <v>354664</v>
      </c>
      <c r="F1467" s="87">
        <v>1340</v>
      </c>
      <c r="G1467" s="46">
        <v>46120</v>
      </c>
    </row>
    <row r="1468" spans="1:13" hidden="1" x14ac:dyDescent="0.3">
      <c r="A1468" s="48" t="s">
        <v>10</v>
      </c>
      <c r="B1468" s="48" t="s">
        <v>680</v>
      </c>
      <c r="C1468" s="48" t="s">
        <v>88</v>
      </c>
      <c r="D1468" s="48">
        <v>5518594866</v>
      </c>
      <c r="E1468" s="48">
        <v>302106</v>
      </c>
      <c r="F1468" s="88">
        <v>82</v>
      </c>
      <c r="G1468" s="50">
        <v>46120</v>
      </c>
    </row>
    <row r="1469" spans="1:13" s="48" customFormat="1" hidden="1" x14ac:dyDescent="0.3">
      <c r="A1469" s="48" t="s">
        <v>10</v>
      </c>
      <c r="B1469" s="48" t="s">
        <v>1492</v>
      </c>
      <c r="C1469" s="48" t="s">
        <v>1493</v>
      </c>
      <c r="D1469" s="48">
        <v>5551730314</v>
      </c>
      <c r="E1469" s="48">
        <v>34051</v>
      </c>
      <c r="F1469" s="88">
        <v>1296</v>
      </c>
      <c r="G1469" s="50">
        <v>46120</v>
      </c>
    </row>
    <row r="1470" spans="1:13" hidden="1" x14ac:dyDescent="0.3">
      <c r="A1470" s="44" t="s">
        <v>10</v>
      </c>
      <c r="B1470" s="44" t="s">
        <v>1492</v>
      </c>
      <c r="C1470" s="44" t="s">
        <v>1493</v>
      </c>
      <c r="D1470" s="48">
        <v>5551730314</v>
      </c>
      <c r="E1470" s="44">
        <v>189768</v>
      </c>
      <c r="F1470" s="87">
        <v>6971.99</v>
      </c>
      <c r="G1470" s="46">
        <v>46120</v>
      </c>
    </row>
    <row r="1471" spans="1:13" s="48" customFormat="1" hidden="1" x14ac:dyDescent="0.3">
      <c r="A1471" s="48" t="s">
        <v>10</v>
      </c>
      <c r="B1471" s="48" t="s">
        <v>1492</v>
      </c>
      <c r="C1471" s="48" t="s">
        <v>1493</v>
      </c>
      <c r="D1471" s="48">
        <v>5551730314</v>
      </c>
      <c r="E1471" s="48">
        <v>189770</v>
      </c>
      <c r="F1471" s="88">
        <v>2955</v>
      </c>
      <c r="G1471" s="50">
        <v>46120</v>
      </c>
    </row>
    <row r="1472" spans="1:13" hidden="1" x14ac:dyDescent="0.3">
      <c r="A1472" s="44" t="s">
        <v>10</v>
      </c>
      <c r="B1472" s="44" t="s">
        <v>1492</v>
      </c>
      <c r="C1472" s="44" t="s">
        <v>1493</v>
      </c>
      <c r="D1472" s="48">
        <v>5551730314</v>
      </c>
      <c r="E1472" s="44">
        <v>34053</v>
      </c>
      <c r="F1472" s="87">
        <v>60</v>
      </c>
      <c r="G1472" s="46">
        <v>46120</v>
      </c>
    </row>
    <row r="1473" spans="1:12" s="48" customFormat="1" hidden="1" x14ac:dyDescent="0.3">
      <c r="A1473" s="48" t="s">
        <v>10</v>
      </c>
      <c r="B1473" s="48" t="s">
        <v>1492</v>
      </c>
      <c r="C1473" s="48" t="s">
        <v>1493</v>
      </c>
      <c r="D1473" s="48">
        <v>5551730314</v>
      </c>
      <c r="E1473" s="48">
        <v>189769</v>
      </c>
      <c r="F1473" s="88">
        <v>2142</v>
      </c>
      <c r="G1473" s="50">
        <v>46120</v>
      </c>
    </row>
    <row r="1474" spans="1:12" hidden="1" x14ac:dyDescent="0.3">
      <c r="A1474" s="44" t="s">
        <v>10</v>
      </c>
      <c r="B1474" s="44" t="s">
        <v>1492</v>
      </c>
      <c r="C1474" s="44" t="s">
        <v>1493</v>
      </c>
      <c r="D1474" s="48">
        <v>5551730314</v>
      </c>
      <c r="E1474" s="44">
        <v>34052</v>
      </c>
      <c r="F1474" s="87">
        <v>548</v>
      </c>
      <c r="G1474" s="46">
        <v>46120</v>
      </c>
    </row>
    <row r="1475" spans="1:12" s="48" customFormat="1" hidden="1" x14ac:dyDescent="0.3">
      <c r="A1475" s="44" t="s">
        <v>10</v>
      </c>
      <c r="B1475" s="44" t="s">
        <v>1511</v>
      </c>
      <c r="C1475" s="44" t="s">
        <v>46</v>
      </c>
      <c r="D1475" s="44">
        <v>5577851650</v>
      </c>
      <c r="E1475" s="44">
        <v>190368</v>
      </c>
      <c r="F1475" s="87">
        <v>418</v>
      </c>
      <c r="G1475" s="46">
        <v>46120</v>
      </c>
    </row>
    <row r="1476" spans="1:12" hidden="1" x14ac:dyDescent="0.3">
      <c r="A1476" s="48" t="s">
        <v>10</v>
      </c>
      <c r="B1476" s="48" t="s">
        <v>1511</v>
      </c>
      <c r="C1476" s="48" t="s">
        <v>46</v>
      </c>
      <c r="D1476" s="44">
        <v>5577851650</v>
      </c>
      <c r="E1476" s="48">
        <v>341160</v>
      </c>
      <c r="F1476" s="88">
        <v>24</v>
      </c>
      <c r="G1476" s="50">
        <v>46120</v>
      </c>
    </row>
    <row r="1477" spans="1:12" s="48" customFormat="1" hidden="1" x14ac:dyDescent="0.3">
      <c r="A1477" s="48" t="s">
        <v>10</v>
      </c>
      <c r="B1477" s="48" t="s">
        <v>1513</v>
      </c>
      <c r="C1477" s="48" t="s">
        <v>225</v>
      </c>
      <c r="D1477" s="48">
        <v>5579994084</v>
      </c>
      <c r="E1477" s="48">
        <v>301267</v>
      </c>
      <c r="F1477" s="88">
        <v>6322.23</v>
      </c>
      <c r="G1477" s="50">
        <v>46120</v>
      </c>
    </row>
    <row r="1478" spans="1:12" hidden="1" x14ac:dyDescent="0.3">
      <c r="A1478" s="44" t="s">
        <v>10</v>
      </c>
      <c r="B1478" s="44" t="s">
        <v>1514</v>
      </c>
      <c r="C1478" s="44" t="s">
        <v>787</v>
      </c>
      <c r="D1478" s="44">
        <v>5584574688</v>
      </c>
      <c r="E1478" s="44">
        <v>301336</v>
      </c>
      <c r="F1478" s="87">
        <v>9192.91</v>
      </c>
      <c r="G1478" s="46">
        <v>46120</v>
      </c>
    </row>
    <row r="1479" spans="1:12" s="48" customFormat="1" hidden="1" x14ac:dyDescent="0.3">
      <c r="A1479" s="44" t="s">
        <v>17</v>
      </c>
      <c r="B1479" s="44" t="s">
        <v>1506</v>
      </c>
      <c r="C1479" s="44" t="s">
        <v>895</v>
      </c>
      <c r="D1479" s="44">
        <v>57123700</v>
      </c>
      <c r="E1479" s="44">
        <v>354727</v>
      </c>
      <c r="F1479" s="87">
        <v>1812</v>
      </c>
      <c r="G1479" s="46">
        <v>46120</v>
      </c>
    </row>
    <row r="1480" spans="1:12" hidden="1" x14ac:dyDescent="0.3">
      <c r="A1480" s="44" t="s">
        <v>17</v>
      </c>
      <c r="B1480" s="44" t="s">
        <v>1372</v>
      </c>
      <c r="C1480" s="44" t="s">
        <v>1525</v>
      </c>
      <c r="D1480" s="44">
        <v>5539486141</v>
      </c>
      <c r="E1480" s="44">
        <v>300634</v>
      </c>
      <c r="F1480" s="87">
        <v>709.99</v>
      </c>
      <c r="G1480" s="46">
        <v>46120</v>
      </c>
    </row>
    <row r="1481" spans="1:12" s="48" customFormat="1" hidden="1" x14ac:dyDescent="0.3">
      <c r="A1481" s="48" t="s">
        <v>17</v>
      </c>
      <c r="B1481" s="48" t="s">
        <v>1372</v>
      </c>
      <c r="C1481" s="48" t="s">
        <v>1525</v>
      </c>
      <c r="D1481" s="44">
        <v>5539486141</v>
      </c>
      <c r="E1481" s="48">
        <v>188752</v>
      </c>
      <c r="F1481" s="88">
        <v>180</v>
      </c>
      <c r="G1481" s="50">
        <v>46120</v>
      </c>
    </row>
    <row r="1482" spans="1:12" hidden="1" x14ac:dyDescent="0.3">
      <c r="A1482" s="44" t="s">
        <v>17</v>
      </c>
      <c r="B1482" s="44" t="s">
        <v>1372</v>
      </c>
      <c r="C1482" s="44" t="s">
        <v>1525</v>
      </c>
      <c r="D1482" s="44">
        <v>5539486141</v>
      </c>
      <c r="E1482" s="44">
        <v>300206</v>
      </c>
      <c r="F1482" s="87">
        <v>52210.97</v>
      </c>
      <c r="G1482" s="46">
        <v>46120</v>
      </c>
    </row>
    <row r="1483" spans="1:12" s="48" customFormat="1" hidden="1" x14ac:dyDescent="0.3">
      <c r="A1483" s="48" t="s">
        <v>17</v>
      </c>
      <c r="B1483" s="48" t="s">
        <v>1509</v>
      </c>
      <c r="C1483" s="48" t="s">
        <v>973</v>
      </c>
      <c r="D1483" s="48">
        <v>5541371552</v>
      </c>
      <c r="E1483" s="48">
        <v>190125</v>
      </c>
      <c r="F1483" s="88">
        <v>868.56</v>
      </c>
      <c r="G1483" s="50">
        <v>46120</v>
      </c>
      <c r="H1483" s="48" t="s">
        <v>1458</v>
      </c>
      <c r="I1483" s="48" t="s">
        <v>1519</v>
      </c>
      <c r="J1483" s="48">
        <v>10</v>
      </c>
      <c r="K1483" s="48" t="s">
        <v>1520</v>
      </c>
      <c r="L1483" s="48">
        <v>2</v>
      </c>
    </row>
    <row r="1484" spans="1:12" hidden="1" x14ac:dyDescent="0.3">
      <c r="A1484" s="48" t="s">
        <v>17</v>
      </c>
      <c r="B1484" s="48" t="s">
        <v>1507</v>
      </c>
      <c r="C1484" s="48" t="s">
        <v>113</v>
      </c>
      <c r="D1484" s="48">
        <v>5543678742</v>
      </c>
      <c r="E1484" s="48">
        <v>189873</v>
      </c>
      <c r="F1484" s="88">
        <v>10560.64</v>
      </c>
      <c r="G1484" s="50">
        <v>46120</v>
      </c>
    </row>
    <row r="1485" spans="1:12" s="48" customFormat="1" hidden="1" x14ac:dyDescent="0.3">
      <c r="A1485" s="44" t="s">
        <v>17</v>
      </c>
      <c r="B1485" s="44" t="s">
        <v>1508</v>
      </c>
      <c r="C1485" s="44" t="s">
        <v>1510</v>
      </c>
      <c r="D1485" s="44">
        <v>5586184737</v>
      </c>
      <c r="E1485" s="44">
        <v>353755</v>
      </c>
      <c r="F1485" s="87">
        <v>1502</v>
      </c>
      <c r="G1485" s="46">
        <v>46120</v>
      </c>
    </row>
    <row r="1486" spans="1:12" hidden="1" x14ac:dyDescent="0.3">
      <c r="A1486" s="44" t="s">
        <v>11</v>
      </c>
      <c r="B1486" s="44" t="s">
        <v>1268</v>
      </c>
      <c r="C1486" s="44" t="s">
        <v>84</v>
      </c>
      <c r="D1486" s="44">
        <v>5540713234</v>
      </c>
      <c r="E1486" s="44">
        <v>189963</v>
      </c>
      <c r="F1486" s="87">
        <v>1385</v>
      </c>
      <c r="G1486" s="46">
        <v>46120</v>
      </c>
    </row>
    <row r="1487" spans="1:12" s="48" customFormat="1" hidden="1" x14ac:dyDescent="0.3">
      <c r="A1487" s="48" t="s">
        <v>11</v>
      </c>
      <c r="B1487" s="48" t="s">
        <v>1268</v>
      </c>
      <c r="C1487" s="48" t="s">
        <v>84</v>
      </c>
      <c r="D1487" s="44">
        <v>5540713234</v>
      </c>
      <c r="E1487" s="48">
        <v>340093</v>
      </c>
      <c r="F1487" s="88">
        <v>15</v>
      </c>
      <c r="G1487" s="50">
        <v>46120</v>
      </c>
    </row>
    <row r="1488" spans="1:12" hidden="1" x14ac:dyDescent="0.3">
      <c r="A1488" s="44" t="s">
        <v>11</v>
      </c>
      <c r="B1488" s="44" t="s">
        <v>1523</v>
      </c>
      <c r="C1488" s="44" t="s">
        <v>1524</v>
      </c>
      <c r="D1488" s="44">
        <v>5544564991</v>
      </c>
      <c r="E1488" s="44">
        <v>189923</v>
      </c>
      <c r="F1488" s="87">
        <v>7320.2</v>
      </c>
      <c r="G1488" s="46">
        <v>46120</v>
      </c>
    </row>
    <row r="1489" spans="1:10" s="48" customFormat="1" hidden="1" x14ac:dyDescent="0.3">
      <c r="A1489" s="48" t="s">
        <v>11</v>
      </c>
      <c r="B1489" s="48" t="s">
        <v>1523</v>
      </c>
      <c r="C1489" s="48" t="s">
        <v>1524</v>
      </c>
      <c r="D1489" s="48">
        <v>5544564991</v>
      </c>
      <c r="E1489" s="48">
        <v>189924</v>
      </c>
      <c r="F1489" s="88">
        <v>506</v>
      </c>
      <c r="G1489" s="50">
        <v>46120</v>
      </c>
    </row>
    <row r="1490" spans="1:10" hidden="1" x14ac:dyDescent="0.3">
      <c r="A1490" s="48" t="s">
        <v>11</v>
      </c>
      <c r="B1490" s="48" t="s">
        <v>1521</v>
      </c>
      <c r="C1490" s="48" t="s">
        <v>1522</v>
      </c>
      <c r="D1490" s="48">
        <v>5546685139</v>
      </c>
      <c r="E1490" s="48">
        <v>189995</v>
      </c>
      <c r="F1490" s="88">
        <v>5955.76</v>
      </c>
      <c r="G1490" s="50">
        <v>46120</v>
      </c>
    </row>
    <row r="1491" spans="1:10" s="48" customFormat="1" hidden="1" x14ac:dyDescent="0.3">
      <c r="A1491" s="44" t="s">
        <v>11</v>
      </c>
      <c r="B1491" s="44" t="s">
        <v>1517</v>
      </c>
      <c r="C1491" s="44" t="s">
        <v>84</v>
      </c>
      <c r="D1491" s="44">
        <v>5619905953</v>
      </c>
      <c r="E1491" s="44">
        <v>190639</v>
      </c>
      <c r="F1491" s="87">
        <v>3694</v>
      </c>
      <c r="G1491" s="46">
        <v>46120</v>
      </c>
    </row>
    <row r="1492" spans="1:10" hidden="1" x14ac:dyDescent="0.3">
      <c r="A1492" s="48" t="s">
        <v>11</v>
      </c>
      <c r="B1492" s="48" t="s">
        <v>1515</v>
      </c>
      <c r="C1492" s="48" t="s">
        <v>478</v>
      </c>
      <c r="D1492" s="48">
        <f>IFERROR(VLOOKUP(C1492,Base2026!B:D,2,FALSE),"")</f>
        <v>5631001997</v>
      </c>
      <c r="E1492" s="48">
        <v>190480</v>
      </c>
      <c r="F1492" s="88">
        <v>990.96</v>
      </c>
      <c r="G1492" s="50">
        <v>46120</v>
      </c>
    </row>
    <row r="1493" spans="1:10" s="48" customFormat="1" hidden="1" x14ac:dyDescent="0.3">
      <c r="A1493" s="48" t="s">
        <v>11</v>
      </c>
      <c r="B1493" s="48" t="s">
        <v>1518</v>
      </c>
      <c r="C1493" s="48" t="s">
        <v>390</v>
      </c>
      <c r="D1493" s="48">
        <v>5631061983</v>
      </c>
      <c r="E1493" s="48">
        <v>354624</v>
      </c>
      <c r="F1493" s="88">
        <v>7330</v>
      </c>
      <c r="G1493" s="50">
        <v>46120</v>
      </c>
    </row>
    <row r="1494" spans="1:10" hidden="1" x14ac:dyDescent="0.3">
      <c r="A1494" s="44" t="s">
        <v>11</v>
      </c>
      <c r="B1494" s="44" t="s">
        <v>1518</v>
      </c>
      <c r="C1494" s="44" t="s">
        <v>390</v>
      </c>
      <c r="D1494" s="48">
        <v>5631061983</v>
      </c>
      <c r="E1494" s="44">
        <v>354625</v>
      </c>
      <c r="F1494" s="87">
        <v>525</v>
      </c>
      <c r="G1494" s="46">
        <v>46120</v>
      </c>
    </row>
    <row r="1495" spans="1:10" s="51" customFormat="1" hidden="1" x14ac:dyDescent="0.3">
      <c r="A1495" s="51" t="s">
        <v>10</v>
      </c>
      <c r="B1495" s="51" t="s">
        <v>999</v>
      </c>
      <c r="C1495" s="51" t="str">
        <f>IFERROR(VLOOKUP(B1495,Base2026!A:C,2,FALSE),"")</f>
        <v>VIDRIO PLANO</v>
      </c>
      <c r="D1495" s="51">
        <f>IFERROR(VLOOKUP(C1495,Base2026!B:D,2,FALSE),"")</f>
        <v>5540522764</v>
      </c>
      <c r="E1495" s="51">
        <v>190800</v>
      </c>
      <c r="F1495" s="68">
        <v>6318</v>
      </c>
      <c r="G1495" s="52">
        <v>46121</v>
      </c>
      <c r="H1495" s="51" t="s">
        <v>1458</v>
      </c>
      <c r="I1495" s="51" t="s">
        <v>1527</v>
      </c>
      <c r="J1495" s="51">
        <v>9</v>
      </c>
    </row>
    <row r="1496" spans="1:10" hidden="1" x14ac:dyDescent="0.3">
      <c r="A1496" s="44" t="s">
        <v>10</v>
      </c>
      <c r="B1496" s="44" t="s">
        <v>1526</v>
      </c>
      <c r="C1496" s="44" t="s">
        <v>46</v>
      </c>
      <c r="D1496" s="44">
        <v>5551397270</v>
      </c>
      <c r="E1496" s="44">
        <v>301841</v>
      </c>
      <c r="F1496" s="87">
        <v>7294</v>
      </c>
      <c r="G1496" s="46">
        <v>46121</v>
      </c>
    </row>
    <row r="1497" spans="1:10" s="51" customFormat="1" hidden="1" x14ac:dyDescent="0.3">
      <c r="A1497" s="51" t="s">
        <v>10</v>
      </c>
      <c r="B1497" s="51" t="s">
        <v>1526</v>
      </c>
      <c r="C1497" s="51" t="s">
        <v>46</v>
      </c>
      <c r="D1497" s="51">
        <v>5551397270</v>
      </c>
      <c r="E1497" s="51">
        <v>301842</v>
      </c>
      <c r="F1497" s="68">
        <v>1578.84</v>
      </c>
      <c r="G1497" s="52">
        <v>46121</v>
      </c>
    </row>
    <row r="1498" spans="1:10" hidden="1" x14ac:dyDescent="0.3">
      <c r="A1498" s="51" t="s">
        <v>10</v>
      </c>
      <c r="B1498" s="51" t="s">
        <v>1303</v>
      </c>
      <c r="C1498" s="51" t="s">
        <v>622</v>
      </c>
      <c r="D1498" s="51">
        <v>5554572412</v>
      </c>
      <c r="E1498" s="51">
        <v>301308</v>
      </c>
      <c r="F1498" s="68">
        <v>8834.6299999999992</v>
      </c>
      <c r="G1498" s="52">
        <v>46121</v>
      </c>
    </row>
    <row r="1499" spans="1:10" s="51" customFormat="1" hidden="1" x14ac:dyDescent="0.3">
      <c r="A1499" s="44" t="s">
        <v>10</v>
      </c>
      <c r="B1499" s="44" t="s">
        <v>1528</v>
      </c>
      <c r="C1499" s="44" t="s">
        <v>237</v>
      </c>
      <c r="D1499" s="44">
        <v>5610717474</v>
      </c>
      <c r="E1499" s="44">
        <v>301767</v>
      </c>
      <c r="F1499" s="87">
        <v>2340</v>
      </c>
      <c r="G1499" s="46">
        <v>46121</v>
      </c>
    </row>
    <row r="1500" spans="1:10" hidden="1" x14ac:dyDescent="0.3">
      <c r="A1500" s="44" t="s">
        <v>17</v>
      </c>
      <c r="B1500" s="44" t="s">
        <v>1529</v>
      </c>
      <c r="C1500" s="44" t="s">
        <v>204</v>
      </c>
      <c r="D1500" s="44">
        <v>5510175866</v>
      </c>
      <c r="E1500" s="44">
        <v>354317</v>
      </c>
      <c r="F1500" s="87">
        <v>12479.23</v>
      </c>
      <c r="G1500" s="46">
        <v>46121</v>
      </c>
    </row>
    <row r="1501" spans="1:10" s="51" customFormat="1" hidden="1" x14ac:dyDescent="0.3">
      <c r="A1501" s="51" t="s">
        <v>17</v>
      </c>
      <c r="B1501" s="51" t="s">
        <v>249</v>
      </c>
      <c r="C1501" s="51" t="s">
        <v>712</v>
      </c>
      <c r="D1501" s="51">
        <v>5530077114</v>
      </c>
      <c r="E1501" s="51">
        <v>188811</v>
      </c>
      <c r="F1501" s="68">
        <v>4365</v>
      </c>
      <c r="G1501" s="52">
        <v>46121</v>
      </c>
    </row>
    <row r="1502" spans="1:10" hidden="1" x14ac:dyDescent="0.3">
      <c r="A1502" s="44" t="s">
        <v>17</v>
      </c>
      <c r="B1502" s="44" t="s">
        <v>894</v>
      </c>
      <c r="C1502" s="44" t="str">
        <f>IFERROR(VLOOKUP(B1502,Base2026!A:C,2,FALSE),"")</f>
        <v>JARDINES DE GUADALUPE</v>
      </c>
      <c r="D1502" s="44">
        <f>IFERROR(VLOOKUP(C1502,Base2026!B:D,2,FALSE),"")</f>
        <v>5565425223</v>
      </c>
      <c r="E1502" s="44">
        <v>190414</v>
      </c>
      <c r="F1502" s="87">
        <v>2227</v>
      </c>
      <c r="G1502" s="46">
        <v>46121</v>
      </c>
    </row>
    <row r="1503" spans="1:10" s="51" customFormat="1" hidden="1" x14ac:dyDescent="0.3">
      <c r="A1503" s="44" t="s">
        <v>11</v>
      </c>
      <c r="B1503" s="44" t="s">
        <v>998</v>
      </c>
      <c r="C1503" s="44" t="str">
        <f>IFERROR(VLOOKUP(B1503,Base2026!A:C,2,FALSE),"")</f>
        <v>LAZARO CARDENAS</v>
      </c>
      <c r="D1503" s="44">
        <v>5518666506</v>
      </c>
      <c r="E1503" s="44">
        <v>189788</v>
      </c>
      <c r="F1503" s="87">
        <v>5779.35</v>
      </c>
      <c r="G1503" s="46">
        <v>46121</v>
      </c>
    </row>
    <row r="1504" spans="1:10" hidden="1" x14ac:dyDescent="0.3">
      <c r="A1504" s="44" t="s">
        <v>11</v>
      </c>
      <c r="B1504" s="44" t="s">
        <v>1404</v>
      </c>
      <c r="C1504" s="44" t="s">
        <v>68</v>
      </c>
      <c r="D1504" s="44">
        <f>IFERROR(VLOOKUP(C1504,Base2026!B:D,2,FALSE),"")</f>
        <v>5520706498</v>
      </c>
      <c r="E1504" s="44">
        <v>340034</v>
      </c>
      <c r="F1504" s="87">
        <v>244</v>
      </c>
      <c r="G1504" s="46">
        <v>46121</v>
      </c>
    </row>
    <row r="1505" spans="1:17" s="51" customFormat="1" hidden="1" x14ac:dyDescent="0.3">
      <c r="A1505" s="51" t="s">
        <v>11</v>
      </c>
      <c r="B1505" s="51" t="s">
        <v>1404</v>
      </c>
      <c r="C1505" s="51" t="s">
        <v>68</v>
      </c>
      <c r="D1505" s="44">
        <f>IFERROR(VLOOKUP(C1505,Base2026!B:D,2,FALSE),"")</f>
        <v>5520706498</v>
      </c>
      <c r="E1505" s="51">
        <v>300547</v>
      </c>
      <c r="F1505" s="68">
        <v>5278.59</v>
      </c>
      <c r="G1505" s="52">
        <v>46121</v>
      </c>
    </row>
    <row r="1506" spans="1:17" hidden="1" x14ac:dyDescent="0.3">
      <c r="A1506" s="51" t="s">
        <v>11</v>
      </c>
      <c r="B1506" s="51" t="s">
        <v>1404</v>
      </c>
      <c r="C1506" s="51" t="s">
        <v>68</v>
      </c>
      <c r="D1506" s="51">
        <v>5557800399</v>
      </c>
      <c r="E1506" s="51">
        <v>301152</v>
      </c>
      <c r="F1506" s="68">
        <v>1357</v>
      </c>
      <c r="G1506" s="52">
        <v>46121</v>
      </c>
    </row>
    <row r="1507" spans="1:17" s="51" customFormat="1" hidden="1" x14ac:dyDescent="0.3">
      <c r="A1507" s="51" t="s">
        <v>11</v>
      </c>
      <c r="B1507" s="51" t="s">
        <v>1530</v>
      </c>
      <c r="C1507" s="51" t="s">
        <v>425</v>
      </c>
      <c r="D1507" s="51">
        <v>5610906097</v>
      </c>
      <c r="E1507" s="51">
        <v>190553</v>
      </c>
      <c r="F1507" s="68">
        <v>1624</v>
      </c>
      <c r="G1507" s="52">
        <v>46121</v>
      </c>
    </row>
    <row r="1508" spans="1:17" hidden="1" x14ac:dyDescent="0.3">
      <c r="A1508" s="57" t="s">
        <v>47</v>
      </c>
      <c r="B1508" s="57" t="s">
        <v>186</v>
      </c>
      <c r="C1508" s="57" t="str">
        <f>IFERROR(VLOOKUP(B1508,Base2026!A:C,2,FALSE),"")</f>
        <v>CASAS ALEMAN</v>
      </c>
      <c r="D1508" s="57">
        <f>IFERROR(VLOOKUP(C1508,Base2026!B:D,2,FALSE),"")</f>
        <v>5529849094</v>
      </c>
      <c r="E1508" s="57">
        <v>34132</v>
      </c>
      <c r="F1508" s="90">
        <v>408</v>
      </c>
      <c r="G1508" s="58">
        <v>46122</v>
      </c>
    </row>
    <row r="1509" spans="1:17" s="57" customFormat="1" hidden="1" x14ac:dyDescent="0.3">
      <c r="A1509" s="44" t="s">
        <v>47</v>
      </c>
      <c r="B1509" s="44" t="s">
        <v>186</v>
      </c>
      <c r="C1509" s="44" t="str">
        <f>IFERROR(VLOOKUP(B1509,Base2026!A:C,2,FALSE),"")</f>
        <v>CASAS ALEMAN</v>
      </c>
      <c r="D1509" s="44">
        <f>IFERROR(VLOOKUP(C1509,Base2026!B:D,2,FALSE),"")</f>
        <v>5529849094</v>
      </c>
      <c r="E1509" s="44">
        <v>190223</v>
      </c>
      <c r="F1509" s="87">
        <v>1916</v>
      </c>
      <c r="G1509" s="46">
        <v>46122</v>
      </c>
      <c r="H1509" s="57" t="s">
        <v>1458</v>
      </c>
      <c r="I1509" s="57" t="s">
        <v>1533</v>
      </c>
      <c r="J1509" s="57">
        <v>1</v>
      </c>
      <c r="K1509" s="57" t="s">
        <v>1534</v>
      </c>
      <c r="L1509" s="57">
        <v>12</v>
      </c>
      <c r="M1509" s="57" t="s">
        <v>1535</v>
      </c>
      <c r="N1509" s="57" t="s">
        <v>1536</v>
      </c>
      <c r="O1509" s="57">
        <v>2</v>
      </c>
      <c r="P1509" s="57" t="s">
        <v>1491</v>
      </c>
      <c r="Q1509" s="57">
        <v>3</v>
      </c>
    </row>
    <row r="1510" spans="1:17" hidden="1" x14ac:dyDescent="0.3">
      <c r="A1510" s="57" t="s">
        <v>47</v>
      </c>
      <c r="B1510" s="57" t="s">
        <v>186</v>
      </c>
      <c r="C1510" s="57" t="str">
        <f>IFERROR(VLOOKUP(B1510,Base2026!A:C,2,FALSE),"")</f>
        <v>CASAS ALEMAN</v>
      </c>
      <c r="D1510" s="57">
        <f>IFERROR(VLOOKUP(C1510,Base2026!B:D,2,FALSE),"")</f>
        <v>5529849094</v>
      </c>
      <c r="E1510" s="57">
        <v>34133</v>
      </c>
      <c r="F1510" s="90">
        <v>322</v>
      </c>
      <c r="G1510" s="58">
        <v>46122</v>
      </c>
    </row>
    <row r="1511" spans="1:17" s="57" customFormat="1" hidden="1" x14ac:dyDescent="0.3">
      <c r="A1511" s="44" t="s">
        <v>47</v>
      </c>
      <c r="B1511" s="44" t="s">
        <v>1205</v>
      </c>
      <c r="C1511" s="44" t="s">
        <v>54</v>
      </c>
      <c r="D1511" s="48">
        <v>5544564991</v>
      </c>
      <c r="E1511" s="44">
        <v>354847</v>
      </c>
      <c r="F1511" s="87">
        <v>5910</v>
      </c>
      <c r="G1511" s="46">
        <v>46122</v>
      </c>
      <c r="H1511" s="57" t="s">
        <v>1458</v>
      </c>
      <c r="I1511" s="57" t="s">
        <v>1537</v>
      </c>
      <c r="J1511" s="57">
        <v>4</v>
      </c>
      <c r="K1511" s="57" t="s">
        <v>1538</v>
      </c>
      <c r="L1511" s="57">
        <v>1</v>
      </c>
    </row>
    <row r="1512" spans="1:17" hidden="1" x14ac:dyDescent="0.3">
      <c r="A1512" s="44" t="s">
        <v>47</v>
      </c>
      <c r="B1512" s="44" t="s">
        <v>1543</v>
      </c>
      <c r="C1512" s="44" t="s">
        <v>68</v>
      </c>
      <c r="D1512" s="44">
        <v>5545286813</v>
      </c>
      <c r="E1512" s="44">
        <v>301852</v>
      </c>
      <c r="F1512" s="87">
        <v>2800</v>
      </c>
      <c r="G1512" s="46">
        <v>46122</v>
      </c>
    </row>
    <row r="1513" spans="1:17" s="57" customFormat="1" hidden="1" x14ac:dyDescent="0.3">
      <c r="A1513" s="57" t="s">
        <v>47</v>
      </c>
      <c r="B1513" s="57" t="s">
        <v>1541</v>
      </c>
      <c r="C1513" s="57" t="s">
        <v>187</v>
      </c>
      <c r="D1513" s="57">
        <v>5546063932</v>
      </c>
      <c r="E1513" s="57">
        <v>301864</v>
      </c>
      <c r="F1513" s="90">
        <v>1562</v>
      </c>
      <c r="G1513" s="58">
        <v>46122</v>
      </c>
    </row>
    <row r="1514" spans="1:17" hidden="1" x14ac:dyDescent="0.3">
      <c r="A1514" s="57" t="s">
        <v>47</v>
      </c>
      <c r="B1514" s="57" t="s">
        <v>1303</v>
      </c>
      <c r="C1514" s="57" t="s">
        <v>354</v>
      </c>
      <c r="D1514" s="57">
        <v>5554572412</v>
      </c>
      <c r="E1514" s="57">
        <v>301649</v>
      </c>
      <c r="F1514" s="90">
        <v>2452.5500000000002</v>
      </c>
      <c r="G1514" s="58">
        <v>46122</v>
      </c>
    </row>
    <row r="1515" spans="1:17" s="57" customFormat="1" hidden="1" x14ac:dyDescent="0.3">
      <c r="A1515" s="44" t="s">
        <v>47</v>
      </c>
      <c r="B1515" s="44" t="s">
        <v>186</v>
      </c>
      <c r="C1515" s="44" t="str">
        <f>IFERROR(VLOOKUP(B1515,Base2026!A:C,2,FALSE),"")</f>
        <v>CASAS ALEMAN</v>
      </c>
      <c r="D1515" s="44">
        <v>5610944519</v>
      </c>
      <c r="E1515" s="44">
        <v>190221</v>
      </c>
      <c r="F1515" s="87">
        <v>3900</v>
      </c>
      <c r="G1515" s="46">
        <v>46122</v>
      </c>
    </row>
    <row r="1516" spans="1:17" hidden="1" x14ac:dyDescent="0.3">
      <c r="A1516" s="57" t="s">
        <v>10</v>
      </c>
      <c r="B1516" s="57" t="s">
        <v>705</v>
      </c>
      <c r="C1516" s="57" t="str">
        <f>IFERROR(VLOOKUP(B1516,Base2026!A:C,2,FALSE),"")</f>
        <v>TULPETLAC</v>
      </c>
      <c r="D1516" s="57">
        <v>5549432984</v>
      </c>
      <c r="E1516" s="57">
        <v>190864</v>
      </c>
      <c r="F1516" s="90">
        <v>5930</v>
      </c>
      <c r="G1516" s="58">
        <v>46122</v>
      </c>
      <c r="H1516" s="44" t="s">
        <v>1458</v>
      </c>
      <c r="I1516" s="44" t="s">
        <v>1539</v>
      </c>
      <c r="J1516" s="44">
        <v>60</v>
      </c>
      <c r="K1516" s="44" t="s">
        <v>1467</v>
      </c>
      <c r="L1516" s="44">
        <v>5</v>
      </c>
    </row>
    <row r="1517" spans="1:17" s="57" customFormat="1" hidden="1" x14ac:dyDescent="0.3">
      <c r="A1517" s="44" t="s">
        <v>10</v>
      </c>
      <c r="B1517" s="44" t="s">
        <v>57</v>
      </c>
      <c r="C1517" s="44" t="str">
        <f>IFERROR(VLOOKUP(B1517,Base2026!A:C,2,FALSE),"")</f>
        <v>EJE 8</v>
      </c>
      <c r="D1517" s="80">
        <v>5554550976</v>
      </c>
      <c r="E1517" s="44">
        <v>300874</v>
      </c>
      <c r="F1517" s="87">
        <v>11374.95</v>
      </c>
      <c r="G1517" s="46">
        <v>46122</v>
      </c>
    </row>
    <row r="1518" spans="1:17" hidden="1" x14ac:dyDescent="0.3">
      <c r="A1518" s="57" t="s">
        <v>10</v>
      </c>
      <c r="B1518" s="57" t="s">
        <v>57</v>
      </c>
      <c r="C1518" s="57" t="str">
        <f>IFERROR(VLOOKUP(B1518,Base2026!A:C,2,FALSE),"")</f>
        <v>EJE 8</v>
      </c>
      <c r="D1518" s="80">
        <v>5554550976</v>
      </c>
      <c r="E1518" s="57">
        <v>300864</v>
      </c>
      <c r="F1518" s="90">
        <v>264.48</v>
      </c>
      <c r="G1518" s="58">
        <v>46122</v>
      </c>
    </row>
    <row r="1519" spans="1:17" s="57" customFormat="1" hidden="1" x14ac:dyDescent="0.3">
      <c r="A1519" s="44" t="s">
        <v>10</v>
      </c>
      <c r="B1519" s="44" t="s">
        <v>57</v>
      </c>
      <c r="C1519" s="44" t="str">
        <f>IFERROR(VLOOKUP(B1519,Base2026!A:C,2,FALSE),"")</f>
        <v>EJE 8</v>
      </c>
      <c r="D1519" s="80">
        <v>5554550976</v>
      </c>
      <c r="E1519" s="44">
        <v>300997</v>
      </c>
      <c r="F1519" s="87">
        <v>495.04</v>
      </c>
      <c r="G1519" s="46">
        <v>46122</v>
      </c>
      <c r="H1519" s="57" t="s">
        <v>1458</v>
      </c>
      <c r="I1519" s="57" t="s">
        <v>1542</v>
      </c>
      <c r="J1519" s="57">
        <v>1</v>
      </c>
    </row>
    <row r="1520" spans="1:17" hidden="1" x14ac:dyDescent="0.3">
      <c r="A1520" s="57" t="s">
        <v>10</v>
      </c>
      <c r="B1520" s="57" t="s">
        <v>57</v>
      </c>
      <c r="C1520" s="57" t="str">
        <f>IFERROR(VLOOKUP(B1520,Base2026!A:C,2,FALSE),"")</f>
        <v>EJE 8</v>
      </c>
      <c r="D1520" s="80">
        <v>5554550976</v>
      </c>
      <c r="E1520" s="57">
        <v>300875</v>
      </c>
      <c r="F1520" s="90">
        <v>9040.44</v>
      </c>
      <c r="G1520" s="58">
        <v>46122</v>
      </c>
    </row>
    <row r="1521" spans="1:12" s="57" customFormat="1" hidden="1" x14ac:dyDescent="0.3">
      <c r="A1521" s="57" t="s">
        <v>17</v>
      </c>
      <c r="B1521" s="57" t="s">
        <v>1531</v>
      </c>
      <c r="C1521" s="57" t="s">
        <v>1532</v>
      </c>
      <c r="D1521" s="57">
        <v>5543048375</v>
      </c>
      <c r="E1521" s="57">
        <v>354615</v>
      </c>
      <c r="F1521" s="90">
        <v>26614</v>
      </c>
      <c r="G1521" s="58">
        <v>46122</v>
      </c>
    </row>
    <row r="1522" spans="1:12" hidden="1" x14ac:dyDescent="0.3">
      <c r="A1522" s="44" t="s">
        <v>17</v>
      </c>
      <c r="B1522" s="44" t="s">
        <v>1531</v>
      </c>
      <c r="C1522" s="44" t="s">
        <v>1532</v>
      </c>
      <c r="D1522" s="44">
        <v>5543048375</v>
      </c>
      <c r="E1522" s="44">
        <v>302098</v>
      </c>
      <c r="F1522" s="87">
        <v>2385</v>
      </c>
      <c r="G1522" s="46">
        <v>46122</v>
      </c>
    </row>
    <row r="1523" spans="1:12" s="57" customFormat="1" hidden="1" x14ac:dyDescent="0.3">
      <c r="A1523" s="44" t="s">
        <v>17</v>
      </c>
      <c r="B1523" s="44" t="s">
        <v>298</v>
      </c>
      <c r="C1523" s="44" t="str">
        <f>IFERROR(VLOOKUP(B1523,Base2026!A:C,2,FALSE),"")</f>
        <v xml:space="preserve">ETEN </v>
      </c>
      <c r="D1523" s="44">
        <f>IFERROR(VLOOKUP(C1523,Base2026!B:D,2,FALSE),"")</f>
        <v>5591940032</v>
      </c>
      <c r="E1523" s="44">
        <v>301153</v>
      </c>
      <c r="F1523" s="87">
        <v>3153.36</v>
      </c>
      <c r="G1523" s="46">
        <v>46122</v>
      </c>
    </row>
    <row r="1524" spans="1:12" hidden="1" x14ac:dyDescent="0.3">
      <c r="A1524" s="57" t="s">
        <v>11</v>
      </c>
      <c r="B1524" s="57" t="s">
        <v>1540</v>
      </c>
      <c r="C1524" s="57" t="s">
        <v>82</v>
      </c>
      <c r="D1524" s="57">
        <v>5513641182</v>
      </c>
      <c r="E1524" s="57">
        <v>354869</v>
      </c>
      <c r="F1524" s="90">
        <v>2151</v>
      </c>
      <c r="G1524" s="58">
        <v>46122</v>
      </c>
    </row>
    <row r="1525" spans="1:12" s="57" customFormat="1" hidden="1" x14ac:dyDescent="0.3">
      <c r="A1525" s="44" t="s">
        <v>11</v>
      </c>
      <c r="B1525" s="44" t="s">
        <v>1544</v>
      </c>
      <c r="C1525" s="44" t="s">
        <v>721</v>
      </c>
      <c r="D1525" s="44">
        <f>IFERROR(VLOOKUP(C1525,Base2026!B:D,2,FALSE),"")</f>
        <v>5526907271</v>
      </c>
      <c r="E1525" s="44">
        <v>190924</v>
      </c>
      <c r="F1525" s="87">
        <v>1226</v>
      </c>
      <c r="G1525" s="46">
        <v>46122</v>
      </c>
    </row>
    <row r="1526" spans="1:12" hidden="1" x14ac:dyDescent="0.3">
      <c r="A1526" s="57" t="s">
        <v>11</v>
      </c>
      <c r="B1526" s="57" t="s">
        <v>1544</v>
      </c>
      <c r="C1526" s="57" t="s">
        <v>721</v>
      </c>
      <c r="D1526" s="57">
        <f>IFERROR(VLOOKUP(C1526,Base2026!B:D,2,FALSE),"")</f>
        <v>5526907271</v>
      </c>
      <c r="E1526" s="57">
        <v>190925</v>
      </c>
      <c r="F1526" s="90">
        <v>370</v>
      </c>
      <c r="G1526" s="58">
        <v>46122</v>
      </c>
      <c r="H1526" s="44" t="s">
        <v>1458</v>
      </c>
      <c r="I1526" s="44" t="s">
        <v>1467</v>
      </c>
      <c r="J1526" s="44">
        <v>2</v>
      </c>
    </row>
    <row r="1527" spans="1:12" s="57" customFormat="1" hidden="1" x14ac:dyDescent="0.3">
      <c r="A1527" s="44" t="s">
        <v>11</v>
      </c>
      <c r="B1527" s="44" t="s">
        <v>1372</v>
      </c>
      <c r="C1527" s="44" t="s">
        <v>458</v>
      </c>
      <c r="D1527" s="44">
        <v>5539486141</v>
      </c>
      <c r="E1527" s="44">
        <v>300027</v>
      </c>
      <c r="F1527" s="87">
        <v>5294.99</v>
      </c>
      <c r="G1527" s="46">
        <v>46122</v>
      </c>
    </row>
    <row r="1528" spans="1:12" hidden="1" x14ac:dyDescent="0.3">
      <c r="A1528" s="44" t="s">
        <v>11</v>
      </c>
      <c r="B1528" s="44" t="s">
        <v>1545</v>
      </c>
      <c r="C1528" s="44" t="s">
        <v>46</v>
      </c>
      <c r="D1528" s="44">
        <v>5575658837</v>
      </c>
      <c r="E1528" s="44">
        <v>354623</v>
      </c>
      <c r="F1528" s="87">
        <v>3187</v>
      </c>
      <c r="G1528" s="46">
        <v>46122</v>
      </c>
    </row>
    <row r="1529" spans="1:12" s="57" customFormat="1" hidden="1" x14ac:dyDescent="0.3">
      <c r="A1529" s="57" t="s">
        <v>11</v>
      </c>
      <c r="B1529" s="57" t="s">
        <v>1545</v>
      </c>
      <c r="C1529" s="57" t="s">
        <v>46</v>
      </c>
      <c r="D1529" s="57">
        <v>5575658837</v>
      </c>
      <c r="E1529" s="57">
        <v>302102</v>
      </c>
      <c r="F1529" s="90">
        <v>255</v>
      </c>
      <c r="G1529" s="58">
        <v>46122</v>
      </c>
    </row>
    <row r="1530" spans="1:12" hidden="1" x14ac:dyDescent="0.3">
      <c r="A1530" s="44" t="s">
        <v>11</v>
      </c>
      <c r="B1530" s="44" t="s">
        <v>651</v>
      </c>
      <c r="C1530" s="44" t="str">
        <f>IFERROR(VLOOKUP(B1530,Base2026!A:C,2,FALSE),"")</f>
        <v>SANTIAGO ZACUALUCA</v>
      </c>
      <c r="D1530" s="44">
        <f>IFERROR(VLOOKUP(C1530,Base2026!B:D,2,FALSE),"")</f>
        <v>5578854795</v>
      </c>
      <c r="E1530" s="44">
        <v>354830</v>
      </c>
      <c r="F1530" s="87">
        <v>26467</v>
      </c>
      <c r="G1530" s="46">
        <v>46122</v>
      </c>
      <c r="H1530" s="44" t="s">
        <v>1458</v>
      </c>
      <c r="I1530" s="44" t="s">
        <v>1546</v>
      </c>
      <c r="J1530" s="44">
        <v>8</v>
      </c>
      <c r="K1530" s="44" t="s">
        <v>1547</v>
      </c>
      <c r="L1530" s="44">
        <v>1</v>
      </c>
    </row>
    <row r="1531" spans="1:12" s="60" customFormat="1" hidden="1" x14ac:dyDescent="0.3">
      <c r="A1531" s="60" t="s">
        <v>47</v>
      </c>
      <c r="B1531" s="60" t="s">
        <v>1556</v>
      </c>
      <c r="C1531" s="60" t="s">
        <v>111</v>
      </c>
      <c r="D1531" s="60">
        <v>5539565619</v>
      </c>
      <c r="E1531" s="60">
        <v>300765</v>
      </c>
      <c r="F1531" s="79">
        <v>11400</v>
      </c>
      <c r="G1531" s="69">
        <v>46123</v>
      </c>
    </row>
    <row r="1532" spans="1:12" hidden="1" x14ac:dyDescent="0.3">
      <c r="A1532" s="44" t="s">
        <v>47</v>
      </c>
      <c r="B1532" s="44" t="s">
        <v>1555</v>
      </c>
      <c r="C1532" s="44" t="s">
        <v>285</v>
      </c>
      <c r="D1532" s="44">
        <v>5545355900</v>
      </c>
      <c r="E1532" s="44">
        <v>190522</v>
      </c>
      <c r="F1532" s="87">
        <v>3296.64</v>
      </c>
      <c r="G1532" s="46">
        <v>46123</v>
      </c>
    </row>
    <row r="1533" spans="1:12" s="60" customFormat="1" hidden="1" x14ac:dyDescent="0.3">
      <c r="A1533" s="44" t="s">
        <v>47</v>
      </c>
      <c r="B1533" s="44" t="s">
        <v>1557</v>
      </c>
      <c r="C1533" s="44" t="s">
        <v>113</v>
      </c>
      <c r="D1533" s="44">
        <v>5612962917</v>
      </c>
      <c r="E1533" s="44">
        <v>354588</v>
      </c>
      <c r="F1533" s="87">
        <v>1316.76</v>
      </c>
      <c r="G1533" s="46">
        <v>46123</v>
      </c>
    </row>
    <row r="1534" spans="1:12" hidden="1" x14ac:dyDescent="0.3">
      <c r="A1534" s="60" t="s">
        <v>10</v>
      </c>
      <c r="B1534" s="60" t="s">
        <v>521</v>
      </c>
      <c r="C1534" s="60" t="s">
        <v>1550</v>
      </c>
      <c r="D1534" s="60">
        <v>5528013590</v>
      </c>
      <c r="E1534" s="60">
        <v>190665</v>
      </c>
      <c r="F1534" s="79">
        <v>2270</v>
      </c>
      <c r="G1534" s="69">
        <v>46123</v>
      </c>
    </row>
    <row r="1535" spans="1:12" s="60" customFormat="1" hidden="1" x14ac:dyDescent="0.3">
      <c r="A1535" s="44" t="s">
        <v>10</v>
      </c>
      <c r="B1535" s="44" t="s">
        <v>521</v>
      </c>
      <c r="C1535" s="44" t="s">
        <v>1554</v>
      </c>
      <c r="D1535" s="44">
        <v>5528013590</v>
      </c>
      <c r="E1535" s="44">
        <v>34201</v>
      </c>
      <c r="F1535" s="87">
        <v>132</v>
      </c>
      <c r="G1535" s="46">
        <v>46123</v>
      </c>
    </row>
    <row r="1536" spans="1:12" hidden="1" x14ac:dyDescent="0.3">
      <c r="A1536" s="60" t="s">
        <v>10</v>
      </c>
      <c r="B1536" s="60" t="s">
        <v>1549</v>
      </c>
      <c r="C1536" s="60" t="s">
        <v>41</v>
      </c>
      <c r="D1536" s="60">
        <v>5532083177</v>
      </c>
      <c r="E1536" s="60">
        <v>354732</v>
      </c>
      <c r="F1536" s="79">
        <v>1300</v>
      </c>
      <c r="G1536" s="69">
        <v>46123</v>
      </c>
    </row>
    <row r="1537" spans="1:11" s="60" customFormat="1" hidden="1" x14ac:dyDescent="0.3">
      <c r="A1537" s="44" t="s">
        <v>10</v>
      </c>
      <c r="B1537" s="44" t="s">
        <v>1549</v>
      </c>
      <c r="C1537" s="44" t="s">
        <v>41</v>
      </c>
      <c r="D1537" s="44">
        <v>5532083177</v>
      </c>
      <c r="E1537" s="44">
        <v>302112</v>
      </c>
      <c r="F1537" s="87">
        <v>124</v>
      </c>
      <c r="G1537" s="46">
        <v>46123</v>
      </c>
    </row>
    <row r="1538" spans="1:11" hidden="1" x14ac:dyDescent="0.3">
      <c r="A1538" s="44" t="s">
        <v>10</v>
      </c>
      <c r="B1538" s="44" t="s">
        <v>1548</v>
      </c>
      <c r="C1538" s="44" t="s">
        <v>60</v>
      </c>
      <c r="D1538" s="44">
        <f>IFERROR(VLOOKUP(C1538,Base2026!B:D,2,FALSE),"")</f>
        <v>5596903852</v>
      </c>
      <c r="E1538" s="44">
        <v>34149</v>
      </c>
      <c r="F1538" s="87">
        <v>222</v>
      </c>
      <c r="G1538" s="46">
        <v>46123</v>
      </c>
    </row>
    <row r="1539" spans="1:11" s="60" customFormat="1" hidden="1" x14ac:dyDescent="0.3">
      <c r="A1539" s="60" t="s">
        <v>10</v>
      </c>
      <c r="B1539" s="60" t="s">
        <v>1548</v>
      </c>
      <c r="C1539" s="60" t="s">
        <v>60</v>
      </c>
      <c r="D1539" s="60">
        <v>5614236858</v>
      </c>
      <c r="E1539" s="60">
        <v>190318</v>
      </c>
      <c r="F1539" s="79">
        <v>1391</v>
      </c>
      <c r="G1539" s="69">
        <v>46123</v>
      </c>
    </row>
    <row r="1540" spans="1:11" hidden="1" x14ac:dyDescent="0.3">
      <c r="A1540" s="60" t="s">
        <v>17</v>
      </c>
      <c r="B1540" s="60" t="s">
        <v>269</v>
      </c>
      <c r="C1540" s="60" t="s">
        <v>1551</v>
      </c>
      <c r="D1540" s="60">
        <v>5544410345</v>
      </c>
      <c r="E1540" s="60">
        <v>300657</v>
      </c>
      <c r="F1540" s="79">
        <v>139129.76999999999</v>
      </c>
      <c r="G1540" s="69">
        <v>46123</v>
      </c>
    </row>
    <row r="1541" spans="1:11" s="60" customFormat="1" hidden="1" x14ac:dyDescent="0.3">
      <c r="A1541" s="44" t="s">
        <v>17</v>
      </c>
      <c r="B1541" s="44" t="s">
        <v>1552</v>
      </c>
      <c r="C1541" s="44" t="s">
        <v>1553</v>
      </c>
      <c r="D1541" s="44">
        <v>5564371624</v>
      </c>
      <c r="E1541" s="44">
        <v>190370</v>
      </c>
      <c r="F1541" s="87">
        <v>3168</v>
      </c>
      <c r="G1541" s="46">
        <v>46123</v>
      </c>
    </row>
    <row r="1542" spans="1:11" hidden="1" x14ac:dyDescent="0.3">
      <c r="A1542" s="60" t="s">
        <v>17</v>
      </c>
      <c r="B1542" s="60" t="s">
        <v>1552</v>
      </c>
      <c r="C1542" s="60" t="s">
        <v>1553</v>
      </c>
      <c r="D1542" s="60">
        <v>5564371624</v>
      </c>
      <c r="E1542" s="60">
        <v>34161</v>
      </c>
      <c r="F1542" s="79">
        <v>416</v>
      </c>
      <c r="G1542" s="69">
        <v>46123</v>
      </c>
    </row>
    <row r="1543" spans="1:11" s="60" customFormat="1" hidden="1" x14ac:dyDescent="0.3">
      <c r="A1543" s="60" t="s">
        <v>11</v>
      </c>
      <c r="B1543" s="60" t="s">
        <v>1559</v>
      </c>
      <c r="C1543" s="60" t="s">
        <v>1560</v>
      </c>
      <c r="D1543" s="60">
        <v>5520266060</v>
      </c>
      <c r="E1543" s="60">
        <v>354934</v>
      </c>
      <c r="F1543" s="79">
        <v>450</v>
      </c>
      <c r="G1543" s="69">
        <v>46123</v>
      </c>
    </row>
    <row r="1544" spans="1:11" hidden="1" x14ac:dyDescent="0.3">
      <c r="A1544" s="44" t="s">
        <v>11</v>
      </c>
      <c r="B1544" s="44" t="s">
        <v>1561</v>
      </c>
      <c r="C1544" s="44" t="s">
        <v>90</v>
      </c>
      <c r="D1544" s="44">
        <v>5537848288</v>
      </c>
      <c r="E1544" s="44">
        <v>190271</v>
      </c>
      <c r="F1544" s="87">
        <v>6595</v>
      </c>
      <c r="G1544" s="46">
        <v>46123</v>
      </c>
    </row>
    <row r="1545" spans="1:11" s="42" customFormat="1" hidden="1" x14ac:dyDescent="0.3">
      <c r="A1545" s="44" t="s">
        <v>47</v>
      </c>
      <c r="B1545" s="44" t="s">
        <v>1558</v>
      </c>
      <c r="C1545" s="44" t="s">
        <v>43</v>
      </c>
      <c r="D1545" s="44">
        <v>5520830299</v>
      </c>
      <c r="E1545" s="44">
        <v>354517</v>
      </c>
      <c r="F1545" s="87">
        <v>5568</v>
      </c>
      <c r="G1545" s="46">
        <v>46125</v>
      </c>
    </row>
    <row r="1546" spans="1:11" hidden="1" x14ac:dyDescent="0.3">
      <c r="A1546" s="42" t="s">
        <v>47</v>
      </c>
      <c r="B1546" s="42" t="s">
        <v>1558</v>
      </c>
      <c r="C1546" s="42" t="s">
        <v>43</v>
      </c>
      <c r="D1546" s="42">
        <v>5520830299</v>
      </c>
      <c r="E1546" s="42">
        <v>302082</v>
      </c>
      <c r="F1546" s="86">
        <v>488</v>
      </c>
      <c r="G1546" s="43">
        <v>46125</v>
      </c>
    </row>
    <row r="1547" spans="1:11" s="42" customFormat="1" hidden="1" x14ac:dyDescent="0.3">
      <c r="A1547" s="42" t="s">
        <v>47</v>
      </c>
      <c r="B1547" s="42" t="s">
        <v>270</v>
      </c>
      <c r="C1547" s="42" t="s">
        <v>478</v>
      </c>
      <c r="D1547" s="42">
        <v>5527842592</v>
      </c>
      <c r="E1547" s="42">
        <v>34181</v>
      </c>
      <c r="F1547" s="86">
        <v>537</v>
      </c>
      <c r="G1547" s="43">
        <v>46125</v>
      </c>
    </row>
    <row r="1548" spans="1:11" hidden="1" x14ac:dyDescent="0.3">
      <c r="A1548" s="44" t="s">
        <v>47</v>
      </c>
      <c r="B1548" s="44" t="s">
        <v>270</v>
      </c>
      <c r="C1548" s="44" t="s">
        <v>478</v>
      </c>
      <c r="D1548" s="42">
        <v>5527842592</v>
      </c>
      <c r="E1548" s="44">
        <v>190515</v>
      </c>
      <c r="F1548" s="87">
        <v>9310</v>
      </c>
      <c r="G1548" s="46">
        <v>46125</v>
      </c>
    </row>
    <row r="1549" spans="1:11" s="42" customFormat="1" hidden="1" x14ac:dyDescent="0.3">
      <c r="A1549" s="44" t="s">
        <v>47</v>
      </c>
      <c r="B1549" s="44" t="s">
        <v>1574</v>
      </c>
      <c r="C1549" s="44" t="s">
        <v>43</v>
      </c>
      <c r="D1549" s="44">
        <v>5574209360</v>
      </c>
      <c r="E1549" s="44">
        <v>354904</v>
      </c>
      <c r="F1549" s="87">
        <v>2955</v>
      </c>
      <c r="G1549" s="46">
        <v>46125</v>
      </c>
      <c r="H1549" s="42" t="s">
        <v>1565</v>
      </c>
      <c r="I1549" s="42">
        <v>2</v>
      </c>
      <c r="J1549" s="42" t="s">
        <v>1566</v>
      </c>
      <c r="K1549" s="42">
        <v>2</v>
      </c>
    </row>
    <row r="1550" spans="1:11" hidden="1" x14ac:dyDescent="0.3">
      <c r="A1550" s="44" t="s">
        <v>10</v>
      </c>
      <c r="B1550" s="44" t="s">
        <v>1563</v>
      </c>
      <c r="C1550" s="44" t="s">
        <v>41</v>
      </c>
      <c r="D1550" s="44">
        <v>5527288634</v>
      </c>
      <c r="E1550" s="44">
        <v>190891</v>
      </c>
      <c r="F1550" s="87">
        <v>4440</v>
      </c>
      <c r="G1550" s="46">
        <v>46125</v>
      </c>
    </row>
    <row r="1551" spans="1:11" s="42" customFormat="1" hidden="1" x14ac:dyDescent="0.3">
      <c r="A1551" s="44" t="s">
        <v>10</v>
      </c>
      <c r="B1551" s="44" t="s">
        <v>1562</v>
      </c>
      <c r="C1551" s="44" t="s">
        <v>103</v>
      </c>
      <c r="D1551" s="44">
        <v>5532641178</v>
      </c>
      <c r="E1551" s="44">
        <v>189973</v>
      </c>
      <c r="F1551" s="87">
        <v>9148.8799999999992</v>
      </c>
      <c r="G1551" s="46">
        <v>46125</v>
      </c>
    </row>
    <row r="1552" spans="1:11" hidden="1" x14ac:dyDescent="0.3">
      <c r="A1552" s="42" t="s">
        <v>10</v>
      </c>
      <c r="B1552" s="42" t="s">
        <v>1562</v>
      </c>
      <c r="C1552" s="42" t="s">
        <v>103</v>
      </c>
      <c r="D1552" s="42">
        <v>5532641178</v>
      </c>
      <c r="E1552" s="42">
        <v>354828</v>
      </c>
      <c r="F1552" s="86">
        <v>974</v>
      </c>
      <c r="G1552" s="43">
        <v>46125</v>
      </c>
    </row>
    <row r="1553" spans="1:7" s="42" customFormat="1" hidden="1" x14ac:dyDescent="0.3">
      <c r="A1553" s="42" t="s">
        <v>10</v>
      </c>
      <c r="B1553" s="42" t="s">
        <v>1564</v>
      </c>
      <c r="C1553" s="42" t="s">
        <v>6</v>
      </c>
      <c r="D1553" s="42">
        <v>5549643362</v>
      </c>
      <c r="E1553" s="42">
        <v>354989</v>
      </c>
      <c r="F1553" s="86">
        <v>2740</v>
      </c>
      <c r="G1553" s="43">
        <v>46125</v>
      </c>
    </row>
    <row r="1554" spans="1:7" hidden="1" x14ac:dyDescent="0.3">
      <c r="A1554" s="42" t="s">
        <v>10</v>
      </c>
      <c r="B1554" s="42" t="s">
        <v>888</v>
      </c>
      <c r="C1554" s="42" t="str">
        <f>IFERROR(VLOOKUP(B1554,Base2026!A:C,2,FALSE),"")</f>
        <v>LOS BORDOS</v>
      </c>
      <c r="D1554" s="42">
        <v>5579121214</v>
      </c>
      <c r="E1554" s="42">
        <v>301517</v>
      </c>
      <c r="F1554" s="86">
        <v>7054.8</v>
      </c>
      <c r="G1554" s="43">
        <v>46125</v>
      </c>
    </row>
    <row r="1555" spans="1:7" s="42" customFormat="1" hidden="1" x14ac:dyDescent="0.3">
      <c r="A1555" s="44" t="s">
        <v>10</v>
      </c>
      <c r="B1555" s="44" t="s">
        <v>1575</v>
      </c>
      <c r="C1555" s="44" t="s">
        <v>6</v>
      </c>
      <c r="D1555" s="44">
        <v>6681041227</v>
      </c>
      <c r="E1555" s="44">
        <v>301644</v>
      </c>
      <c r="F1555" s="87">
        <v>4875.4799999999996</v>
      </c>
      <c r="G1555" s="46">
        <v>46125</v>
      </c>
    </row>
    <row r="1556" spans="1:7" hidden="1" x14ac:dyDescent="0.3">
      <c r="A1556" s="44" t="s">
        <v>17</v>
      </c>
      <c r="B1556" s="44" t="s">
        <v>1567</v>
      </c>
      <c r="C1556" s="44" t="s">
        <v>204</v>
      </c>
      <c r="D1556" s="44">
        <v>5510175866</v>
      </c>
      <c r="E1556" s="44">
        <v>354317</v>
      </c>
      <c r="F1556" s="87">
        <v>12479</v>
      </c>
      <c r="G1556" s="46">
        <v>46125</v>
      </c>
    </row>
    <row r="1557" spans="1:7" s="42" customFormat="1" hidden="1" x14ac:dyDescent="0.3">
      <c r="A1557" s="42" t="s">
        <v>17</v>
      </c>
      <c r="B1557" s="42" t="s">
        <v>1569</v>
      </c>
      <c r="C1557" s="42" t="s">
        <v>287</v>
      </c>
      <c r="D1557" s="42">
        <f>IFERROR(VLOOKUP(C1557,Base2026!B:D,2,FALSE),"")</f>
        <v>5517957453</v>
      </c>
      <c r="E1557" s="42">
        <v>190557</v>
      </c>
      <c r="F1557" s="86">
        <v>795</v>
      </c>
      <c r="G1557" s="43">
        <v>46125</v>
      </c>
    </row>
    <row r="1558" spans="1:7" hidden="1" x14ac:dyDescent="0.3">
      <c r="A1558" s="44" t="s">
        <v>17</v>
      </c>
      <c r="B1558" s="44" t="s">
        <v>1569</v>
      </c>
      <c r="C1558" s="44" t="s">
        <v>287</v>
      </c>
      <c r="D1558" s="42">
        <f>IFERROR(VLOOKUP(C1558,Base2026!B:D,2,FALSE),"")</f>
        <v>5517957453</v>
      </c>
      <c r="E1558" s="44">
        <v>190551</v>
      </c>
      <c r="F1558" s="87">
        <v>1496</v>
      </c>
      <c r="G1558" s="46">
        <v>46125</v>
      </c>
    </row>
    <row r="1559" spans="1:7" s="42" customFormat="1" hidden="1" x14ac:dyDescent="0.3">
      <c r="A1559" s="42" t="s">
        <v>17</v>
      </c>
      <c r="B1559" s="42" t="s">
        <v>1576</v>
      </c>
      <c r="C1559" s="42" t="s">
        <v>580</v>
      </c>
      <c r="D1559" s="42">
        <v>5523995996</v>
      </c>
      <c r="E1559" s="42">
        <v>190570</v>
      </c>
      <c r="F1559" s="86">
        <v>7795.04</v>
      </c>
      <c r="G1559" s="43">
        <v>46125</v>
      </c>
    </row>
    <row r="1560" spans="1:7" hidden="1" x14ac:dyDescent="0.3">
      <c r="A1560" s="42" t="s">
        <v>17</v>
      </c>
      <c r="B1560" s="42" t="s">
        <v>1303</v>
      </c>
      <c r="C1560" s="42" t="s">
        <v>1568</v>
      </c>
      <c r="D1560" s="42">
        <v>5554572412</v>
      </c>
      <c r="E1560" s="42">
        <v>301649</v>
      </c>
      <c r="F1560" s="86">
        <v>2452.5500000000002</v>
      </c>
      <c r="G1560" s="43">
        <v>46125</v>
      </c>
    </row>
    <row r="1561" spans="1:7" s="42" customFormat="1" hidden="1" x14ac:dyDescent="0.3">
      <c r="A1561" s="44" t="s">
        <v>17</v>
      </c>
      <c r="B1561" s="44" t="s">
        <v>1569</v>
      </c>
      <c r="C1561" s="44" t="s">
        <v>287</v>
      </c>
      <c r="D1561" s="44">
        <v>5576136375</v>
      </c>
      <c r="E1561" s="44">
        <v>190550</v>
      </c>
      <c r="F1561" s="87">
        <v>5513</v>
      </c>
      <c r="G1561" s="46">
        <v>46125</v>
      </c>
    </row>
    <row r="1562" spans="1:7" hidden="1" x14ac:dyDescent="0.3">
      <c r="A1562" s="42" t="s">
        <v>17</v>
      </c>
      <c r="B1562" s="42" t="s">
        <v>1478</v>
      </c>
      <c r="C1562" s="42" t="s">
        <v>1074</v>
      </c>
      <c r="D1562" s="42">
        <v>5578808418</v>
      </c>
      <c r="E1562" s="42">
        <v>301478</v>
      </c>
      <c r="F1562" s="86">
        <v>5185.08</v>
      </c>
      <c r="G1562" s="43">
        <v>46125</v>
      </c>
    </row>
    <row r="1563" spans="1:7" s="42" customFormat="1" hidden="1" x14ac:dyDescent="0.3">
      <c r="A1563" s="42" t="s">
        <v>17</v>
      </c>
      <c r="B1563" s="42" t="s">
        <v>1573</v>
      </c>
      <c r="C1563" s="42" t="s">
        <v>1510</v>
      </c>
      <c r="D1563" s="42">
        <v>5648815048</v>
      </c>
      <c r="E1563" s="42">
        <v>301682</v>
      </c>
      <c r="F1563" s="86">
        <v>4333.72</v>
      </c>
      <c r="G1563" s="43">
        <v>46125</v>
      </c>
    </row>
    <row r="1564" spans="1:7" hidden="1" x14ac:dyDescent="0.3">
      <c r="A1564" s="44" t="s">
        <v>17</v>
      </c>
      <c r="B1564" s="44" t="s">
        <v>1573</v>
      </c>
      <c r="C1564" s="44" t="s">
        <v>1510</v>
      </c>
      <c r="D1564" s="42">
        <v>5648815048</v>
      </c>
      <c r="E1564" s="44">
        <v>301684</v>
      </c>
      <c r="F1564" s="87">
        <v>185</v>
      </c>
      <c r="G1564" s="46">
        <v>46125</v>
      </c>
    </row>
    <row r="1565" spans="1:7" s="42" customFormat="1" hidden="1" x14ac:dyDescent="0.3">
      <c r="A1565" s="42" t="s">
        <v>11</v>
      </c>
      <c r="B1565" s="42" t="s">
        <v>1572</v>
      </c>
      <c r="C1565" s="42" t="s">
        <v>84</v>
      </c>
      <c r="D1565" s="42">
        <v>5527828499</v>
      </c>
      <c r="E1565" s="42">
        <v>301708</v>
      </c>
      <c r="F1565" s="86">
        <v>2352.6</v>
      </c>
      <c r="G1565" s="43">
        <v>46125</v>
      </c>
    </row>
    <row r="1566" spans="1:7" hidden="1" x14ac:dyDescent="0.3">
      <c r="A1566" s="42" t="s">
        <v>11</v>
      </c>
      <c r="B1566" s="42" t="s">
        <v>1571</v>
      </c>
      <c r="C1566" s="42" t="s">
        <v>648</v>
      </c>
      <c r="D1566" s="42">
        <v>5545118247</v>
      </c>
      <c r="E1566" s="42">
        <v>34189</v>
      </c>
      <c r="F1566" s="86">
        <v>450</v>
      </c>
      <c r="G1566" s="43">
        <v>46125</v>
      </c>
    </row>
    <row r="1567" spans="1:7" s="42" customFormat="1" hidden="1" x14ac:dyDescent="0.3">
      <c r="A1567" s="44" t="s">
        <v>11</v>
      </c>
      <c r="B1567" s="44" t="s">
        <v>1571</v>
      </c>
      <c r="C1567" s="44" t="s">
        <v>648</v>
      </c>
      <c r="D1567" s="42">
        <v>5545118247</v>
      </c>
      <c r="E1567" s="44">
        <v>190559</v>
      </c>
      <c r="F1567" s="87">
        <v>3260</v>
      </c>
      <c r="G1567" s="46">
        <v>46125</v>
      </c>
    </row>
    <row r="1568" spans="1:7" hidden="1" x14ac:dyDescent="0.3">
      <c r="A1568" s="42" t="s">
        <v>11</v>
      </c>
      <c r="B1568" s="42" t="s">
        <v>1570</v>
      </c>
      <c r="C1568" s="42" t="s">
        <v>138</v>
      </c>
      <c r="D1568" s="42">
        <v>5555055310</v>
      </c>
      <c r="E1568" s="42">
        <v>190077</v>
      </c>
      <c r="F1568" s="86">
        <v>4513.4799999999996</v>
      </c>
      <c r="G1568" s="43">
        <v>46125</v>
      </c>
    </row>
    <row r="1569" spans="1:15" s="42" customFormat="1" hidden="1" x14ac:dyDescent="0.3">
      <c r="A1569" s="44" t="s">
        <v>11</v>
      </c>
      <c r="B1569" s="44" t="s">
        <v>1570</v>
      </c>
      <c r="C1569" s="44" t="s">
        <v>138</v>
      </c>
      <c r="D1569" s="42">
        <v>5555055310</v>
      </c>
      <c r="E1569" s="44">
        <v>190080</v>
      </c>
      <c r="F1569" s="87">
        <v>400</v>
      </c>
      <c r="G1569" s="46">
        <v>46125</v>
      </c>
    </row>
    <row r="1570" spans="1:15" hidden="1" x14ac:dyDescent="0.3">
      <c r="A1570" s="42" t="s">
        <v>11</v>
      </c>
      <c r="B1570" s="42" t="s">
        <v>1349</v>
      </c>
      <c r="C1570" s="42" t="s">
        <v>84</v>
      </c>
      <c r="D1570" s="42">
        <v>5557902477</v>
      </c>
      <c r="E1570" s="42">
        <v>354953</v>
      </c>
      <c r="F1570" s="86">
        <v>1296</v>
      </c>
      <c r="G1570" s="43">
        <v>46125</v>
      </c>
    </row>
    <row r="1571" spans="1:15" s="42" customFormat="1" hidden="1" x14ac:dyDescent="0.3">
      <c r="A1571" s="44" t="s">
        <v>11</v>
      </c>
      <c r="B1571" s="44" t="s">
        <v>1349</v>
      </c>
      <c r="C1571" s="44" t="s">
        <v>84</v>
      </c>
      <c r="D1571" s="42">
        <v>5557902477</v>
      </c>
      <c r="E1571" s="44">
        <v>302146</v>
      </c>
      <c r="F1571" s="87">
        <v>2385</v>
      </c>
      <c r="G1571" s="46">
        <v>46125</v>
      </c>
    </row>
    <row r="1572" spans="1:15" hidden="1" x14ac:dyDescent="0.3">
      <c r="A1572" s="44" t="s">
        <v>10</v>
      </c>
      <c r="B1572" s="44" t="s">
        <v>1055</v>
      </c>
      <c r="C1572" s="44" t="str">
        <f>IFERROR(VLOOKUP(B1572,Base2026!A:C,2,FALSE),"")</f>
        <v>VALLE DE ARAGON</v>
      </c>
      <c r="D1572" s="44">
        <v>5543450209</v>
      </c>
      <c r="E1572" s="44">
        <v>301775</v>
      </c>
      <c r="F1572" s="87">
        <v>10575.2</v>
      </c>
      <c r="G1572" s="46">
        <v>46126</v>
      </c>
    </row>
    <row r="1573" spans="1:15" s="48" customFormat="1" hidden="1" x14ac:dyDescent="0.3">
      <c r="A1573" s="44" t="s">
        <v>10</v>
      </c>
      <c r="B1573" s="44" t="s">
        <v>607</v>
      </c>
      <c r="C1573" s="44" t="str">
        <f>IFERROR(VLOOKUP(B1573,Base2026!A:C,2,FALSE),"")</f>
        <v>SAN JUAN DE ARAGON</v>
      </c>
      <c r="D1573" s="44">
        <f>IFERROR(VLOOKUP(C1573,Base2026!B:D,2,FALSE),"")</f>
        <v>5570265288</v>
      </c>
      <c r="E1573" s="44">
        <v>190764</v>
      </c>
      <c r="F1573" s="87">
        <v>1019</v>
      </c>
      <c r="G1573" s="46">
        <v>46126</v>
      </c>
    </row>
    <row r="1574" spans="1:15" hidden="1" x14ac:dyDescent="0.3">
      <c r="A1574" s="48" t="s">
        <v>10</v>
      </c>
      <c r="B1574" s="48" t="s">
        <v>607</v>
      </c>
      <c r="C1574" s="48" t="str">
        <f>IFERROR(VLOOKUP(B1574,Base2026!A:C,2,FALSE),"")</f>
        <v>SAN JUAN DE ARAGON</v>
      </c>
      <c r="D1574" s="48">
        <f>IFERROR(VLOOKUP(C1574,Base2026!B:D,2,FALSE),"")</f>
        <v>5570265288</v>
      </c>
      <c r="E1574" s="48">
        <v>34220</v>
      </c>
      <c r="F1574" s="88">
        <v>122</v>
      </c>
      <c r="G1574" s="50">
        <v>46126</v>
      </c>
    </row>
    <row r="1575" spans="1:15" s="48" customFormat="1" hidden="1" x14ac:dyDescent="0.3">
      <c r="A1575" s="48" t="s">
        <v>10</v>
      </c>
      <c r="B1575" s="48" t="s">
        <v>22</v>
      </c>
      <c r="C1575" s="48" t="s">
        <v>23</v>
      </c>
      <c r="D1575" s="48">
        <v>5572124980</v>
      </c>
      <c r="E1575" s="48">
        <v>354451</v>
      </c>
      <c r="F1575" s="88">
        <v>15481</v>
      </c>
      <c r="G1575" s="50">
        <v>46126</v>
      </c>
    </row>
    <row r="1576" spans="1:15" hidden="1" x14ac:dyDescent="0.3">
      <c r="A1576" s="44" t="s">
        <v>10</v>
      </c>
      <c r="B1576" s="44" t="s">
        <v>22</v>
      </c>
      <c r="C1576" s="44" t="s">
        <v>23</v>
      </c>
      <c r="D1576" s="44">
        <v>5572124980</v>
      </c>
      <c r="E1576" s="44">
        <v>30273</v>
      </c>
      <c r="F1576" s="87">
        <v>3239</v>
      </c>
      <c r="G1576" s="46">
        <v>46126</v>
      </c>
    </row>
    <row r="1577" spans="1:15" s="48" customFormat="1" hidden="1" x14ac:dyDescent="0.3">
      <c r="A1577" s="48" t="s">
        <v>10</v>
      </c>
      <c r="B1577" s="48" t="s">
        <v>768</v>
      </c>
      <c r="C1577" s="48" t="str">
        <f>IFERROR(VLOOKUP(B1577,Base2026!A:C,2,FALSE),"")</f>
        <v xml:space="preserve">TULIPAN </v>
      </c>
      <c r="D1577" s="48">
        <f>IFERROR(VLOOKUP(C1577,Base2026!B:D,2,FALSE),"")</f>
        <v>6242171618</v>
      </c>
      <c r="E1577" s="48">
        <v>190978</v>
      </c>
      <c r="F1577" s="88">
        <v>610</v>
      </c>
      <c r="G1577" s="50">
        <v>46126</v>
      </c>
    </row>
    <row r="1578" spans="1:15" hidden="1" x14ac:dyDescent="0.3">
      <c r="A1578" s="48" t="s">
        <v>17</v>
      </c>
      <c r="B1578" s="48" t="s">
        <v>1434</v>
      </c>
      <c r="C1578" s="48" t="s">
        <v>16</v>
      </c>
      <c r="D1578" s="48">
        <f>IFERROR(VLOOKUP(C1578,Base2026!B:D,2,FALSE),"")</f>
        <v>5514614910</v>
      </c>
      <c r="E1578" s="48">
        <v>34166</v>
      </c>
      <c r="F1578" s="88">
        <v>2958</v>
      </c>
      <c r="G1578" s="50">
        <v>46126</v>
      </c>
      <c r="H1578" s="44" t="s">
        <v>1458</v>
      </c>
      <c r="I1578" s="44" t="s">
        <v>1582</v>
      </c>
      <c r="J1578" s="44">
        <v>6</v>
      </c>
      <c r="K1578" s="44" t="s">
        <v>1583</v>
      </c>
      <c r="L1578" s="44">
        <v>2</v>
      </c>
      <c r="M1578" s="44" t="s">
        <v>1584</v>
      </c>
      <c r="N1578" s="44" t="s">
        <v>1585</v>
      </c>
      <c r="O1578" s="44">
        <v>1</v>
      </c>
    </row>
    <row r="1579" spans="1:15" s="48" customFormat="1" hidden="1" x14ac:dyDescent="0.3">
      <c r="A1579" s="44" t="s">
        <v>17</v>
      </c>
      <c r="B1579" s="44" t="s">
        <v>1434</v>
      </c>
      <c r="C1579" s="44" t="s">
        <v>16</v>
      </c>
      <c r="D1579" s="44">
        <v>5518489946</v>
      </c>
      <c r="E1579" s="44">
        <v>190403</v>
      </c>
      <c r="F1579" s="87">
        <v>14971.99</v>
      </c>
      <c r="G1579" s="46">
        <v>46126</v>
      </c>
    </row>
    <row r="1580" spans="1:15" hidden="1" x14ac:dyDescent="0.3">
      <c r="A1580" s="48" t="s">
        <v>17</v>
      </c>
      <c r="B1580" s="48" t="s">
        <v>1591</v>
      </c>
      <c r="C1580" s="48" t="s">
        <v>356</v>
      </c>
      <c r="D1580" s="48">
        <v>5532353859</v>
      </c>
      <c r="E1580" s="48">
        <v>354916</v>
      </c>
      <c r="F1580" s="88">
        <v>1925.04</v>
      </c>
      <c r="G1580" s="50">
        <v>46126</v>
      </c>
    </row>
    <row r="1581" spans="1:15" s="48" customFormat="1" hidden="1" x14ac:dyDescent="0.3">
      <c r="A1581" s="44" t="s">
        <v>17</v>
      </c>
      <c r="B1581" s="44" t="s">
        <v>1494</v>
      </c>
      <c r="C1581" s="44" t="s">
        <v>84</v>
      </c>
      <c r="D1581" s="44">
        <v>5533237564</v>
      </c>
      <c r="E1581" s="44">
        <v>301664</v>
      </c>
      <c r="F1581" s="87">
        <v>176.32</v>
      </c>
      <c r="G1581" s="46">
        <v>46126</v>
      </c>
    </row>
    <row r="1582" spans="1:15" hidden="1" x14ac:dyDescent="0.3">
      <c r="A1582" s="48" t="s">
        <v>17</v>
      </c>
      <c r="B1582" s="48" t="s">
        <v>1494</v>
      </c>
      <c r="C1582" s="48" t="s">
        <v>84</v>
      </c>
      <c r="D1582" s="48">
        <f>IFERROR(VLOOKUP(C1582,Base2026!B:D,2,FALSE),"")</f>
        <v>5540255976</v>
      </c>
      <c r="E1582" s="48">
        <v>301420</v>
      </c>
      <c r="F1582" s="88">
        <v>10100.36</v>
      </c>
      <c r="G1582" s="50">
        <v>46126</v>
      </c>
    </row>
    <row r="1583" spans="1:15" s="48" customFormat="1" hidden="1" x14ac:dyDescent="0.3">
      <c r="A1583" s="48" t="s">
        <v>17</v>
      </c>
      <c r="B1583" s="48" t="s">
        <v>1579</v>
      </c>
      <c r="C1583" s="48" t="s">
        <v>1580</v>
      </c>
      <c r="D1583" s="48">
        <v>5550311322</v>
      </c>
      <c r="E1583" s="48">
        <v>355128</v>
      </c>
      <c r="F1583" s="88">
        <v>595</v>
      </c>
      <c r="G1583" s="50">
        <v>46126</v>
      </c>
    </row>
    <row r="1584" spans="1:15" hidden="1" x14ac:dyDescent="0.3">
      <c r="A1584" s="44" t="s">
        <v>17</v>
      </c>
      <c r="B1584" s="44" t="s">
        <v>1590</v>
      </c>
      <c r="C1584" s="44" t="s">
        <v>285</v>
      </c>
      <c r="D1584" s="44">
        <v>5557880301</v>
      </c>
      <c r="E1584" s="44">
        <v>301760</v>
      </c>
      <c r="F1584" s="87">
        <v>1750</v>
      </c>
      <c r="G1584" s="46">
        <v>46126</v>
      </c>
    </row>
    <row r="1585" spans="1:10" s="48" customFormat="1" hidden="1" x14ac:dyDescent="0.3">
      <c r="A1585" s="48" t="s">
        <v>17</v>
      </c>
      <c r="B1585" s="48" t="s">
        <v>1590</v>
      </c>
      <c r="C1585" s="48" t="s">
        <v>285</v>
      </c>
      <c r="D1585" s="48">
        <v>5557880301</v>
      </c>
      <c r="E1585" s="48">
        <v>301761</v>
      </c>
      <c r="F1585" s="88">
        <v>844.98</v>
      </c>
      <c r="G1585" s="50">
        <v>46126</v>
      </c>
      <c r="H1585" s="48" t="s">
        <v>1458</v>
      </c>
      <c r="I1585" s="48" t="s">
        <v>1589</v>
      </c>
      <c r="J1585" s="48">
        <v>27</v>
      </c>
    </row>
    <row r="1586" spans="1:10" hidden="1" x14ac:dyDescent="0.3">
      <c r="A1586" s="44" t="s">
        <v>17</v>
      </c>
      <c r="B1586" s="44" t="s">
        <v>1590</v>
      </c>
      <c r="C1586" s="44" t="s">
        <v>285</v>
      </c>
      <c r="D1586" s="44">
        <v>5557880301</v>
      </c>
      <c r="E1586" s="44">
        <v>301762</v>
      </c>
      <c r="F1586" s="87">
        <v>1882</v>
      </c>
      <c r="G1586" s="46">
        <v>46126</v>
      </c>
    </row>
    <row r="1587" spans="1:10" s="48" customFormat="1" hidden="1" x14ac:dyDescent="0.3">
      <c r="A1587" s="44" t="s">
        <v>17</v>
      </c>
      <c r="B1587" s="44" t="s">
        <v>1577</v>
      </c>
      <c r="C1587" s="44" t="s">
        <v>1578</v>
      </c>
      <c r="D1587" s="44">
        <v>5589089470</v>
      </c>
      <c r="E1587" s="44">
        <v>302174</v>
      </c>
      <c r="F1587" s="87">
        <v>6264</v>
      </c>
      <c r="G1587" s="46">
        <v>46126</v>
      </c>
    </row>
    <row r="1588" spans="1:10" hidden="1" x14ac:dyDescent="0.3">
      <c r="A1588" s="48" t="s">
        <v>11</v>
      </c>
      <c r="B1588" s="48" t="s">
        <v>1586</v>
      </c>
      <c r="C1588" s="48" t="s">
        <v>30</v>
      </c>
      <c r="D1588" s="48">
        <f>IFERROR(VLOOKUP(C1588,Base2026!B:D,2,FALSE),"")</f>
        <v>5545758293</v>
      </c>
      <c r="E1588" s="48">
        <v>34211</v>
      </c>
      <c r="F1588" s="88">
        <v>490</v>
      </c>
      <c r="G1588" s="50">
        <v>46126</v>
      </c>
    </row>
    <row r="1589" spans="1:10" s="48" customFormat="1" hidden="1" x14ac:dyDescent="0.3">
      <c r="A1589" s="48" t="s">
        <v>11</v>
      </c>
      <c r="B1589" s="48" t="s">
        <v>1588</v>
      </c>
      <c r="C1589" s="48" t="s">
        <v>237</v>
      </c>
      <c r="D1589" s="48">
        <v>5573395404</v>
      </c>
      <c r="E1589" s="48">
        <v>302153</v>
      </c>
      <c r="F1589" s="88">
        <v>34425</v>
      </c>
      <c r="G1589" s="50">
        <v>46126</v>
      </c>
    </row>
    <row r="1590" spans="1:10" hidden="1" x14ac:dyDescent="0.3">
      <c r="A1590" s="44" t="s">
        <v>11</v>
      </c>
      <c r="B1590" s="44" t="s">
        <v>1581</v>
      </c>
      <c r="C1590" s="44" t="s">
        <v>356</v>
      </c>
      <c r="D1590" s="44">
        <v>5577549766</v>
      </c>
      <c r="E1590" s="44">
        <v>355159</v>
      </c>
      <c r="F1590" s="87">
        <v>275</v>
      </c>
      <c r="G1590" s="46">
        <v>46126</v>
      </c>
    </row>
    <row r="1591" spans="1:10" s="48" customFormat="1" hidden="1" x14ac:dyDescent="0.3">
      <c r="A1591" s="44" t="s">
        <v>11</v>
      </c>
      <c r="B1591" s="44" t="s">
        <v>1586</v>
      </c>
      <c r="C1591" s="44" t="s">
        <v>30</v>
      </c>
      <c r="D1591" s="44">
        <v>5585609939</v>
      </c>
      <c r="E1591" s="44">
        <v>190713</v>
      </c>
      <c r="F1591" s="87">
        <v>2801</v>
      </c>
      <c r="G1591" s="46">
        <v>46126</v>
      </c>
    </row>
    <row r="1592" spans="1:10" hidden="1" x14ac:dyDescent="0.3">
      <c r="A1592" s="48" t="s">
        <v>11</v>
      </c>
      <c r="B1592" s="48" t="s">
        <v>233</v>
      </c>
      <c r="C1592" s="48" t="s">
        <v>103</v>
      </c>
      <c r="D1592" s="48">
        <v>5586772887</v>
      </c>
      <c r="E1592" s="48">
        <v>190234</v>
      </c>
      <c r="F1592" s="88">
        <v>11628</v>
      </c>
      <c r="G1592" s="50">
        <v>46126</v>
      </c>
    </row>
    <row r="1593" spans="1:10" s="48" customFormat="1" hidden="1" x14ac:dyDescent="0.3">
      <c r="A1593" s="44" t="s">
        <v>11</v>
      </c>
      <c r="B1593" s="44" t="s">
        <v>233</v>
      </c>
      <c r="C1593" s="44" t="s">
        <v>103</v>
      </c>
      <c r="D1593" s="44">
        <v>5586772887</v>
      </c>
      <c r="E1593" s="44">
        <v>34138</v>
      </c>
      <c r="F1593" s="87">
        <v>4972</v>
      </c>
      <c r="G1593" s="46">
        <v>46126</v>
      </c>
    </row>
    <row r="1594" spans="1:10" hidden="1" x14ac:dyDescent="0.3">
      <c r="A1594" s="48" t="s">
        <v>11</v>
      </c>
      <c r="B1594" s="48" t="s">
        <v>1581</v>
      </c>
      <c r="C1594" s="48" t="s">
        <v>356</v>
      </c>
      <c r="D1594" s="48">
        <f>IFERROR(VLOOKUP(C1594,Base2026!B:D,2,FALSE),"")</f>
        <v>5591940032</v>
      </c>
      <c r="E1594" s="48">
        <v>355158</v>
      </c>
      <c r="F1594" s="88">
        <v>7374</v>
      </c>
      <c r="G1594" s="50">
        <v>46126</v>
      </c>
    </row>
    <row r="1595" spans="1:10" s="48" customFormat="1" hidden="1" x14ac:dyDescent="0.3">
      <c r="A1595" s="44" t="s">
        <v>11</v>
      </c>
      <c r="B1595" s="44" t="s">
        <v>1587</v>
      </c>
      <c r="C1595" s="44" t="s">
        <v>123</v>
      </c>
      <c r="D1595" s="44">
        <v>5591992615</v>
      </c>
      <c r="E1595" s="44">
        <v>191247</v>
      </c>
      <c r="F1595" s="87">
        <v>1833.6</v>
      </c>
      <c r="G1595" s="46">
        <v>46126</v>
      </c>
    </row>
    <row r="1596" spans="1:10" hidden="1" x14ac:dyDescent="0.3">
      <c r="A1596" s="44" t="s">
        <v>47</v>
      </c>
      <c r="B1596" s="44" t="s">
        <v>925</v>
      </c>
      <c r="C1596" s="44" t="str">
        <f>IFERROR(VLOOKUP(B1596,Base2026!A:C,2,FALSE),"")</f>
        <v>LAZARO CARDENAS</v>
      </c>
      <c r="D1596" s="44">
        <v>5515383507</v>
      </c>
      <c r="E1596" s="44">
        <v>190760</v>
      </c>
      <c r="F1596" s="87">
        <v>264</v>
      </c>
      <c r="G1596" s="46">
        <v>46127</v>
      </c>
    </row>
    <row r="1597" spans="1:10" s="51" customFormat="1" hidden="1" x14ac:dyDescent="0.3">
      <c r="A1597" s="51" t="s">
        <v>47</v>
      </c>
      <c r="B1597" s="51" t="s">
        <v>925</v>
      </c>
      <c r="C1597" s="51" t="str">
        <f>IFERROR(VLOOKUP(B1597,Base2026!A:C,2,FALSE),"")</f>
        <v>LAZARO CARDENAS</v>
      </c>
      <c r="D1597" s="44">
        <v>5515383507</v>
      </c>
      <c r="E1597" s="51">
        <v>34218</v>
      </c>
      <c r="F1597" s="68">
        <v>3320</v>
      </c>
      <c r="G1597" s="52">
        <v>46127</v>
      </c>
    </row>
    <row r="1598" spans="1:10" hidden="1" x14ac:dyDescent="0.3">
      <c r="A1598" s="51" t="s">
        <v>47</v>
      </c>
      <c r="B1598" s="51" t="s">
        <v>1608</v>
      </c>
      <c r="C1598" s="51" t="s">
        <v>60</v>
      </c>
      <c r="D1598" s="51">
        <v>5558297284</v>
      </c>
      <c r="E1598" s="51">
        <v>355214</v>
      </c>
      <c r="F1598" s="68">
        <v>595</v>
      </c>
      <c r="G1598" s="52">
        <v>46127</v>
      </c>
    </row>
    <row r="1599" spans="1:10" s="51" customFormat="1" hidden="1" x14ac:dyDescent="0.3">
      <c r="A1599" s="44" t="s">
        <v>47</v>
      </c>
      <c r="B1599" s="44" t="s">
        <v>1544</v>
      </c>
      <c r="C1599" s="44" t="s">
        <v>806</v>
      </c>
      <c r="D1599" s="44">
        <v>5577936861</v>
      </c>
      <c r="E1599" s="44">
        <v>191405</v>
      </c>
      <c r="F1599" s="87">
        <v>370</v>
      </c>
      <c r="G1599" s="46">
        <v>46127</v>
      </c>
    </row>
    <row r="1600" spans="1:10" hidden="1" x14ac:dyDescent="0.3">
      <c r="A1600" s="51" t="s">
        <v>47</v>
      </c>
      <c r="B1600" s="51" t="s">
        <v>1544</v>
      </c>
      <c r="C1600" s="51" t="s">
        <v>806</v>
      </c>
      <c r="D1600" s="44">
        <v>5577936861</v>
      </c>
      <c r="E1600" s="51">
        <v>191406</v>
      </c>
      <c r="F1600" s="68">
        <v>1177</v>
      </c>
      <c r="G1600" s="52">
        <v>46127</v>
      </c>
    </row>
    <row r="1601" spans="1:21" s="51" customFormat="1" hidden="1" x14ac:dyDescent="0.3">
      <c r="A1601" s="44" t="s">
        <v>47</v>
      </c>
      <c r="B1601" s="44" t="s">
        <v>1075</v>
      </c>
      <c r="C1601" s="44" t="s">
        <v>46</v>
      </c>
      <c r="D1601" s="44">
        <v>5577936861</v>
      </c>
      <c r="E1601" s="44">
        <v>355261</v>
      </c>
      <c r="F1601" s="87">
        <v>595</v>
      </c>
      <c r="G1601" s="46">
        <v>46127</v>
      </c>
    </row>
    <row r="1602" spans="1:21" hidden="1" x14ac:dyDescent="0.3">
      <c r="A1602" s="51" t="s">
        <v>10</v>
      </c>
      <c r="B1602" s="51" t="s">
        <v>846</v>
      </c>
      <c r="C1602" s="51" t="str">
        <f>IFERROR(VLOOKUP(B1602,Base2026!A:C,2,FALSE),"")</f>
        <v xml:space="preserve">TOLOTZIN </v>
      </c>
      <c r="D1602" s="51">
        <v>5527842592</v>
      </c>
      <c r="E1602" s="51">
        <v>190855</v>
      </c>
      <c r="F1602" s="68">
        <v>2334</v>
      </c>
      <c r="G1602" s="52">
        <v>46127</v>
      </c>
      <c r="H1602" s="44" t="s">
        <v>1458</v>
      </c>
      <c r="I1602" s="44" t="s">
        <v>1595</v>
      </c>
      <c r="J1602" s="44">
        <v>4</v>
      </c>
    </row>
    <row r="1603" spans="1:21" s="51" customFormat="1" hidden="1" x14ac:dyDescent="0.3">
      <c r="A1603" s="44" t="s">
        <v>10</v>
      </c>
      <c r="B1603" s="44" t="s">
        <v>1596</v>
      </c>
      <c r="C1603" s="44" t="s">
        <v>43</v>
      </c>
      <c r="D1603" s="44">
        <f>IFERROR(VLOOKUP(C1603,Base2026!B:D,2,FALSE),"")</f>
        <v>5531646109</v>
      </c>
      <c r="E1603" s="44">
        <v>354692</v>
      </c>
      <c r="F1603" s="87">
        <v>3463.44</v>
      </c>
      <c r="G1603" s="46">
        <v>46127</v>
      </c>
    </row>
    <row r="1604" spans="1:21" hidden="1" x14ac:dyDescent="0.3">
      <c r="A1604" s="51" t="s">
        <v>10</v>
      </c>
      <c r="B1604" s="51" t="s">
        <v>1596</v>
      </c>
      <c r="C1604" s="51" t="s">
        <v>43</v>
      </c>
      <c r="D1604" s="51">
        <f>IFERROR(VLOOKUP(C1604,Base2026!B:D,2,FALSE),"")</f>
        <v>5531646109</v>
      </c>
      <c r="E1604" s="51">
        <v>354690</v>
      </c>
      <c r="F1604" s="68">
        <v>6897.68</v>
      </c>
      <c r="G1604" s="52">
        <v>46127</v>
      </c>
    </row>
    <row r="1605" spans="1:21" s="51" customFormat="1" hidden="1" x14ac:dyDescent="0.3">
      <c r="A1605" s="44" t="s">
        <v>10</v>
      </c>
      <c r="B1605" s="44" t="s">
        <v>398</v>
      </c>
      <c r="C1605" s="44" t="str">
        <f>IFERROR(VLOOKUP(B1605,Base2026!A:C,2,FALSE),"")</f>
        <v>FRANCISCO VILLA</v>
      </c>
      <c r="D1605" s="44">
        <f>IFERROR(VLOOKUP(C1605,Base2026!B:D,2,FALSE),"")</f>
        <v>5535173661</v>
      </c>
      <c r="E1605" s="44">
        <v>190868</v>
      </c>
      <c r="F1605" s="87">
        <v>5278</v>
      </c>
      <c r="G1605" s="46">
        <v>46127</v>
      </c>
    </row>
    <row r="1606" spans="1:21" hidden="1" x14ac:dyDescent="0.3">
      <c r="A1606" s="51" t="s">
        <v>10</v>
      </c>
      <c r="B1606" s="51" t="s">
        <v>398</v>
      </c>
      <c r="C1606" s="51" t="str">
        <f>IFERROR(VLOOKUP(B1606,Base2026!A:C,2,FALSE),"")</f>
        <v>FRANCISCO VILLA</v>
      </c>
      <c r="D1606" s="51">
        <f>IFERROR(VLOOKUP(C1606,Base2026!B:D,2,FALSE),"")</f>
        <v>5535173661</v>
      </c>
      <c r="E1606" s="51">
        <v>34240</v>
      </c>
      <c r="F1606" s="68">
        <v>916</v>
      </c>
      <c r="G1606" s="52">
        <v>46127</v>
      </c>
    </row>
    <row r="1607" spans="1:21" s="51" customFormat="1" hidden="1" x14ac:dyDescent="0.3">
      <c r="A1607" s="51" t="s">
        <v>10</v>
      </c>
      <c r="B1607" s="51" t="s">
        <v>1596</v>
      </c>
      <c r="C1607" s="51" t="s">
        <v>43</v>
      </c>
      <c r="D1607" s="51">
        <v>5544416682</v>
      </c>
      <c r="E1607" s="51">
        <v>354691</v>
      </c>
      <c r="F1607" s="68">
        <v>1306.72</v>
      </c>
      <c r="G1607" s="52">
        <v>46127</v>
      </c>
    </row>
    <row r="1608" spans="1:21" hidden="1" x14ac:dyDescent="0.3">
      <c r="A1608" s="51" t="s">
        <v>10</v>
      </c>
      <c r="B1608" s="51" t="s">
        <v>1593</v>
      </c>
      <c r="C1608" s="51" t="s">
        <v>212</v>
      </c>
      <c r="D1608" s="51">
        <v>5551438366</v>
      </c>
      <c r="E1608" s="51">
        <v>355208</v>
      </c>
      <c r="F1608" s="68">
        <v>6500</v>
      </c>
      <c r="G1608" s="52">
        <v>46127</v>
      </c>
      <c r="H1608" s="44" t="s">
        <v>1458</v>
      </c>
      <c r="I1608" s="44" t="s">
        <v>1490</v>
      </c>
      <c r="J1608" s="44">
        <v>6</v>
      </c>
    </row>
    <row r="1609" spans="1:21" s="51" customFormat="1" hidden="1" x14ac:dyDescent="0.3">
      <c r="A1609" s="44" t="s">
        <v>10</v>
      </c>
      <c r="B1609" s="44" t="s">
        <v>1594</v>
      </c>
      <c r="C1609" s="44" t="s">
        <v>795</v>
      </c>
      <c r="D1609" s="44">
        <v>5568734619</v>
      </c>
      <c r="E1609" s="44">
        <v>355192</v>
      </c>
      <c r="F1609" s="87">
        <v>3420</v>
      </c>
      <c r="G1609" s="46">
        <v>46127</v>
      </c>
      <c r="H1609" s="51" t="s">
        <v>1458</v>
      </c>
      <c r="I1609" s="51" t="s">
        <v>1598</v>
      </c>
      <c r="J1609" s="51">
        <v>16</v>
      </c>
      <c r="K1609" s="51" t="s">
        <v>1599</v>
      </c>
      <c r="L1609" s="51">
        <v>10</v>
      </c>
    </row>
    <row r="1610" spans="1:21" hidden="1" x14ac:dyDescent="0.3">
      <c r="A1610" s="44" t="s">
        <v>10</v>
      </c>
      <c r="B1610" s="44" t="s">
        <v>1597</v>
      </c>
      <c r="C1610" s="44" t="s">
        <v>1592</v>
      </c>
      <c r="D1610" s="44">
        <v>5619388012</v>
      </c>
      <c r="E1610" s="44">
        <v>190918</v>
      </c>
      <c r="F1610" s="87">
        <v>1728</v>
      </c>
      <c r="G1610" s="46">
        <v>46127</v>
      </c>
    </row>
    <row r="1611" spans="1:21" s="51" customFormat="1" hidden="1" x14ac:dyDescent="0.3">
      <c r="A1611" s="51" t="s">
        <v>10</v>
      </c>
      <c r="B1611" s="51" t="s">
        <v>1597</v>
      </c>
      <c r="C1611" s="51" t="s">
        <v>1592</v>
      </c>
      <c r="D1611" s="51">
        <v>5619388012</v>
      </c>
      <c r="E1611" s="51">
        <v>34247</v>
      </c>
      <c r="F1611" s="68">
        <v>120</v>
      </c>
      <c r="G1611" s="52">
        <v>46127</v>
      </c>
    </row>
    <row r="1612" spans="1:21" hidden="1" x14ac:dyDescent="0.3">
      <c r="A1612" s="44" t="s">
        <v>10</v>
      </c>
      <c r="B1612" s="44" t="s">
        <v>1597</v>
      </c>
      <c r="C1612" s="44" t="s">
        <v>1592</v>
      </c>
      <c r="D1612" s="44">
        <v>5619388012</v>
      </c>
      <c r="E1612" s="44">
        <v>190917</v>
      </c>
      <c r="F1612" s="87">
        <v>693.75</v>
      </c>
      <c r="G1612" s="46">
        <v>46127</v>
      </c>
      <c r="H1612" s="44" t="s">
        <v>1458</v>
      </c>
      <c r="I1612" s="44" t="s">
        <v>1602</v>
      </c>
      <c r="J1612" s="44">
        <v>2</v>
      </c>
      <c r="K1612" s="44" t="s">
        <v>1467</v>
      </c>
      <c r="L1612" s="44">
        <v>5</v>
      </c>
      <c r="M1612" s="44" t="s">
        <v>1603</v>
      </c>
      <c r="N1612" s="44" t="s">
        <v>1604</v>
      </c>
      <c r="O1612" s="44">
        <v>2</v>
      </c>
      <c r="P1612" s="44" t="s">
        <v>1589</v>
      </c>
      <c r="Q1612" s="44">
        <v>14</v>
      </c>
      <c r="R1612" s="44" t="s">
        <v>1605</v>
      </c>
      <c r="S1612" s="44">
        <v>1</v>
      </c>
      <c r="T1612" s="44" t="s">
        <v>1606</v>
      </c>
      <c r="U1612" s="44">
        <v>1</v>
      </c>
    </row>
    <row r="1613" spans="1:21" s="51" customFormat="1" hidden="1" x14ac:dyDescent="0.3">
      <c r="A1613" s="44" t="s">
        <v>10</v>
      </c>
      <c r="B1613" s="44" t="s">
        <v>846</v>
      </c>
      <c r="C1613" s="44" t="str">
        <f>IFERROR(VLOOKUP(B1613,Base2026!A:C,2,FALSE),"")</f>
        <v xml:space="preserve">TOLOTZIN </v>
      </c>
      <c r="D1613" s="44">
        <f>IFERROR(VLOOKUP(C1613,Base2026!B:D,2,FALSE),"")</f>
        <v>5631001997</v>
      </c>
      <c r="E1613" s="44">
        <v>34238</v>
      </c>
      <c r="F1613" s="87">
        <v>171</v>
      </c>
      <c r="G1613" s="46">
        <v>46127</v>
      </c>
      <c r="H1613" s="51" t="s">
        <v>1458</v>
      </c>
      <c r="I1613" s="51" t="s">
        <v>1607</v>
      </c>
      <c r="J1613" s="51">
        <v>4</v>
      </c>
    </row>
    <row r="1614" spans="1:21" hidden="1" x14ac:dyDescent="0.3">
      <c r="A1614" s="44" t="s">
        <v>17</v>
      </c>
      <c r="B1614" s="44" t="s">
        <v>1340</v>
      </c>
      <c r="C1614" s="44" t="s">
        <v>113</v>
      </c>
      <c r="D1614" s="44">
        <v>5520407415</v>
      </c>
      <c r="E1614" s="44">
        <v>191397</v>
      </c>
      <c r="F1614" s="87">
        <v>3435</v>
      </c>
      <c r="G1614" s="46">
        <v>46127</v>
      </c>
    </row>
    <row r="1615" spans="1:21" s="51" customFormat="1" hidden="1" x14ac:dyDescent="0.3">
      <c r="A1615" s="44" t="s">
        <v>17</v>
      </c>
      <c r="B1615" s="44" t="s">
        <v>537</v>
      </c>
      <c r="C1615" s="44" t="str">
        <f>IFERROR(VLOOKUP(B1615,Base2026!A:C,2,FALSE),"")</f>
        <v>MARTIN CARRERA</v>
      </c>
      <c r="D1615" s="44">
        <f>IFERROR(VLOOKUP(C1615,Base2026!B:D,2,FALSE),"")</f>
        <v>5541813683</v>
      </c>
      <c r="E1615" s="44">
        <v>302110</v>
      </c>
      <c r="F1615" s="87">
        <v>1856</v>
      </c>
      <c r="G1615" s="46">
        <v>46127</v>
      </c>
    </row>
    <row r="1616" spans="1:21" hidden="1" x14ac:dyDescent="0.3">
      <c r="A1616" s="51" t="s">
        <v>17</v>
      </c>
      <c r="B1616" s="51" t="s">
        <v>537</v>
      </c>
      <c r="C1616" s="51" t="str">
        <f>IFERROR(VLOOKUP(B1616,Base2026!A:C,2,FALSE),"")</f>
        <v>MARTIN CARRERA</v>
      </c>
      <c r="D1616" s="51">
        <f>IFERROR(VLOOKUP(C1616,Base2026!B:D,2,FALSE),"")</f>
        <v>5541813683</v>
      </c>
      <c r="E1616" s="51">
        <v>354719</v>
      </c>
      <c r="F1616" s="68">
        <v>5007</v>
      </c>
      <c r="G1616" s="52">
        <v>46127</v>
      </c>
    </row>
    <row r="1617" spans="1:15" s="51" customFormat="1" hidden="1" x14ac:dyDescent="0.3">
      <c r="A1617" s="44" t="s">
        <v>17</v>
      </c>
      <c r="B1617" s="44" t="s">
        <v>537</v>
      </c>
      <c r="C1617" s="44" t="str">
        <f>IFERROR(VLOOKUP(B1617,Base2026!A:C,2,FALSE),"")</f>
        <v>MARTIN CARRERA</v>
      </c>
      <c r="D1617" s="51">
        <f>IFERROR(VLOOKUP(C1617,Base2026!B:D,2,FALSE),"")</f>
        <v>5541813683</v>
      </c>
      <c r="E1617" s="44">
        <v>190838</v>
      </c>
      <c r="F1617" s="87">
        <v>2742</v>
      </c>
      <c r="G1617" s="46">
        <v>46127</v>
      </c>
    </row>
    <row r="1618" spans="1:15" hidden="1" x14ac:dyDescent="0.3">
      <c r="A1618" s="51" t="s">
        <v>17</v>
      </c>
      <c r="B1618" s="51" t="s">
        <v>537</v>
      </c>
      <c r="C1618" s="51" t="str">
        <f>IFERROR(VLOOKUP(B1618,Base2026!A:C,2,FALSE),"")</f>
        <v>MARTIN CARRERA</v>
      </c>
      <c r="D1618" s="51">
        <f>IFERROR(VLOOKUP(C1618,Base2026!B:D,2,FALSE),"")</f>
        <v>5541813683</v>
      </c>
      <c r="E1618" s="51">
        <v>342233</v>
      </c>
      <c r="F1618" s="68">
        <v>432</v>
      </c>
      <c r="G1618" s="52">
        <v>46127</v>
      </c>
    </row>
    <row r="1619" spans="1:15" s="51" customFormat="1" hidden="1" x14ac:dyDescent="0.3">
      <c r="A1619" s="44" t="s">
        <v>17</v>
      </c>
      <c r="B1619" s="44" t="s">
        <v>1285</v>
      </c>
      <c r="C1619" s="44" t="s">
        <v>336</v>
      </c>
      <c r="D1619" s="44">
        <v>5547402145</v>
      </c>
      <c r="E1619" s="44">
        <v>302232</v>
      </c>
      <c r="F1619" s="87">
        <v>3406</v>
      </c>
      <c r="G1619" s="46">
        <v>46127</v>
      </c>
    </row>
    <row r="1620" spans="1:15" hidden="1" x14ac:dyDescent="0.3">
      <c r="A1620" s="51" t="s">
        <v>17</v>
      </c>
      <c r="B1620" s="51" t="s">
        <v>1285</v>
      </c>
      <c r="C1620" s="51" t="s">
        <v>336</v>
      </c>
      <c r="D1620" s="44">
        <v>5547402145</v>
      </c>
      <c r="E1620" s="51">
        <v>302233</v>
      </c>
      <c r="F1620" s="68">
        <v>1006</v>
      </c>
      <c r="G1620" s="52">
        <v>46127</v>
      </c>
      <c r="H1620" s="44" t="s">
        <v>1458</v>
      </c>
      <c r="I1620" s="44" t="s">
        <v>1609</v>
      </c>
      <c r="J1620" s="44">
        <v>2</v>
      </c>
      <c r="K1620" s="44" t="s">
        <v>1491</v>
      </c>
      <c r="L1620" s="44">
        <v>1</v>
      </c>
      <c r="M1620" s="44" t="s">
        <v>1610</v>
      </c>
    </row>
    <row r="1621" spans="1:15" s="51" customFormat="1" hidden="1" x14ac:dyDescent="0.3">
      <c r="A1621" s="51" t="s">
        <v>17</v>
      </c>
      <c r="B1621" s="51" t="s">
        <v>1611</v>
      </c>
      <c r="C1621" s="51" t="s">
        <v>113</v>
      </c>
      <c r="D1621" s="51">
        <v>5578767052</v>
      </c>
      <c r="E1621" s="51">
        <v>354964</v>
      </c>
      <c r="F1621" s="68">
        <v>2253.56</v>
      </c>
      <c r="G1621" s="52">
        <v>46127</v>
      </c>
    </row>
    <row r="1622" spans="1:15" hidden="1" x14ac:dyDescent="0.3">
      <c r="A1622" s="44" t="s">
        <v>17</v>
      </c>
      <c r="B1622" s="44" t="s">
        <v>1612</v>
      </c>
      <c r="C1622" s="44" t="s">
        <v>421</v>
      </c>
      <c r="D1622" s="44">
        <v>5591940032</v>
      </c>
      <c r="E1622" s="44">
        <v>301712</v>
      </c>
      <c r="F1622" s="87">
        <v>8249.32</v>
      </c>
      <c r="G1622" s="46">
        <v>46127</v>
      </c>
    </row>
    <row r="1623" spans="1:15" s="51" customFormat="1" hidden="1" x14ac:dyDescent="0.3">
      <c r="A1623" s="51" t="s">
        <v>11</v>
      </c>
      <c r="B1623" s="51" t="s">
        <v>1478</v>
      </c>
      <c r="C1623" s="51" t="s">
        <v>292</v>
      </c>
      <c r="D1623" s="51">
        <v>5517595405</v>
      </c>
      <c r="E1623" s="51">
        <v>302151</v>
      </c>
      <c r="F1623" s="68">
        <v>46419.99</v>
      </c>
      <c r="G1623" s="52">
        <v>46127</v>
      </c>
    </row>
    <row r="1624" spans="1:15" hidden="1" x14ac:dyDescent="0.3">
      <c r="A1624" s="44" t="s">
        <v>11</v>
      </c>
      <c r="B1624" s="44" t="s">
        <v>1600</v>
      </c>
      <c r="C1624" s="44" t="s">
        <v>1601</v>
      </c>
      <c r="D1624" s="44">
        <v>5526798693</v>
      </c>
      <c r="E1624" s="44">
        <v>302238</v>
      </c>
      <c r="F1624" s="87">
        <v>26431</v>
      </c>
      <c r="G1624" s="46">
        <v>46127</v>
      </c>
    </row>
    <row r="1625" spans="1:15" s="51" customFormat="1" hidden="1" x14ac:dyDescent="0.3">
      <c r="A1625" s="51" t="s">
        <v>11</v>
      </c>
      <c r="B1625" s="51" t="s">
        <v>1600</v>
      </c>
      <c r="C1625" s="51" t="s">
        <v>1601</v>
      </c>
      <c r="D1625" s="44">
        <v>5526798693</v>
      </c>
      <c r="E1625" s="51">
        <v>302243</v>
      </c>
      <c r="F1625" s="68">
        <v>2280</v>
      </c>
      <c r="G1625" s="52">
        <v>46127</v>
      </c>
    </row>
    <row r="1626" spans="1:15" hidden="1" x14ac:dyDescent="0.3">
      <c r="A1626" s="44" t="s">
        <v>11</v>
      </c>
      <c r="B1626" s="44" t="s">
        <v>1455</v>
      </c>
      <c r="C1626" s="44" t="s">
        <v>425</v>
      </c>
      <c r="D1626" s="44">
        <v>5564001479</v>
      </c>
      <c r="E1626" s="44">
        <v>191044</v>
      </c>
      <c r="F1626" s="87">
        <v>2298</v>
      </c>
      <c r="G1626" s="46">
        <v>46127</v>
      </c>
    </row>
    <row r="1627" spans="1:15" hidden="1" x14ac:dyDescent="0.3">
      <c r="A1627" s="51" t="s">
        <v>11</v>
      </c>
      <c r="B1627" s="51" t="s">
        <v>1455</v>
      </c>
      <c r="C1627" s="51" t="s">
        <v>425</v>
      </c>
      <c r="D1627" s="51">
        <v>5564001479</v>
      </c>
      <c r="E1627" s="51">
        <v>34269</v>
      </c>
      <c r="F1627" s="68">
        <v>836</v>
      </c>
      <c r="G1627" s="52">
        <v>46127</v>
      </c>
    </row>
    <row r="1628" spans="1:15" s="51" customFormat="1" hidden="1" x14ac:dyDescent="0.3">
      <c r="A1628" s="44" t="s">
        <v>11</v>
      </c>
      <c r="B1628" s="44" t="s">
        <v>685</v>
      </c>
      <c r="C1628" s="44" t="str">
        <f>IFERROR(VLOOKUP(B1628,Base2026!A:C,2,FALSE),"")</f>
        <v>PLAZAS DE ARAGON</v>
      </c>
      <c r="D1628" s="44">
        <v>5573743760</v>
      </c>
      <c r="E1628" s="44">
        <v>191317</v>
      </c>
      <c r="F1628" s="87">
        <v>1500</v>
      </c>
      <c r="G1628" s="46">
        <v>46127</v>
      </c>
      <c r="H1628" s="51" t="s">
        <v>1458</v>
      </c>
      <c r="I1628" s="51" t="s">
        <v>1614</v>
      </c>
      <c r="J1628" s="51">
        <v>1</v>
      </c>
      <c r="K1628" s="51" t="s">
        <v>1615</v>
      </c>
      <c r="L1628" s="51">
        <v>1</v>
      </c>
      <c r="M1628" s="51" t="s">
        <v>1616</v>
      </c>
      <c r="N1628" s="51" t="s">
        <v>1617</v>
      </c>
      <c r="O1628" s="51">
        <v>1</v>
      </c>
    </row>
    <row r="1629" spans="1:15" hidden="1" x14ac:dyDescent="0.3">
      <c r="A1629" s="44" t="s">
        <v>10</v>
      </c>
      <c r="B1629" s="44" t="s">
        <v>1629</v>
      </c>
      <c r="C1629" s="44" t="s">
        <v>816</v>
      </c>
      <c r="D1629" s="44">
        <v>5530310280</v>
      </c>
      <c r="E1629" s="44">
        <v>354814</v>
      </c>
      <c r="F1629" s="87">
        <v>7995.99</v>
      </c>
      <c r="G1629" s="46">
        <v>46128</v>
      </c>
      <c r="H1629" s="44" t="s">
        <v>1458</v>
      </c>
      <c r="I1629" s="44" t="s">
        <v>1619</v>
      </c>
      <c r="J1629" s="44">
        <v>10</v>
      </c>
    </row>
    <row r="1630" spans="1:15" s="60" customFormat="1" hidden="1" x14ac:dyDescent="0.3">
      <c r="A1630" s="60" t="s">
        <v>10</v>
      </c>
      <c r="B1630" s="60" t="s">
        <v>1629</v>
      </c>
      <c r="C1630" s="60" t="s">
        <v>1630</v>
      </c>
      <c r="D1630" s="60">
        <v>5530310280</v>
      </c>
      <c r="E1630" s="60">
        <v>302127</v>
      </c>
      <c r="F1630" s="79">
        <v>1606</v>
      </c>
      <c r="G1630" s="69">
        <v>46128</v>
      </c>
    </row>
    <row r="1631" spans="1:15" hidden="1" x14ac:dyDescent="0.3">
      <c r="A1631" s="60" t="s">
        <v>10</v>
      </c>
      <c r="B1631" s="60" t="s">
        <v>1627</v>
      </c>
      <c r="C1631" s="60" t="s">
        <v>28</v>
      </c>
      <c r="D1631" s="60">
        <v>5534516596</v>
      </c>
      <c r="E1631" s="60">
        <v>302285</v>
      </c>
      <c r="F1631" s="79">
        <v>7184</v>
      </c>
      <c r="G1631" s="69">
        <v>46128</v>
      </c>
    </row>
    <row r="1632" spans="1:15" s="60" customFormat="1" hidden="1" x14ac:dyDescent="0.3">
      <c r="A1632" s="44" t="s">
        <v>10</v>
      </c>
      <c r="B1632" s="44" t="s">
        <v>1624</v>
      </c>
      <c r="C1632" s="44" t="s">
        <v>41</v>
      </c>
      <c r="D1632" s="44">
        <v>5535078507</v>
      </c>
      <c r="E1632" s="44">
        <v>190921</v>
      </c>
      <c r="F1632" s="87">
        <v>8544</v>
      </c>
      <c r="G1632" s="46">
        <v>46128</v>
      </c>
    </row>
    <row r="1633" spans="1:13" hidden="1" x14ac:dyDescent="0.3">
      <c r="A1633" s="60" t="s">
        <v>10</v>
      </c>
      <c r="B1633" s="60" t="s">
        <v>1624</v>
      </c>
      <c r="C1633" s="60" t="s">
        <v>41</v>
      </c>
      <c r="D1633" s="60">
        <v>5535078507</v>
      </c>
      <c r="E1633" s="60">
        <v>34248</v>
      </c>
      <c r="F1633" s="79">
        <v>728</v>
      </c>
      <c r="G1633" s="69">
        <v>46128</v>
      </c>
    </row>
    <row r="1634" spans="1:13" s="60" customFormat="1" hidden="1" x14ac:dyDescent="0.3">
      <c r="A1634" s="44" t="s">
        <v>10</v>
      </c>
      <c r="B1634" s="44" t="s">
        <v>776</v>
      </c>
      <c r="C1634" s="44" t="str">
        <f>IFERROR(VLOOKUP(B1634,Base2026!A:C,2,FALSE),"")</f>
        <v>SANTA CLARA</v>
      </c>
      <c r="D1634" s="44">
        <v>5537672936</v>
      </c>
      <c r="E1634" s="44">
        <v>191030</v>
      </c>
      <c r="F1634" s="87">
        <v>2739.2</v>
      </c>
      <c r="G1634" s="46">
        <v>46128</v>
      </c>
    </row>
    <row r="1635" spans="1:13" hidden="1" x14ac:dyDescent="0.3">
      <c r="A1635" s="44" t="s">
        <v>10</v>
      </c>
      <c r="B1635" s="80" t="s">
        <v>1628</v>
      </c>
      <c r="C1635" s="44" t="s">
        <v>28</v>
      </c>
      <c r="D1635" s="44">
        <f>IFERROR(VLOOKUP(C1635,Base2026!B:D,2,FALSE),"")</f>
        <v>5565066303</v>
      </c>
      <c r="E1635" s="44">
        <v>354889</v>
      </c>
      <c r="F1635" s="87">
        <v>962</v>
      </c>
      <c r="G1635" s="46">
        <v>46128</v>
      </c>
      <c r="H1635" s="44" t="s">
        <v>1458</v>
      </c>
      <c r="I1635" s="44" t="s">
        <v>1614</v>
      </c>
      <c r="J1635" s="44">
        <v>1</v>
      </c>
      <c r="K1635" s="44" t="s">
        <v>1615</v>
      </c>
      <c r="L1635" s="44">
        <v>1</v>
      </c>
      <c r="M1635" s="44" t="s">
        <v>1617</v>
      </c>
    </row>
    <row r="1636" spans="1:13" s="60" customFormat="1" hidden="1" x14ac:dyDescent="0.3">
      <c r="A1636" s="60" t="s">
        <v>10</v>
      </c>
      <c r="B1636" s="60" t="s">
        <v>1628</v>
      </c>
      <c r="C1636" s="60" t="s">
        <v>28</v>
      </c>
      <c r="D1636" s="60">
        <f>IFERROR(VLOOKUP(C1636,Base2026!B:D,2,FALSE),"")</f>
        <v>5565066303</v>
      </c>
      <c r="E1636" s="60">
        <v>302137</v>
      </c>
      <c r="F1636" s="79">
        <v>276</v>
      </c>
      <c r="G1636" s="69">
        <v>46128</v>
      </c>
    </row>
    <row r="1637" spans="1:13" hidden="1" x14ac:dyDescent="0.3">
      <c r="A1637" s="44" t="s">
        <v>10</v>
      </c>
      <c r="B1637" s="44" t="s">
        <v>1623</v>
      </c>
      <c r="C1637" s="44" t="s">
        <v>41</v>
      </c>
      <c r="D1637" s="44">
        <v>5569331404</v>
      </c>
      <c r="E1637" s="44">
        <v>191522</v>
      </c>
      <c r="F1637" s="87">
        <v>801</v>
      </c>
      <c r="G1637" s="46">
        <v>46128</v>
      </c>
    </row>
    <row r="1638" spans="1:13" s="60" customFormat="1" hidden="1" x14ac:dyDescent="0.3">
      <c r="A1638" s="60" t="s">
        <v>10</v>
      </c>
      <c r="B1638" s="60" t="s">
        <v>1623</v>
      </c>
      <c r="C1638" s="60" t="s">
        <v>41</v>
      </c>
      <c r="D1638" s="60">
        <v>5569331404</v>
      </c>
      <c r="E1638" s="60">
        <v>191519</v>
      </c>
      <c r="F1638" s="79">
        <v>1584</v>
      </c>
      <c r="G1638" s="69">
        <v>46128</v>
      </c>
    </row>
    <row r="1639" spans="1:13" hidden="1" x14ac:dyDescent="0.3">
      <c r="A1639" s="44" t="s">
        <v>10</v>
      </c>
      <c r="B1639" s="44" t="s">
        <v>233</v>
      </c>
      <c r="C1639" s="44" t="s">
        <v>46</v>
      </c>
      <c r="D1639" s="44">
        <v>5586772887</v>
      </c>
      <c r="E1639" s="44">
        <v>354969</v>
      </c>
      <c r="F1639" s="87">
        <v>1439</v>
      </c>
      <c r="G1639" s="46">
        <v>46128</v>
      </c>
    </row>
    <row r="1640" spans="1:13" s="60" customFormat="1" hidden="1" x14ac:dyDescent="0.3">
      <c r="A1640" s="60" t="s">
        <v>10</v>
      </c>
      <c r="B1640" s="60" t="s">
        <v>233</v>
      </c>
      <c r="C1640" s="60" t="s">
        <v>46</v>
      </c>
      <c r="D1640" s="60">
        <v>5586772887</v>
      </c>
      <c r="E1640" s="60">
        <v>302147</v>
      </c>
      <c r="F1640" s="79">
        <v>398</v>
      </c>
      <c r="G1640" s="69">
        <v>46128</v>
      </c>
    </row>
    <row r="1641" spans="1:13" hidden="1" x14ac:dyDescent="0.3">
      <c r="A1641" s="60" t="s">
        <v>10</v>
      </c>
      <c r="B1641" s="60" t="s">
        <v>1622</v>
      </c>
      <c r="C1641" s="60" t="s">
        <v>60</v>
      </c>
      <c r="D1641" s="60">
        <f>IFERROR(VLOOKUP(C1641,Base2026!B:D,2,FALSE),"")</f>
        <v>5596903852</v>
      </c>
      <c r="E1641" s="60">
        <v>191487</v>
      </c>
      <c r="F1641" s="79">
        <v>1706</v>
      </c>
      <c r="G1641" s="69">
        <v>46128</v>
      </c>
    </row>
    <row r="1642" spans="1:13" s="60" customFormat="1" hidden="1" x14ac:dyDescent="0.3">
      <c r="A1642" s="60" t="s">
        <v>17</v>
      </c>
      <c r="B1642" s="60" t="s">
        <v>1070</v>
      </c>
      <c r="C1642" s="60" t="s">
        <v>1071</v>
      </c>
      <c r="D1642" s="60">
        <v>5517603054</v>
      </c>
      <c r="E1642" s="60">
        <v>354918</v>
      </c>
      <c r="F1642" s="79">
        <v>672.6</v>
      </c>
      <c r="G1642" s="69">
        <v>46128</v>
      </c>
    </row>
    <row r="1643" spans="1:13" hidden="1" x14ac:dyDescent="0.3">
      <c r="A1643" s="44" t="s">
        <v>17</v>
      </c>
      <c r="B1643" s="44" t="s">
        <v>1070</v>
      </c>
      <c r="C1643" s="44" t="s">
        <v>1071</v>
      </c>
      <c r="D1643" s="44">
        <v>5517603054</v>
      </c>
      <c r="E1643" s="44">
        <v>354917</v>
      </c>
      <c r="F1643" s="87">
        <v>2476</v>
      </c>
      <c r="G1643" s="46">
        <v>46128</v>
      </c>
    </row>
    <row r="1644" spans="1:13" s="60" customFormat="1" hidden="1" x14ac:dyDescent="0.3">
      <c r="A1644" s="44" t="s">
        <v>17</v>
      </c>
      <c r="B1644" s="44" t="s">
        <v>1618</v>
      </c>
      <c r="C1644" s="44" t="s">
        <v>74</v>
      </c>
      <c r="D1644" s="44">
        <v>5520941441</v>
      </c>
      <c r="E1644" s="44">
        <v>191550</v>
      </c>
      <c r="F1644" s="87">
        <v>1000</v>
      </c>
      <c r="G1644" s="46">
        <v>46128</v>
      </c>
      <c r="H1644" s="60" t="s">
        <v>1458</v>
      </c>
      <c r="I1644" s="60" t="s">
        <v>1625</v>
      </c>
      <c r="J1644" s="60">
        <v>3</v>
      </c>
      <c r="K1644" s="60" t="s">
        <v>1626</v>
      </c>
      <c r="L1644" s="60">
        <v>2</v>
      </c>
      <c r="M1644" s="60" t="s">
        <v>1490</v>
      </c>
    </row>
    <row r="1645" spans="1:13" hidden="1" x14ac:dyDescent="0.3">
      <c r="A1645" s="60" t="s">
        <v>17</v>
      </c>
      <c r="B1645" s="60" t="s">
        <v>1613</v>
      </c>
      <c r="C1645" s="60" t="s">
        <v>1620</v>
      </c>
      <c r="D1645" s="60">
        <v>5538004798</v>
      </c>
      <c r="E1645" s="60">
        <v>190763</v>
      </c>
      <c r="F1645" s="79">
        <v>6620.55</v>
      </c>
      <c r="G1645" s="69">
        <v>46128</v>
      </c>
    </row>
    <row r="1646" spans="1:13" s="60" customFormat="1" hidden="1" x14ac:dyDescent="0.3">
      <c r="A1646" s="44" t="s">
        <v>17</v>
      </c>
      <c r="B1646" s="44" t="s">
        <v>1285</v>
      </c>
      <c r="C1646" s="44" t="s">
        <v>336</v>
      </c>
      <c r="D1646" s="44">
        <v>5547402145</v>
      </c>
      <c r="E1646" s="44">
        <v>302292</v>
      </c>
      <c r="F1646" s="87">
        <v>2845</v>
      </c>
      <c r="G1646" s="46">
        <v>46128</v>
      </c>
    </row>
    <row r="1647" spans="1:13" hidden="1" x14ac:dyDescent="0.3">
      <c r="A1647" s="60" t="s">
        <v>17</v>
      </c>
      <c r="B1647" s="60" t="s">
        <v>1621</v>
      </c>
      <c r="C1647" s="60" t="s">
        <v>190</v>
      </c>
      <c r="D1647" s="60">
        <v>5582145432</v>
      </c>
      <c r="E1647" s="60">
        <v>302266</v>
      </c>
      <c r="F1647" s="79">
        <v>5431</v>
      </c>
      <c r="G1647" s="69">
        <v>46128</v>
      </c>
    </row>
    <row r="1648" spans="1:13" s="60" customFormat="1" hidden="1" x14ac:dyDescent="0.3">
      <c r="A1648" s="44" t="s">
        <v>17</v>
      </c>
      <c r="B1648" s="44" t="s">
        <v>186</v>
      </c>
      <c r="C1648" s="44" t="s">
        <v>187</v>
      </c>
      <c r="D1648" s="44">
        <v>5632381586</v>
      </c>
      <c r="E1648" s="44">
        <v>191070</v>
      </c>
      <c r="F1648" s="87">
        <v>1251</v>
      </c>
      <c r="G1648" s="46">
        <v>46128</v>
      </c>
    </row>
    <row r="1649" spans="1:10" hidden="1" x14ac:dyDescent="0.3">
      <c r="A1649" s="60" t="s">
        <v>17</v>
      </c>
      <c r="B1649" s="60" t="s">
        <v>186</v>
      </c>
      <c r="C1649" s="60" t="s">
        <v>187</v>
      </c>
      <c r="D1649" s="44">
        <v>5632381586</v>
      </c>
      <c r="E1649" s="60">
        <v>34271</v>
      </c>
      <c r="F1649" s="79">
        <v>206</v>
      </c>
      <c r="G1649" s="69">
        <v>46128</v>
      </c>
    </row>
    <row r="1650" spans="1:10" s="60" customFormat="1" hidden="1" x14ac:dyDescent="0.3">
      <c r="A1650" s="44" t="s">
        <v>17</v>
      </c>
      <c r="B1650" s="44" t="s">
        <v>186</v>
      </c>
      <c r="C1650" s="44" t="s">
        <v>187</v>
      </c>
      <c r="D1650" s="44">
        <v>5632381586</v>
      </c>
      <c r="E1650" s="44">
        <v>191071</v>
      </c>
      <c r="F1650" s="87">
        <v>130</v>
      </c>
      <c r="G1650" s="46">
        <v>46128</v>
      </c>
    </row>
    <row r="1651" spans="1:10" hidden="1" x14ac:dyDescent="0.3">
      <c r="A1651" s="44" t="s">
        <v>11</v>
      </c>
      <c r="B1651" s="44" t="s">
        <v>275</v>
      </c>
      <c r="C1651" s="44" t="str">
        <f>IFERROR(VLOOKUP(B1651,Base2026!A:C,2,FALSE),"")</f>
        <v>CODICE MENDOCINO</v>
      </c>
      <c r="D1651" s="44">
        <f>IFERROR(VLOOKUP(C1651,Base2026!B:D,2,FALSE),"")</f>
        <v>5511246208</v>
      </c>
      <c r="E1651" s="44">
        <v>355016</v>
      </c>
      <c r="F1651" s="87">
        <v>5585.99</v>
      </c>
      <c r="G1651" s="46">
        <v>46128</v>
      </c>
    </row>
    <row r="1652" spans="1:10" s="60" customFormat="1" hidden="1" x14ac:dyDescent="0.3">
      <c r="A1652" s="60" t="s">
        <v>11</v>
      </c>
      <c r="B1652" s="60" t="s">
        <v>275</v>
      </c>
      <c r="C1652" s="60" t="str">
        <f>IFERROR(VLOOKUP(B1652,Base2026!A:C,2,FALSE),"")</f>
        <v>CODICE MENDOCINO</v>
      </c>
      <c r="D1652" s="60">
        <f>IFERROR(VLOOKUP(C1652,Base2026!B:D,2,FALSE),"")</f>
        <v>5511246208</v>
      </c>
      <c r="E1652" s="60">
        <v>302157</v>
      </c>
      <c r="F1652" s="79">
        <v>1138</v>
      </c>
      <c r="G1652" s="69">
        <v>46128</v>
      </c>
    </row>
    <row r="1653" spans="1:10" hidden="1" x14ac:dyDescent="0.3">
      <c r="A1653" s="44" t="s">
        <v>11</v>
      </c>
      <c r="B1653" s="44" t="s">
        <v>275</v>
      </c>
      <c r="C1653" s="44" t="str">
        <f>IFERROR(VLOOKUP(B1653,Base2026!A:C,2,FALSE),"")</f>
        <v>CODICE MENDOCINO</v>
      </c>
      <c r="D1653" s="44">
        <f>IFERROR(VLOOKUP(C1653,Base2026!B:D,2,FALSE),"")</f>
        <v>5511246208</v>
      </c>
      <c r="E1653" s="44">
        <v>355017</v>
      </c>
      <c r="F1653" s="87">
        <v>3757</v>
      </c>
      <c r="G1653" s="46">
        <v>46128</v>
      </c>
    </row>
    <row r="1654" spans="1:10" s="60" customFormat="1" hidden="1" x14ac:dyDescent="0.3">
      <c r="A1654" s="60" t="s">
        <v>11</v>
      </c>
      <c r="B1654" s="60" t="s">
        <v>275</v>
      </c>
      <c r="C1654" s="60" t="str">
        <f>IFERROR(VLOOKUP(B1654,Base2026!A:C,2,FALSE),"")</f>
        <v>CODICE MENDOCINO</v>
      </c>
      <c r="D1654" s="60">
        <f>IFERROR(VLOOKUP(C1654,Base2026!B:D,2,FALSE),"")</f>
        <v>5511246208</v>
      </c>
      <c r="E1654" s="60">
        <v>302158</v>
      </c>
      <c r="F1654" s="79">
        <v>630</v>
      </c>
      <c r="G1654" s="69">
        <v>46128</v>
      </c>
    </row>
    <row r="1655" spans="1:10" hidden="1" x14ac:dyDescent="0.3">
      <c r="A1655" s="60" t="s">
        <v>11</v>
      </c>
      <c r="B1655" s="60" t="s">
        <v>1632</v>
      </c>
      <c r="C1655" s="60" t="s">
        <v>425</v>
      </c>
      <c r="D1655" s="60">
        <v>5515247600</v>
      </c>
      <c r="E1655" s="60">
        <v>191026</v>
      </c>
      <c r="F1655" s="79">
        <v>1506.08</v>
      </c>
      <c r="G1655" s="69">
        <v>46128</v>
      </c>
    </row>
    <row r="1656" spans="1:10" s="60" customFormat="1" hidden="1" x14ac:dyDescent="0.3">
      <c r="A1656" s="44" t="s">
        <v>11</v>
      </c>
      <c r="B1656" s="44" t="s">
        <v>1631</v>
      </c>
      <c r="C1656" s="44" t="s">
        <v>631</v>
      </c>
      <c r="D1656" s="44">
        <f>IFERROR(VLOOKUP(C1656,Base2026!B:D,2,FALSE),"")</f>
        <v>5517957453</v>
      </c>
      <c r="E1656" s="44">
        <v>190931</v>
      </c>
      <c r="F1656" s="87">
        <v>8963.9500000000007</v>
      </c>
      <c r="G1656" s="46">
        <v>46128</v>
      </c>
    </row>
    <row r="1657" spans="1:10" hidden="1" x14ac:dyDescent="0.3">
      <c r="A1657" s="44" t="s">
        <v>11</v>
      </c>
      <c r="B1657" s="44" t="s">
        <v>1634</v>
      </c>
      <c r="C1657" s="44" t="s">
        <v>218</v>
      </c>
      <c r="D1657" s="44">
        <v>5521745267</v>
      </c>
      <c r="E1657" s="44">
        <v>190852</v>
      </c>
      <c r="F1657" s="87">
        <v>9533.99</v>
      </c>
      <c r="G1657" s="46">
        <v>46128</v>
      </c>
    </row>
    <row r="1658" spans="1:10" s="60" customFormat="1" hidden="1" x14ac:dyDescent="0.3">
      <c r="A1658" s="60" t="s">
        <v>11</v>
      </c>
      <c r="B1658" s="60" t="s">
        <v>1634</v>
      </c>
      <c r="C1658" s="60" t="s">
        <v>218</v>
      </c>
      <c r="D1658" s="60">
        <v>5521745267</v>
      </c>
      <c r="E1658" s="60">
        <v>34237</v>
      </c>
      <c r="F1658" s="79">
        <v>1232</v>
      </c>
      <c r="G1658" s="69">
        <v>46128</v>
      </c>
    </row>
    <row r="1659" spans="1:10" hidden="1" x14ac:dyDescent="0.3">
      <c r="A1659" s="44" t="s">
        <v>11</v>
      </c>
      <c r="B1659" s="44" t="s">
        <v>1634</v>
      </c>
      <c r="C1659" s="44" t="s">
        <v>218</v>
      </c>
      <c r="D1659" s="44">
        <v>5521745267</v>
      </c>
      <c r="E1659" s="44">
        <v>354853</v>
      </c>
      <c r="F1659" s="87">
        <v>1204</v>
      </c>
      <c r="G1659" s="46">
        <v>46128</v>
      </c>
    </row>
    <row r="1660" spans="1:10" s="60" customFormat="1" hidden="1" x14ac:dyDescent="0.3">
      <c r="A1660" s="44" t="s">
        <v>11</v>
      </c>
      <c r="B1660" s="44" t="s">
        <v>1633</v>
      </c>
      <c r="C1660" s="44" t="s">
        <v>614</v>
      </c>
      <c r="D1660" s="44">
        <v>5624251365</v>
      </c>
      <c r="E1660" s="44">
        <v>191011</v>
      </c>
      <c r="F1660" s="87">
        <v>2274</v>
      </c>
      <c r="G1660" s="46">
        <v>46128</v>
      </c>
    </row>
    <row r="1661" spans="1:10" hidden="1" x14ac:dyDescent="0.3">
      <c r="A1661" s="60" t="s">
        <v>11</v>
      </c>
      <c r="B1661" s="60" t="s">
        <v>1633</v>
      </c>
      <c r="C1661" s="60" t="s">
        <v>614</v>
      </c>
      <c r="D1661" s="60">
        <v>5624251365</v>
      </c>
      <c r="E1661" s="60">
        <v>342262</v>
      </c>
      <c r="F1661" s="79">
        <v>57</v>
      </c>
      <c r="G1661" s="69">
        <v>46128</v>
      </c>
    </row>
    <row r="1662" spans="1:10" s="80" customFormat="1" hidden="1" x14ac:dyDescent="0.3">
      <c r="A1662" s="44" t="s">
        <v>10</v>
      </c>
      <c r="B1662" s="44" t="s">
        <v>1575</v>
      </c>
      <c r="C1662" s="44" t="s">
        <v>6</v>
      </c>
      <c r="D1662" s="44">
        <f>IFERROR(VLOOKUP(C1662,Base2026!B:D,2,FALSE),"")</f>
        <v>5518465090</v>
      </c>
      <c r="E1662" s="44">
        <v>302313</v>
      </c>
      <c r="F1662" s="87">
        <v>1140</v>
      </c>
      <c r="G1662" s="46">
        <v>46129</v>
      </c>
      <c r="H1662" s="80" t="s">
        <v>1458</v>
      </c>
      <c r="I1662" s="80" t="s">
        <v>1635</v>
      </c>
      <c r="J1662" s="80">
        <v>11</v>
      </c>
    </row>
    <row r="1663" spans="1:10" hidden="1" x14ac:dyDescent="0.3">
      <c r="A1663" s="80" t="s">
        <v>10</v>
      </c>
      <c r="B1663" s="80" t="s">
        <v>57</v>
      </c>
      <c r="C1663" s="80" t="str">
        <f>IFERROR(VLOOKUP(B1663,Base2026!A:C,2,FALSE),"")</f>
        <v>EJE 8</v>
      </c>
      <c r="D1663" s="80">
        <v>5554550976</v>
      </c>
      <c r="E1663" s="80">
        <v>301965</v>
      </c>
      <c r="F1663" s="96">
        <v>4291.6000000000004</v>
      </c>
      <c r="G1663" s="81">
        <v>46129</v>
      </c>
      <c r="H1663" s="44" t="s">
        <v>1458</v>
      </c>
      <c r="I1663" s="44" t="s">
        <v>1637</v>
      </c>
      <c r="J1663" s="44">
        <v>2</v>
      </c>
    </row>
    <row r="1664" spans="1:10" s="80" customFormat="1" hidden="1" x14ac:dyDescent="0.3">
      <c r="A1664" s="44" t="s">
        <v>10</v>
      </c>
      <c r="B1664" s="44" t="s">
        <v>530</v>
      </c>
      <c r="C1664" s="44" t="str">
        <f>IFERROR(VLOOKUP(B1664,Base2026!A:C,2,FALSE),"")</f>
        <v>TULTEPEC</v>
      </c>
      <c r="D1664" s="44">
        <f>IFERROR(VLOOKUP(C1664,Base2026!B:D,2,FALSE),"")</f>
        <v>5554704647</v>
      </c>
      <c r="E1664" s="44">
        <v>301386</v>
      </c>
      <c r="F1664" s="87">
        <v>9950.32</v>
      </c>
      <c r="G1664" s="46">
        <v>46129</v>
      </c>
    </row>
    <row r="1665" spans="1:7" hidden="1" x14ac:dyDescent="0.3">
      <c r="A1665" s="80" t="s">
        <v>10</v>
      </c>
      <c r="B1665" s="80" t="s">
        <v>1643</v>
      </c>
      <c r="C1665" s="80" t="s">
        <v>237</v>
      </c>
      <c r="D1665" s="80">
        <v>5611913561</v>
      </c>
      <c r="E1665" s="80">
        <v>191129</v>
      </c>
      <c r="F1665" s="96">
        <v>2984.76</v>
      </c>
      <c r="G1665" s="81">
        <v>46129</v>
      </c>
    </row>
    <row r="1666" spans="1:7" s="80" customFormat="1" hidden="1" x14ac:dyDescent="0.3">
      <c r="A1666" s="44" t="s">
        <v>10</v>
      </c>
      <c r="B1666" s="44" t="s">
        <v>1642</v>
      </c>
      <c r="C1666" s="44" t="s">
        <v>1592</v>
      </c>
      <c r="D1666" s="44">
        <v>5617209647</v>
      </c>
      <c r="E1666" s="44">
        <v>354931</v>
      </c>
      <c r="F1666" s="87">
        <v>4347.4399999999996</v>
      </c>
      <c r="G1666" s="46">
        <v>46129</v>
      </c>
    </row>
    <row r="1667" spans="1:7" hidden="1" x14ac:dyDescent="0.3">
      <c r="A1667" s="80" t="s">
        <v>10</v>
      </c>
      <c r="B1667" s="80" t="s">
        <v>1642</v>
      </c>
      <c r="C1667" s="80" t="s">
        <v>1592</v>
      </c>
      <c r="D1667" s="80">
        <v>5617209647</v>
      </c>
      <c r="E1667" s="80">
        <v>191027</v>
      </c>
      <c r="F1667" s="96">
        <v>152</v>
      </c>
      <c r="G1667" s="81">
        <v>46129</v>
      </c>
    </row>
    <row r="1668" spans="1:7" s="80" customFormat="1" hidden="1" x14ac:dyDescent="0.3">
      <c r="A1668" s="44" t="s">
        <v>10</v>
      </c>
      <c r="B1668" s="44" t="s">
        <v>1642</v>
      </c>
      <c r="C1668" s="44" t="s">
        <v>1592</v>
      </c>
      <c r="D1668" s="44">
        <v>5617209647</v>
      </c>
      <c r="E1668" s="44">
        <v>342264</v>
      </c>
      <c r="F1668" s="87">
        <v>276</v>
      </c>
      <c r="G1668" s="46">
        <v>46129</v>
      </c>
    </row>
    <row r="1669" spans="1:7" hidden="1" x14ac:dyDescent="0.3">
      <c r="A1669" s="44" t="s">
        <v>17</v>
      </c>
      <c r="B1669" s="44" t="s">
        <v>1640</v>
      </c>
      <c r="C1669" s="44" t="s">
        <v>276</v>
      </c>
      <c r="D1669" s="44">
        <f>IFERROR(VLOOKUP(C1669,Base2026!B:D,2,FALSE),"")</f>
        <v>5511246208</v>
      </c>
      <c r="E1669" s="44">
        <v>355025</v>
      </c>
      <c r="F1669" s="87">
        <v>5662.64</v>
      </c>
      <c r="G1669" s="46">
        <v>46129</v>
      </c>
    </row>
    <row r="1670" spans="1:7" s="80" customFormat="1" hidden="1" x14ac:dyDescent="0.3">
      <c r="A1670" s="44" t="s">
        <v>17</v>
      </c>
      <c r="B1670" s="44" t="s">
        <v>1636</v>
      </c>
      <c r="C1670" s="44" t="s">
        <v>293</v>
      </c>
      <c r="D1670" s="44">
        <v>5514068672</v>
      </c>
      <c r="E1670" s="44">
        <v>302388</v>
      </c>
      <c r="F1670" s="87">
        <v>1300</v>
      </c>
      <c r="G1670" s="46">
        <v>46129</v>
      </c>
    </row>
    <row r="1671" spans="1:7" hidden="1" x14ac:dyDescent="0.3">
      <c r="A1671" s="80" t="s">
        <v>17</v>
      </c>
      <c r="B1671" s="80" t="s">
        <v>1641</v>
      </c>
      <c r="C1671" s="80" t="s">
        <v>336</v>
      </c>
      <c r="D1671" s="80">
        <f>IFERROR(VLOOKUP(C1671,Base2026!B:D,2,FALSE),"")</f>
        <v>5527577305</v>
      </c>
      <c r="E1671" s="80">
        <v>191299</v>
      </c>
      <c r="F1671" s="96">
        <v>2419.3200000000002</v>
      </c>
      <c r="G1671" s="81">
        <v>46129</v>
      </c>
    </row>
    <row r="1672" spans="1:7" s="80" customFormat="1" hidden="1" x14ac:dyDescent="0.3">
      <c r="A1672" s="80" t="s">
        <v>17</v>
      </c>
      <c r="B1672" s="80" t="s">
        <v>625</v>
      </c>
      <c r="C1672" s="80" t="str">
        <f>IFERROR(VLOOKUP(B1672,Base2026!A:C,2,FALSE),"")</f>
        <v>GRANJAS VALLE</v>
      </c>
      <c r="D1672" s="80">
        <f>IFERROR(VLOOKUP(C1672,Base2026!B:D,2,FALSE),"")</f>
        <v>5578992575</v>
      </c>
      <c r="E1672" s="80">
        <v>191644</v>
      </c>
      <c r="F1672" s="96">
        <v>6600</v>
      </c>
      <c r="G1672" s="81">
        <v>46129</v>
      </c>
    </row>
    <row r="1673" spans="1:7" hidden="1" x14ac:dyDescent="0.3">
      <c r="A1673" s="80" t="s">
        <v>17</v>
      </c>
      <c r="B1673" s="80" t="s">
        <v>1638</v>
      </c>
      <c r="C1673" s="80" t="s">
        <v>1639</v>
      </c>
      <c r="D1673" s="80">
        <v>5586185001</v>
      </c>
      <c r="E1673" s="80">
        <v>191202</v>
      </c>
      <c r="F1673" s="96">
        <v>1840</v>
      </c>
      <c r="G1673" s="81">
        <v>46129</v>
      </c>
    </row>
    <row r="1674" spans="1:7" s="80" customFormat="1" hidden="1" x14ac:dyDescent="0.3">
      <c r="A1674" s="80" t="s">
        <v>11</v>
      </c>
      <c r="B1674" s="80" t="s">
        <v>217</v>
      </c>
      <c r="C1674" s="80" t="str">
        <f>IFERROR(VLOOKUP(B1674,Base2026!A:C,2,FALSE),"")</f>
        <v>CERRO GORDO</v>
      </c>
      <c r="D1674" s="80">
        <f>IFERROR(VLOOKUP(C1674,Base2026!B:D,2,FALSE),"")</f>
        <v>5521745267</v>
      </c>
      <c r="E1674" s="80">
        <v>191153</v>
      </c>
      <c r="F1674" s="96">
        <v>798</v>
      </c>
      <c r="G1674" s="81">
        <v>46129</v>
      </c>
    </row>
    <row r="1675" spans="1:7" hidden="1" x14ac:dyDescent="0.3">
      <c r="A1675" s="44" t="s">
        <v>11</v>
      </c>
      <c r="B1675" s="44" t="s">
        <v>217</v>
      </c>
      <c r="C1675" s="44" t="str">
        <f>IFERROR(VLOOKUP(B1675,Base2026!A:C,2,FALSE),"")</f>
        <v>CERRO GORDO</v>
      </c>
      <c r="D1675" s="44">
        <f>IFERROR(VLOOKUP(C1675,Base2026!B:D,2,FALSE),"")</f>
        <v>5521745267</v>
      </c>
      <c r="E1675" s="44">
        <v>34284</v>
      </c>
      <c r="F1675" s="87">
        <v>134</v>
      </c>
      <c r="G1675" s="46">
        <v>46129</v>
      </c>
    </row>
    <row r="1676" spans="1:7" s="80" customFormat="1" hidden="1" x14ac:dyDescent="0.3">
      <c r="A1676" s="80" t="s">
        <v>11</v>
      </c>
      <c r="B1676" s="80" t="s">
        <v>217</v>
      </c>
      <c r="C1676" s="80" t="str">
        <f>IFERROR(VLOOKUP(B1676,Base2026!A:C,2,FALSE),"")</f>
        <v>CERRO GORDO</v>
      </c>
      <c r="D1676" s="80">
        <f>IFERROR(VLOOKUP(C1676,Base2026!B:D,2,FALSE),"")</f>
        <v>5521745267</v>
      </c>
      <c r="E1676" s="80">
        <v>302165</v>
      </c>
      <c r="F1676" s="96">
        <v>236</v>
      </c>
      <c r="G1676" s="81">
        <v>46129</v>
      </c>
    </row>
    <row r="1677" spans="1:7" hidden="1" x14ac:dyDescent="0.3">
      <c r="A1677" s="44" t="s">
        <v>11</v>
      </c>
      <c r="B1677" s="44" t="s">
        <v>217</v>
      </c>
      <c r="C1677" s="44" t="str">
        <f>IFERROR(VLOOKUP(B1677,Base2026!A:C,2,FALSE),"")</f>
        <v>CERRO GORDO</v>
      </c>
      <c r="D1677" s="44">
        <f>IFERROR(VLOOKUP(C1677,Base2026!B:D,2,FALSE),"")</f>
        <v>5521745267</v>
      </c>
      <c r="E1677" s="44">
        <v>355095</v>
      </c>
      <c r="F1677" s="87">
        <v>850</v>
      </c>
      <c r="G1677" s="46">
        <v>46129</v>
      </c>
    </row>
    <row r="1678" spans="1:7" s="80" customFormat="1" hidden="1" x14ac:dyDescent="0.3">
      <c r="A1678" s="80" t="s">
        <v>11</v>
      </c>
      <c r="B1678" s="80" t="s">
        <v>1645</v>
      </c>
      <c r="C1678" s="80" t="s">
        <v>425</v>
      </c>
      <c r="D1678" s="80">
        <v>5528522239</v>
      </c>
      <c r="E1678" s="80">
        <v>355126</v>
      </c>
      <c r="F1678" s="96">
        <v>1468</v>
      </c>
      <c r="G1678" s="81">
        <v>46129</v>
      </c>
    </row>
    <row r="1679" spans="1:7" hidden="1" x14ac:dyDescent="0.3">
      <c r="A1679" s="44" t="s">
        <v>11</v>
      </c>
      <c r="B1679" s="44" t="s">
        <v>1645</v>
      </c>
      <c r="C1679" s="44" t="s">
        <v>425</v>
      </c>
      <c r="D1679" s="44">
        <v>5528522239</v>
      </c>
      <c r="E1679" s="44">
        <v>302171</v>
      </c>
      <c r="F1679" s="87">
        <v>100</v>
      </c>
      <c r="G1679" s="46">
        <v>46129</v>
      </c>
    </row>
    <row r="1680" spans="1:7" s="80" customFormat="1" hidden="1" x14ac:dyDescent="0.3">
      <c r="A1680" s="80" t="s">
        <v>11</v>
      </c>
      <c r="B1680" s="80" t="s">
        <v>1239</v>
      </c>
      <c r="C1680" s="80" t="s">
        <v>248</v>
      </c>
      <c r="D1680" s="80">
        <v>5566954623</v>
      </c>
      <c r="E1680" s="80">
        <v>302066</v>
      </c>
      <c r="F1680" s="96">
        <v>12561.35</v>
      </c>
      <c r="G1680" s="81">
        <v>46129</v>
      </c>
    </row>
    <row r="1681" spans="1:10" hidden="1" x14ac:dyDescent="0.3">
      <c r="A1681" s="44" t="s">
        <v>11</v>
      </c>
      <c r="B1681" s="44" t="s">
        <v>1594</v>
      </c>
      <c r="C1681" s="44" t="s">
        <v>795</v>
      </c>
      <c r="D1681" s="44">
        <v>5568734619</v>
      </c>
      <c r="E1681" s="44">
        <v>355191</v>
      </c>
      <c r="F1681" s="87">
        <v>4420</v>
      </c>
      <c r="G1681" s="46">
        <v>46129</v>
      </c>
    </row>
    <row r="1682" spans="1:10" s="80" customFormat="1" hidden="1" x14ac:dyDescent="0.3">
      <c r="A1682" s="44" t="s">
        <v>11</v>
      </c>
      <c r="B1682" s="44" t="s">
        <v>1192</v>
      </c>
      <c r="C1682" s="44" t="s">
        <v>84</v>
      </c>
      <c r="D1682" s="44">
        <v>5570855960</v>
      </c>
      <c r="E1682" s="44">
        <v>191507</v>
      </c>
      <c r="F1682" s="87">
        <v>400</v>
      </c>
      <c r="G1682" s="46">
        <v>46129</v>
      </c>
    </row>
    <row r="1683" spans="1:10" hidden="1" x14ac:dyDescent="0.3">
      <c r="A1683" s="80" t="s">
        <v>11</v>
      </c>
      <c r="B1683" s="80" t="s">
        <v>1192</v>
      </c>
      <c r="C1683" s="80" t="s">
        <v>84</v>
      </c>
      <c r="D1683" s="80">
        <v>5570855960</v>
      </c>
      <c r="E1683" s="80">
        <v>34342</v>
      </c>
      <c r="F1683" s="96">
        <v>21</v>
      </c>
      <c r="G1683" s="81">
        <v>46129</v>
      </c>
    </row>
    <row r="1684" spans="1:10" s="80" customFormat="1" hidden="1" x14ac:dyDescent="0.3">
      <c r="A1684" s="80" t="s">
        <v>11</v>
      </c>
      <c r="B1684" s="80" t="s">
        <v>1644</v>
      </c>
      <c r="C1684" s="80" t="s">
        <v>747</v>
      </c>
      <c r="D1684" s="80">
        <v>5588092154</v>
      </c>
      <c r="E1684" s="80">
        <v>191144</v>
      </c>
      <c r="F1684" s="96">
        <v>1700</v>
      </c>
      <c r="G1684" s="81">
        <v>46129</v>
      </c>
    </row>
    <row r="1685" spans="1:10" hidden="1" x14ac:dyDescent="0.3">
      <c r="A1685" s="44" t="s">
        <v>11</v>
      </c>
      <c r="B1685" s="44" t="s">
        <v>1644</v>
      </c>
      <c r="C1685" s="44" t="s">
        <v>747</v>
      </c>
      <c r="D1685" s="44">
        <f>IFERROR(VLOOKUP(C1685,Base2026!B:D,2,FALSE),"")</f>
        <v>5617630065</v>
      </c>
      <c r="E1685" s="44">
        <v>34283</v>
      </c>
      <c r="F1685" s="87">
        <v>56</v>
      </c>
      <c r="G1685" s="46">
        <v>46129</v>
      </c>
    </row>
    <row r="1686" spans="1:10" s="80" customFormat="1" hidden="1" x14ac:dyDescent="0.3">
      <c r="A1686" s="80" t="s">
        <v>11</v>
      </c>
      <c r="B1686" s="80" t="s">
        <v>1644</v>
      </c>
      <c r="C1686" s="80" t="s">
        <v>747</v>
      </c>
      <c r="D1686" s="80">
        <f>IFERROR(VLOOKUP(C1686,Base2026!B:D,2,FALSE),"")</f>
        <v>5617630065</v>
      </c>
      <c r="E1686" s="80">
        <v>191143</v>
      </c>
      <c r="F1686" s="96">
        <v>1512</v>
      </c>
      <c r="G1686" s="81">
        <v>46129</v>
      </c>
    </row>
    <row r="1687" spans="1:10" hidden="1" x14ac:dyDescent="0.3">
      <c r="A1687" s="80" t="s">
        <v>11</v>
      </c>
      <c r="B1687" s="80" t="s">
        <v>1446</v>
      </c>
      <c r="C1687" s="80" t="s">
        <v>458</v>
      </c>
      <c r="D1687" s="80">
        <v>5645699794</v>
      </c>
      <c r="E1687" s="80">
        <v>354977</v>
      </c>
      <c r="F1687" s="96">
        <v>2449</v>
      </c>
      <c r="G1687" s="81">
        <v>46129</v>
      </c>
    </row>
    <row r="1688" spans="1:10" s="80" customFormat="1" hidden="1" x14ac:dyDescent="0.3">
      <c r="A1688" s="44" t="s">
        <v>11</v>
      </c>
      <c r="B1688" s="44" t="s">
        <v>1446</v>
      </c>
      <c r="C1688" s="44" t="s">
        <v>458</v>
      </c>
      <c r="D1688" s="44">
        <v>5645699794</v>
      </c>
      <c r="E1688" s="44">
        <v>302150</v>
      </c>
      <c r="F1688" s="87">
        <v>440</v>
      </c>
      <c r="G1688" s="46">
        <v>46129</v>
      </c>
    </row>
    <row r="1689" spans="1:10" hidden="1" x14ac:dyDescent="0.3">
      <c r="A1689" s="64" t="s">
        <v>47</v>
      </c>
      <c r="B1689" s="64" t="s">
        <v>1655</v>
      </c>
      <c r="C1689" s="64" t="s">
        <v>518</v>
      </c>
      <c r="D1689" s="64">
        <f>IFERROR(VLOOKUP(C1689,Base2026!B:D,2,FALSE),"")</f>
        <v>5569318105</v>
      </c>
      <c r="E1689" s="64">
        <v>302099</v>
      </c>
      <c r="F1689" s="91">
        <v>3759.2</v>
      </c>
      <c r="G1689" s="82">
        <v>46130</v>
      </c>
      <c r="H1689" s="44" t="s">
        <v>1458</v>
      </c>
      <c r="I1689" s="44" t="s">
        <v>1648</v>
      </c>
      <c r="J1689" s="44">
        <v>7</v>
      </c>
    </row>
    <row r="1690" spans="1:10" s="64" customFormat="1" hidden="1" x14ac:dyDescent="0.3">
      <c r="A1690" s="44" t="s">
        <v>47</v>
      </c>
      <c r="B1690" s="44" t="s">
        <v>1655</v>
      </c>
      <c r="C1690" s="44" t="s">
        <v>518</v>
      </c>
      <c r="D1690" s="44">
        <f>IFERROR(VLOOKUP(C1690,Base2026!B:D,2,FALSE),"")</f>
        <v>5569318105</v>
      </c>
      <c r="E1690" s="44">
        <v>301583</v>
      </c>
      <c r="F1690" s="87">
        <v>11626.08</v>
      </c>
      <c r="G1690" s="46">
        <v>46130</v>
      </c>
    </row>
    <row r="1691" spans="1:10" hidden="1" x14ac:dyDescent="0.3">
      <c r="A1691" s="64" t="s">
        <v>10</v>
      </c>
      <c r="B1691" s="64" t="s">
        <v>1621</v>
      </c>
      <c r="C1691" s="64" t="s">
        <v>1653</v>
      </c>
      <c r="D1691" s="64">
        <v>5589145432</v>
      </c>
      <c r="E1691" s="64">
        <v>301851</v>
      </c>
      <c r="F1691" s="91">
        <v>15669.64</v>
      </c>
      <c r="G1691" s="82">
        <v>46130</v>
      </c>
      <c r="H1691" s="44" t="s">
        <v>1458</v>
      </c>
      <c r="I1691" s="44" t="s">
        <v>1649</v>
      </c>
      <c r="J1691" s="44">
        <v>1</v>
      </c>
    </row>
    <row r="1692" spans="1:10" s="64" customFormat="1" hidden="1" x14ac:dyDescent="0.3">
      <c r="A1692" s="44" t="s">
        <v>10</v>
      </c>
      <c r="B1692" s="44" t="s">
        <v>1523</v>
      </c>
      <c r="C1692" s="44" t="s">
        <v>1651</v>
      </c>
      <c r="D1692" s="44">
        <v>5614579598</v>
      </c>
      <c r="E1692" s="44">
        <v>355442</v>
      </c>
      <c r="F1692" s="87">
        <v>4385</v>
      </c>
      <c r="G1692" s="46">
        <v>46130</v>
      </c>
    </row>
    <row r="1693" spans="1:10" hidden="1" x14ac:dyDescent="0.3">
      <c r="A1693" s="44" t="s">
        <v>17</v>
      </c>
      <c r="B1693" s="44" t="s">
        <v>1650</v>
      </c>
      <c r="C1693" s="44" t="s">
        <v>204</v>
      </c>
      <c r="D1693" s="44">
        <v>5516860073</v>
      </c>
      <c r="E1693" s="44">
        <v>355266</v>
      </c>
      <c r="F1693" s="87">
        <v>4675</v>
      </c>
      <c r="G1693" s="46">
        <v>46130</v>
      </c>
    </row>
    <row r="1694" spans="1:10" s="64" customFormat="1" hidden="1" x14ac:dyDescent="0.3">
      <c r="A1694" s="64" t="s">
        <v>17</v>
      </c>
      <c r="B1694" s="64" t="s">
        <v>1650</v>
      </c>
      <c r="C1694" s="64" t="s">
        <v>204</v>
      </c>
      <c r="D1694" s="64">
        <v>5516860073</v>
      </c>
      <c r="E1694" s="64">
        <v>302190</v>
      </c>
      <c r="F1694" s="91">
        <v>104</v>
      </c>
      <c r="G1694" s="82">
        <v>46130</v>
      </c>
    </row>
    <row r="1695" spans="1:10" hidden="1" x14ac:dyDescent="0.3">
      <c r="A1695" s="44" t="s">
        <v>17</v>
      </c>
      <c r="B1695" s="44" t="s">
        <v>1425</v>
      </c>
      <c r="C1695" s="44" t="s">
        <v>204</v>
      </c>
      <c r="D1695" s="44">
        <v>5518548421</v>
      </c>
      <c r="E1695" s="44">
        <v>355383</v>
      </c>
      <c r="F1695" s="87">
        <v>4550</v>
      </c>
      <c r="G1695" s="46">
        <v>46130</v>
      </c>
      <c r="H1695" s="44" t="s">
        <v>1458</v>
      </c>
      <c r="I1695" s="44" t="s">
        <v>1652</v>
      </c>
      <c r="J1695" s="44">
        <v>5</v>
      </c>
    </row>
    <row r="1696" spans="1:10" s="64" customFormat="1" hidden="1" x14ac:dyDescent="0.3">
      <c r="A1696" s="64" t="s">
        <v>17</v>
      </c>
      <c r="B1696" s="64" t="s">
        <v>1425</v>
      </c>
      <c r="C1696" s="64" t="s">
        <v>204</v>
      </c>
      <c r="D1696" s="64">
        <v>5518548421</v>
      </c>
      <c r="E1696" s="64">
        <v>355437</v>
      </c>
      <c r="F1696" s="91">
        <v>350</v>
      </c>
      <c r="G1696" s="82">
        <v>46130</v>
      </c>
    </row>
    <row r="1697" spans="1:12" hidden="1" x14ac:dyDescent="0.3">
      <c r="A1697" s="44" t="s">
        <v>17</v>
      </c>
      <c r="B1697" s="44" t="s">
        <v>277</v>
      </c>
      <c r="C1697" s="44" t="s">
        <v>74</v>
      </c>
      <c r="D1697" s="44">
        <v>5528872468</v>
      </c>
      <c r="E1697" s="44">
        <v>302526</v>
      </c>
      <c r="F1697" s="87">
        <v>850</v>
      </c>
      <c r="G1697" s="46">
        <v>46130</v>
      </c>
    </row>
    <row r="1698" spans="1:12" s="64" customFormat="1" hidden="1" x14ac:dyDescent="0.3">
      <c r="A1698" s="64" t="s">
        <v>17</v>
      </c>
      <c r="B1698" s="64" t="s">
        <v>1372</v>
      </c>
      <c r="C1698" s="64" t="s">
        <v>458</v>
      </c>
      <c r="D1698" s="64">
        <v>5539486141</v>
      </c>
      <c r="E1698" s="64">
        <v>302108</v>
      </c>
      <c r="F1698" s="91">
        <v>4151.24</v>
      </c>
      <c r="G1698" s="82">
        <v>46130</v>
      </c>
    </row>
    <row r="1699" spans="1:12" hidden="1" x14ac:dyDescent="0.3">
      <c r="A1699" s="44" t="s">
        <v>11</v>
      </c>
      <c r="B1699" s="44" t="s">
        <v>1654</v>
      </c>
      <c r="C1699" s="44" t="s">
        <v>37</v>
      </c>
      <c r="D1699" s="44">
        <v>5513339523</v>
      </c>
      <c r="E1699" s="44">
        <v>354706</v>
      </c>
      <c r="F1699" s="87">
        <v>1010.64</v>
      </c>
      <c r="G1699" s="46">
        <v>46130</v>
      </c>
    </row>
    <row r="1700" spans="1:12" s="64" customFormat="1" x14ac:dyDescent="0.3">
      <c r="A1700" s="64" t="s">
        <v>11</v>
      </c>
      <c r="B1700" s="64" t="s">
        <v>528</v>
      </c>
      <c r="C1700" s="64" t="str">
        <f>IFERROR(VLOOKUP(B1700,Base2026!A:C,2,FALSE),"")</f>
        <v>TEXCOCO</v>
      </c>
      <c r="D1700" s="64">
        <f>IFERROR(VLOOKUP(C1700,Base2026!B:D,2,FALSE),"")</f>
        <v>5536695063</v>
      </c>
      <c r="E1700" s="64">
        <v>301419</v>
      </c>
      <c r="F1700" s="91">
        <v>28972.17</v>
      </c>
      <c r="G1700" s="82">
        <v>46130</v>
      </c>
    </row>
    <row r="1701" spans="1:12" x14ac:dyDescent="0.3">
      <c r="A1701" s="44" t="s">
        <v>11</v>
      </c>
      <c r="B1701" s="44" t="s">
        <v>528</v>
      </c>
      <c r="C1701" s="44" t="str">
        <f>IFERROR(VLOOKUP(B1701,Base2026!A:C,2,FALSE),"")</f>
        <v>TEXCOCO</v>
      </c>
      <c r="D1701" s="44">
        <f>IFERROR(VLOOKUP(C1701,Base2026!B:D,2,FALSE),"")</f>
        <v>5536695063</v>
      </c>
      <c r="E1701" s="44">
        <v>301385</v>
      </c>
      <c r="F1701" s="87">
        <v>6384.8</v>
      </c>
      <c r="G1701" s="46">
        <v>46130</v>
      </c>
    </row>
    <row r="1702" spans="1:12" s="80" customFormat="1" hidden="1" x14ac:dyDescent="0.3">
      <c r="A1702" s="44" t="s">
        <v>10</v>
      </c>
      <c r="B1702" s="44" t="s">
        <v>1658</v>
      </c>
      <c r="C1702" s="44" t="s">
        <v>514</v>
      </c>
      <c r="D1702" s="44">
        <v>5571494209</v>
      </c>
      <c r="E1702" s="44">
        <v>191618</v>
      </c>
      <c r="F1702" s="87">
        <v>3150</v>
      </c>
      <c r="G1702" s="46">
        <v>46132</v>
      </c>
    </row>
    <row r="1703" spans="1:12" hidden="1" x14ac:dyDescent="0.3">
      <c r="A1703" s="80" t="s">
        <v>10</v>
      </c>
      <c r="B1703" s="80" t="s">
        <v>1658</v>
      </c>
      <c r="C1703" s="80" t="s">
        <v>514</v>
      </c>
      <c r="D1703" s="80">
        <v>5571494209</v>
      </c>
      <c r="E1703" s="80">
        <v>34354</v>
      </c>
      <c r="F1703" s="96">
        <v>476</v>
      </c>
      <c r="G1703" s="81">
        <v>46132</v>
      </c>
    </row>
    <row r="1704" spans="1:12" s="80" customFormat="1" hidden="1" x14ac:dyDescent="0.3">
      <c r="A1704" s="44" t="s">
        <v>10</v>
      </c>
      <c r="B1704" s="44" t="s">
        <v>270</v>
      </c>
      <c r="C1704" s="44" t="str">
        <f>IFERROR(VLOOKUP(B1704,Base2026!A:C,2,FALSE),"")</f>
        <v xml:space="preserve">TOLOTZIN </v>
      </c>
      <c r="D1704" s="44">
        <f>IFERROR(VLOOKUP(C1704,Base2026!B:D,2,FALSE),"")</f>
        <v>5631001997</v>
      </c>
      <c r="E1704" s="44">
        <v>355274</v>
      </c>
      <c r="F1704" s="87">
        <v>9740</v>
      </c>
      <c r="G1704" s="46">
        <v>46132</v>
      </c>
    </row>
    <row r="1705" spans="1:12" hidden="1" x14ac:dyDescent="0.3">
      <c r="A1705" s="80" t="s">
        <v>10</v>
      </c>
      <c r="B1705" s="80" t="s">
        <v>270</v>
      </c>
      <c r="C1705" s="80" t="str">
        <f>IFERROR(VLOOKUP(B1705,Base2026!A:C,2,FALSE),"")</f>
        <v xml:space="preserve">TOLOTZIN </v>
      </c>
      <c r="D1705" s="80">
        <f>IFERROR(VLOOKUP(C1705,Base2026!B:D,2,FALSE),"")</f>
        <v>5631001997</v>
      </c>
      <c r="E1705" s="80">
        <v>302191</v>
      </c>
      <c r="F1705" s="96">
        <v>618</v>
      </c>
      <c r="G1705" s="81">
        <v>46132</v>
      </c>
    </row>
    <row r="1706" spans="1:12" s="80" customFormat="1" hidden="1" x14ac:dyDescent="0.3">
      <c r="A1706" s="80" t="s">
        <v>10</v>
      </c>
      <c r="B1706" s="80" t="s">
        <v>1656</v>
      </c>
      <c r="C1706" s="80" t="s">
        <v>1657</v>
      </c>
      <c r="D1706" s="51">
        <v>5523769704</v>
      </c>
      <c r="E1706" s="80">
        <v>302093</v>
      </c>
      <c r="F1706" s="96">
        <v>1224.04</v>
      </c>
      <c r="G1706" s="81">
        <v>46132</v>
      </c>
    </row>
    <row r="1707" spans="1:12" hidden="1" x14ac:dyDescent="0.3">
      <c r="A1707" s="44" t="s">
        <v>17</v>
      </c>
      <c r="B1707" s="44" t="s">
        <v>1640</v>
      </c>
      <c r="C1707" s="44" t="s">
        <v>276</v>
      </c>
      <c r="D1707" s="44">
        <f>IFERROR(VLOOKUP(C1707,Base2026!B:D,2,FALSE),"")</f>
        <v>5511246208</v>
      </c>
      <c r="E1707" s="44">
        <v>355019</v>
      </c>
      <c r="F1707" s="87">
        <v>8062</v>
      </c>
      <c r="G1707" s="46">
        <v>46132</v>
      </c>
    </row>
    <row r="1708" spans="1:12" s="80" customFormat="1" hidden="1" x14ac:dyDescent="0.3">
      <c r="A1708" s="80" t="s">
        <v>17</v>
      </c>
      <c r="B1708" s="80" t="s">
        <v>1640</v>
      </c>
      <c r="C1708" s="80" t="s">
        <v>276</v>
      </c>
      <c r="D1708" s="80">
        <f>IFERROR(VLOOKUP(C1708,Base2026!B:D,2,FALSE),"")</f>
        <v>5511246208</v>
      </c>
      <c r="E1708" s="80">
        <v>302159</v>
      </c>
      <c r="F1708" s="96">
        <v>1510</v>
      </c>
      <c r="G1708" s="81">
        <v>46132</v>
      </c>
    </row>
    <row r="1709" spans="1:12" hidden="1" x14ac:dyDescent="0.3">
      <c r="A1709" s="44" t="s">
        <v>17</v>
      </c>
      <c r="B1709" s="44" t="s">
        <v>523</v>
      </c>
      <c r="C1709" s="44" t="str">
        <f>IFERROR(VLOOKUP(B1709,Base2026!A:C,2,FALSE),"")</f>
        <v>SAGITARIO</v>
      </c>
      <c r="D1709" s="44">
        <v>5613536877</v>
      </c>
      <c r="E1709" s="44">
        <v>191747</v>
      </c>
      <c r="F1709" s="87">
        <v>6792</v>
      </c>
      <c r="G1709" s="46">
        <v>46132</v>
      </c>
      <c r="H1709" s="44" t="s">
        <v>1458</v>
      </c>
      <c r="I1709" s="44" t="s">
        <v>1660</v>
      </c>
      <c r="J1709" s="44">
        <v>1</v>
      </c>
    </row>
    <row r="1710" spans="1:12" s="80" customFormat="1" hidden="1" x14ac:dyDescent="0.3">
      <c r="A1710" s="80" t="s">
        <v>17</v>
      </c>
      <c r="B1710" s="80" t="s">
        <v>523</v>
      </c>
      <c r="C1710" s="80" t="str">
        <f>IFERROR(VLOOKUP(B1710,Base2026!A:C,2,FALSE),"")</f>
        <v>SAGITARIO</v>
      </c>
      <c r="D1710" s="80">
        <v>5613536877</v>
      </c>
      <c r="E1710" s="80">
        <v>355448</v>
      </c>
      <c r="F1710" s="96">
        <v>1542</v>
      </c>
      <c r="G1710" s="81">
        <v>46132</v>
      </c>
      <c r="H1710" s="80" t="s">
        <v>1458</v>
      </c>
      <c r="I1710" s="80" t="s">
        <v>1646</v>
      </c>
      <c r="J1710" s="80">
        <v>2</v>
      </c>
    </row>
    <row r="1711" spans="1:12" hidden="1" x14ac:dyDescent="0.3">
      <c r="A1711" s="80" t="s">
        <v>11</v>
      </c>
      <c r="B1711" s="80" t="s">
        <v>1661</v>
      </c>
      <c r="C1711" s="80" t="s">
        <v>897</v>
      </c>
      <c r="D1711" s="80">
        <v>5529210394</v>
      </c>
      <c r="E1711" s="80">
        <v>191859</v>
      </c>
      <c r="F1711" s="96">
        <v>1050</v>
      </c>
      <c r="G1711" s="81">
        <v>46132</v>
      </c>
      <c r="H1711" s="44" t="s">
        <v>1458</v>
      </c>
      <c r="I1711" s="44" t="s">
        <v>1663</v>
      </c>
      <c r="J1711" s="44">
        <v>2</v>
      </c>
    </row>
    <row r="1712" spans="1:12" hidden="1" x14ac:dyDescent="0.3">
      <c r="A1712" s="44" t="s">
        <v>11</v>
      </c>
      <c r="B1712" s="44" t="s">
        <v>340</v>
      </c>
      <c r="C1712" s="44" t="s">
        <v>425</v>
      </c>
      <c r="D1712" s="44">
        <v>5531994500</v>
      </c>
      <c r="E1712" s="44">
        <v>190979</v>
      </c>
      <c r="F1712" s="87">
        <v>136.88</v>
      </c>
      <c r="G1712" s="46">
        <v>46132</v>
      </c>
      <c r="H1712" s="44" t="s">
        <v>1458</v>
      </c>
      <c r="I1712" s="44" t="s">
        <v>1646</v>
      </c>
      <c r="J1712" s="44">
        <v>10</v>
      </c>
      <c r="K1712" s="44" t="s">
        <v>1647</v>
      </c>
      <c r="L1712" s="44">
        <v>2</v>
      </c>
    </row>
    <row r="1713" spans="1:12" s="80" customFormat="1" hidden="1" x14ac:dyDescent="0.3">
      <c r="A1713" s="80" t="s">
        <v>11</v>
      </c>
      <c r="B1713" s="80" t="s">
        <v>340</v>
      </c>
      <c r="C1713" s="80" t="s">
        <v>425</v>
      </c>
      <c r="D1713" s="80">
        <v>5531994500</v>
      </c>
      <c r="E1713" s="80">
        <v>190980</v>
      </c>
      <c r="F1713" s="96">
        <v>4089.48</v>
      </c>
      <c r="G1713" s="81">
        <v>46132</v>
      </c>
      <c r="H1713" s="80" t="s">
        <v>1458</v>
      </c>
      <c r="I1713" s="80" t="s">
        <v>1602</v>
      </c>
      <c r="J1713" s="80">
        <v>2</v>
      </c>
    </row>
    <row r="1714" spans="1:12" hidden="1" x14ac:dyDescent="0.3">
      <c r="A1714" s="44" t="s">
        <v>11</v>
      </c>
      <c r="B1714" s="44" t="s">
        <v>1659</v>
      </c>
      <c r="C1714" s="44" t="s">
        <v>84</v>
      </c>
      <c r="D1714" s="44">
        <v>5572100846</v>
      </c>
      <c r="E1714" s="44">
        <v>302551</v>
      </c>
      <c r="F1714" s="87">
        <v>630</v>
      </c>
      <c r="G1714" s="46">
        <v>46132</v>
      </c>
    </row>
    <row r="1715" spans="1:12" s="80" customFormat="1" hidden="1" x14ac:dyDescent="0.3">
      <c r="A1715" s="44" t="s">
        <v>11</v>
      </c>
      <c r="B1715" s="44" t="s">
        <v>1662</v>
      </c>
      <c r="C1715" s="44" t="s">
        <v>1639</v>
      </c>
      <c r="D1715" s="44">
        <v>5591687019</v>
      </c>
      <c r="E1715" s="44">
        <v>191868</v>
      </c>
      <c r="F1715" s="87">
        <v>1300</v>
      </c>
      <c r="G1715" s="46">
        <v>46132</v>
      </c>
    </row>
    <row r="1716" spans="1:12" hidden="1" x14ac:dyDescent="0.3">
      <c r="A1716" s="44" t="s">
        <v>10</v>
      </c>
      <c r="B1716" s="44" t="s">
        <v>1665</v>
      </c>
      <c r="C1716" s="44" t="s">
        <v>43</v>
      </c>
      <c r="D1716" s="44">
        <v>5514827591</v>
      </c>
      <c r="E1716" s="44">
        <v>192002</v>
      </c>
      <c r="F1716" s="87">
        <v>1575</v>
      </c>
      <c r="G1716" s="46">
        <v>46133</v>
      </c>
    </row>
    <row r="1717" spans="1:12" s="51" customFormat="1" hidden="1" x14ac:dyDescent="0.3">
      <c r="A1717" s="51" t="s">
        <v>10</v>
      </c>
      <c r="B1717" s="51" t="s">
        <v>310</v>
      </c>
      <c r="C1717" s="51" t="str">
        <f>IFERROR(VLOOKUP(B1717,Base2026!A:C,2,FALSE),"")</f>
        <v>EJIDOS DE SAN CRISTOBAL</v>
      </c>
      <c r="D1717" s="51">
        <v>5525363416</v>
      </c>
      <c r="E1717" s="51">
        <v>191248</v>
      </c>
      <c r="F1717" s="68">
        <v>6644.03</v>
      </c>
      <c r="G1717" s="52">
        <v>46133</v>
      </c>
    </row>
    <row r="1718" spans="1:12" hidden="1" x14ac:dyDescent="0.3">
      <c r="A1718" s="44" t="s">
        <v>10</v>
      </c>
      <c r="B1718" s="44" t="s">
        <v>310</v>
      </c>
      <c r="C1718" s="44" t="str">
        <f>IFERROR(VLOOKUP(B1718,Base2026!A:C,2,FALSE),"")</f>
        <v>EJIDOS DE SAN CRISTOBAL</v>
      </c>
      <c r="D1718" s="44">
        <v>5525363416</v>
      </c>
      <c r="E1718" s="44">
        <v>191250</v>
      </c>
      <c r="F1718" s="87">
        <v>2106.7199999999998</v>
      </c>
      <c r="G1718" s="46">
        <v>46133</v>
      </c>
    </row>
    <row r="1719" spans="1:12" s="51" customFormat="1" hidden="1" x14ac:dyDescent="0.3">
      <c r="A1719" s="51" t="s">
        <v>10</v>
      </c>
      <c r="B1719" s="51" t="s">
        <v>310</v>
      </c>
      <c r="C1719" s="51" t="str">
        <f>IFERROR(VLOOKUP(B1719,Base2026!A:C,2,FALSE),"")</f>
        <v>EJIDOS DE SAN CRISTOBAL</v>
      </c>
      <c r="D1719" s="51">
        <v>5525363416</v>
      </c>
      <c r="E1719" s="51">
        <v>191249</v>
      </c>
      <c r="F1719" s="68">
        <v>2775.76</v>
      </c>
      <c r="G1719" s="52">
        <v>46133</v>
      </c>
      <c r="H1719" s="51" t="s">
        <v>1458</v>
      </c>
      <c r="I1719" s="51" t="s">
        <v>1664</v>
      </c>
      <c r="J1719" s="51">
        <v>2</v>
      </c>
    </row>
    <row r="1720" spans="1:12" hidden="1" x14ac:dyDescent="0.3">
      <c r="A1720" s="51" t="s">
        <v>10</v>
      </c>
      <c r="B1720" s="51" t="s">
        <v>122</v>
      </c>
      <c r="C1720" s="51" t="str">
        <f>IFERROR(VLOOKUP(B1720,Base2026!A:C,2,FALSE),"")</f>
        <v>SANTA ISABEL TOLA</v>
      </c>
      <c r="D1720" s="51">
        <v>5526754082</v>
      </c>
      <c r="E1720" s="51">
        <v>355576</v>
      </c>
      <c r="F1720" s="68">
        <v>1950</v>
      </c>
      <c r="G1720" s="52">
        <v>46133</v>
      </c>
    </row>
    <row r="1721" spans="1:12" s="51" customFormat="1" hidden="1" x14ac:dyDescent="0.3">
      <c r="A1721" s="44" t="s">
        <v>10</v>
      </c>
      <c r="B1721" s="44" t="s">
        <v>1666</v>
      </c>
      <c r="C1721" s="44" t="s">
        <v>1386</v>
      </c>
      <c r="D1721" s="44">
        <v>5531894140</v>
      </c>
      <c r="E1721" s="44">
        <v>301908</v>
      </c>
      <c r="F1721" s="87">
        <v>1653</v>
      </c>
      <c r="G1721" s="46">
        <v>46133</v>
      </c>
    </row>
    <row r="1722" spans="1:12" hidden="1" x14ac:dyDescent="0.3">
      <c r="A1722" s="44" t="s">
        <v>10</v>
      </c>
      <c r="B1722" s="44" t="s">
        <v>1668</v>
      </c>
      <c r="C1722" s="44" t="s">
        <v>1669</v>
      </c>
      <c r="D1722" s="44">
        <v>5544900709</v>
      </c>
      <c r="E1722" s="44">
        <v>302601</v>
      </c>
      <c r="F1722" s="87">
        <v>2313</v>
      </c>
      <c r="G1722" s="46">
        <v>46133</v>
      </c>
    </row>
    <row r="1723" spans="1:12" s="51" customFormat="1" hidden="1" x14ac:dyDescent="0.3">
      <c r="A1723" s="44" t="s">
        <v>10</v>
      </c>
      <c r="B1723" s="44" t="s">
        <v>1671</v>
      </c>
      <c r="C1723" s="44" t="s">
        <v>46</v>
      </c>
      <c r="D1723" s="44">
        <v>5551347270</v>
      </c>
      <c r="E1723" s="44">
        <v>302631</v>
      </c>
      <c r="F1723" s="87">
        <v>11010</v>
      </c>
      <c r="G1723" s="46">
        <v>46133</v>
      </c>
    </row>
    <row r="1724" spans="1:12" hidden="1" x14ac:dyDescent="0.3">
      <c r="A1724" s="51" t="s">
        <v>10</v>
      </c>
      <c r="B1724" s="51" t="s">
        <v>1207</v>
      </c>
      <c r="C1724" s="51" t="s">
        <v>43</v>
      </c>
      <c r="D1724" s="51">
        <v>5624162364</v>
      </c>
      <c r="E1724" s="51">
        <v>191878</v>
      </c>
      <c r="F1724" s="68">
        <v>1190</v>
      </c>
      <c r="G1724" s="52">
        <v>46133</v>
      </c>
    </row>
    <row r="1725" spans="1:12" s="51" customFormat="1" hidden="1" x14ac:dyDescent="0.3">
      <c r="A1725" s="51" t="s">
        <v>10</v>
      </c>
      <c r="B1725" s="51" t="s">
        <v>1668</v>
      </c>
      <c r="C1725" s="51" t="s">
        <v>1669</v>
      </c>
      <c r="D1725" s="80" t="s">
        <v>146</v>
      </c>
      <c r="E1725" s="51">
        <v>191985</v>
      </c>
      <c r="F1725" s="68">
        <v>275</v>
      </c>
      <c r="G1725" s="52">
        <v>46133</v>
      </c>
      <c r="H1725" s="51" t="s">
        <v>1458</v>
      </c>
      <c r="I1725" s="51" t="s">
        <v>1667</v>
      </c>
      <c r="J1725" s="51">
        <v>3</v>
      </c>
    </row>
    <row r="1726" spans="1:12" hidden="1" x14ac:dyDescent="0.3">
      <c r="A1726" s="44" t="s">
        <v>1322</v>
      </c>
      <c r="B1726" s="44" t="s">
        <v>1392</v>
      </c>
      <c r="C1726" s="44" t="s">
        <v>923</v>
      </c>
      <c r="D1726" s="48">
        <v>5540809412</v>
      </c>
      <c r="E1726" s="44">
        <v>299911</v>
      </c>
      <c r="F1726" s="87">
        <v>18578</v>
      </c>
      <c r="G1726" s="46">
        <v>46133</v>
      </c>
      <c r="H1726" s="44" t="s">
        <v>1458</v>
      </c>
      <c r="I1726" s="44" t="s">
        <v>1670</v>
      </c>
      <c r="J1726" s="44">
        <v>3</v>
      </c>
    </row>
    <row r="1727" spans="1:12" s="51" customFormat="1" hidden="1" x14ac:dyDescent="0.3">
      <c r="A1727" s="51" t="s">
        <v>1322</v>
      </c>
      <c r="B1727" s="51" t="s">
        <v>1392</v>
      </c>
      <c r="C1727" s="44" t="s">
        <v>923</v>
      </c>
      <c r="D1727" s="48">
        <v>5540809412</v>
      </c>
      <c r="E1727" s="51">
        <v>299918</v>
      </c>
      <c r="F1727" s="68">
        <v>64536.01</v>
      </c>
      <c r="G1727" s="52">
        <v>46133</v>
      </c>
    </row>
    <row r="1728" spans="1:12" hidden="1" x14ac:dyDescent="0.3">
      <c r="A1728" s="44" t="s">
        <v>1322</v>
      </c>
      <c r="B1728" s="44" t="s">
        <v>1392</v>
      </c>
      <c r="C1728" s="44" t="s">
        <v>923</v>
      </c>
      <c r="D1728" s="48">
        <v>5540809412</v>
      </c>
      <c r="E1728" s="44">
        <v>33782</v>
      </c>
      <c r="F1728" s="87">
        <v>20486</v>
      </c>
      <c r="G1728" s="46">
        <v>46133</v>
      </c>
      <c r="H1728" s="44" t="s">
        <v>1458</v>
      </c>
      <c r="I1728" s="44" t="s">
        <v>1584</v>
      </c>
      <c r="J1728" s="44">
        <v>15</v>
      </c>
      <c r="K1728" s="44" t="s">
        <v>1660</v>
      </c>
      <c r="L1728" s="44">
        <v>2</v>
      </c>
    </row>
    <row r="1729" spans="1:7" s="51" customFormat="1" hidden="1" x14ac:dyDescent="0.3">
      <c r="A1729" s="44" t="s">
        <v>11</v>
      </c>
      <c r="B1729" s="44" t="s">
        <v>1673</v>
      </c>
      <c r="C1729" s="44" t="s">
        <v>1672</v>
      </c>
      <c r="D1729" s="44">
        <v>5513648864</v>
      </c>
      <c r="E1729" s="44">
        <v>302147</v>
      </c>
      <c r="F1729" s="87">
        <v>12482.43</v>
      </c>
      <c r="G1729" s="46">
        <v>46133</v>
      </c>
    </row>
    <row r="1730" spans="1:7" hidden="1" x14ac:dyDescent="0.3">
      <c r="A1730" s="51" t="s">
        <v>11</v>
      </c>
      <c r="B1730" s="51" t="s">
        <v>1674</v>
      </c>
      <c r="C1730" s="51" t="s">
        <v>1675</v>
      </c>
      <c r="D1730" s="51">
        <v>5516841620</v>
      </c>
      <c r="E1730" s="51">
        <v>191917</v>
      </c>
      <c r="F1730" s="68">
        <v>10980</v>
      </c>
      <c r="G1730" s="52">
        <v>46133</v>
      </c>
    </row>
    <row r="1731" spans="1:7" s="51" customFormat="1" hidden="1" x14ac:dyDescent="0.3">
      <c r="A1731" s="44" t="s">
        <v>11</v>
      </c>
      <c r="B1731" s="44" t="s">
        <v>1674</v>
      </c>
      <c r="C1731" s="44" t="s">
        <v>1675</v>
      </c>
      <c r="D1731" s="44">
        <v>5516841620</v>
      </c>
      <c r="E1731" s="44">
        <v>34407</v>
      </c>
      <c r="F1731" s="87">
        <v>504</v>
      </c>
      <c r="G1731" s="46">
        <v>46133</v>
      </c>
    </row>
    <row r="1732" spans="1:7" hidden="1" x14ac:dyDescent="0.3">
      <c r="A1732" s="51" t="s">
        <v>11</v>
      </c>
      <c r="B1732" s="51" t="s">
        <v>920</v>
      </c>
      <c r="C1732" s="51" t="str">
        <f>IFERROR(VLOOKUP(B1732,Base2026!A:C,2,FALSE),"")</f>
        <v>LAZARO CARDENAS</v>
      </c>
      <c r="D1732" s="51">
        <v>5518666206</v>
      </c>
      <c r="E1732" s="51">
        <v>190396</v>
      </c>
      <c r="F1732" s="68">
        <v>32307.35</v>
      </c>
      <c r="G1732" s="52">
        <v>46133</v>
      </c>
    </row>
    <row r="1733" spans="1:7" s="51" customFormat="1" hidden="1" x14ac:dyDescent="0.3">
      <c r="A1733" s="44" t="s">
        <v>11</v>
      </c>
      <c r="B1733" s="44" t="s">
        <v>920</v>
      </c>
      <c r="C1733" s="44" t="str">
        <f>IFERROR(VLOOKUP(B1733,Base2026!A:C,2,FALSE),"")</f>
        <v>LAZARO CARDENAS</v>
      </c>
      <c r="D1733" s="44">
        <v>5518666206</v>
      </c>
      <c r="E1733" s="44">
        <v>34163</v>
      </c>
      <c r="F1733" s="87">
        <v>7566</v>
      </c>
      <c r="G1733" s="46">
        <v>46133</v>
      </c>
    </row>
    <row r="1734" spans="1:7" hidden="1" x14ac:dyDescent="0.3">
      <c r="A1734" s="51" t="s">
        <v>11</v>
      </c>
      <c r="B1734" s="51" t="s">
        <v>1121</v>
      </c>
      <c r="C1734" s="51" t="s">
        <v>425</v>
      </c>
      <c r="D1734" s="51">
        <v>5521264126</v>
      </c>
      <c r="E1734" s="51">
        <v>355512</v>
      </c>
      <c r="F1734" s="68">
        <v>1240</v>
      </c>
      <c r="G1734" s="52">
        <v>46133</v>
      </c>
    </row>
    <row r="1735" spans="1:7" s="51" customFormat="1" hidden="1" x14ac:dyDescent="0.3">
      <c r="A1735" s="51" t="s">
        <v>11</v>
      </c>
      <c r="B1735" s="51" t="s">
        <v>1676</v>
      </c>
      <c r="C1735" s="51" t="s">
        <v>119</v>
      </c>
      <c r="D1735" s="51">
        <f>IFERROR(VLOOKUP(C1735,Base2026!B:D,2,FALSE),"")</f>
        <v>5551141444</v>
      </c>
      <c r="E1735" s="51">
        <v>191687</v>
      </c>
      <c r="F1735" s="68">
        <v>3855</v>
      </c>
      <c r="G1735" s="52">
        <v>46133</v>
      </c>
    </row>
    <row r="1736" spans="1:7" hidden="1" x14ac:dyDescent="0.3">
      <c r="A1736" s="44" t="s">
        <v>11</v>
      </c>
      <c r="B1736" s="44" t="s">
        <v>1676</v>
      </c>
      <c r="C1736" s="44" t="s">
        <v>119</v>
      </c>
      <c r="D1736" s="44">
        <f>IFERROR(VLOOKUP(C1736,Base2026!B:D,2,FALSE),"")</f>
        <v>5551141444</v>
      </c>
      <c r="E1736" s="44">
        <v>34366</v>
      </c>
      <c r="F1736" s="87">
        <v>476</v>
      </c>
      <c r="G1736" s="46">
        <v>46133</v>
      </c>
    </row>
    <row r="1737" spans="1:7" s="51" customFormat="1" hidden="1" x14ac:dyDescent="0.3">
      <c r="A1737" s="51" t="s">
        <v>11</v>
      </c>
      <c r="B1737" s="51" t="s">
        <v>1257</v>
      </c>
      <c r="C1737" s="51" t="s">
        <v>113</v>
      </c>
      <c r="D1737" s="51">
        <v>5667905307</v>
      </c>
      <c r="E1737" s="51">
        <v>355341</v>
      </c>
      <c r="F1737" s="68">
        <v>3173.12</v>
      </c>
      <c r="G1737" s="52">
        <v>46133</v>
      </c>
    </row>
    <row r="1738" spans="1:7" hidden="1" x14ac:dyDescent="0.3">
      <c r="A1738" s="44" t="s">
        <v>11</v>
      </c>
      <c r="B1738" s="44" t="s">
        <v>1257</v>
      </c>
      <c r="C1738" s="44" t="s">
        <v>113</v>
      </c>
      <c r="D1738" s="44">
        <v>5667905307</v>
      </c>
      <c r="E1738" s="44">
        <v>191610</v>
      </c>
      <c r="F1738" s="87">
        <v>231</v>
      </c>
      <c r="G1738" s="46">
        <v>46133</v>
      </c>
    </row>
    <row r="1739" spans="1:7" s="109" customFormat="1" hidden="1" x14ac:dyDescent="0.3">
      <c r="A1739" s="44" t="s">
        <v>47</v>
      </c>
      <c r="B1739" s="44" t="s">
        <v>1680</v>
      </c>
      <c r="C1739" s="44" t="s">
        <v>1681</v>
      </c>
      <c r="D1739" s="44">
        <v>5518264474</v>
      </c>
      <c r="E1739" s="44">
        <v>355003</v>
      </c>
      <c r="F1739" s="87">
        <v>4376.8900000000003</v>
      </c>
      <c r="G1739" s="46">
        <v>46134</v>
      </c>
    </row>
    <row r="1740" spans="1:7" hidden="1" x14ac:dyDescent="0.3">
      <c r="A1740" s="109" t="s">
        <v>47</v>
      </c>
      <c r="B1740" s="109" t="s">
        <v>1680</v>
      </c>
      <c r="C1740" s="109" t="s">
        <v>1681</v>
      </c>
      <c r="D1740" s="109">
        <v>5518264474</v>
      </c>
      <c r="E1740" s="109">
        <v>355004</v>
      </c>
      <c r="F1740" s="110">
        <v>17273.240000000002</v>
      </c>
      <c r="G1740" s="111">
        <v>46134</v>
      </c>
    </row>
    <row r="1741" spans="1:7" s="109" customFormat="1" hidden="1" x14ac:dyDescent="0.3">
      <c r="A1741" s="109" t="s">
        <v>47</v>
      </c>
      <c r="B1741" s="109" t="s">
        <v>926</v>
      </c>
      <c r="C1741" s="109" t="s">
        <v>46</v>
      </c>
      <c r="D1741" s="109">
        <v>5557557036</v>
      </c>
      <c r="E1741" s="109">
        <v>192051</v>
      </c>
      <c r="F1741" s="110">
        <v>3694</v>
      </c>
      <c r="G1741" s="111">
        <v>46134</v>
      </c>
    </row>
    <row r="1742" spans="1:7" hidden="1" x14ac:dyDescent="0.3">
      <c r="A1742" s="44" t="s">
        <v>10</v>
      </c>
      <c r="B1742" s="44" t="s">
        <v>1682</v>
      </c>
      <c r="C1742" s="44" t="s">
        <v>28</v>
      </c>
      <c r="D1742" s="44">
        <v>5512288608</v>
      </c>
      <c r="E1742" s="44">
        <v>355228</v>
      </c>
      <c r="F1742" s="87">
        <v>5610</v>
      </c>
      <c r="G1742" s="46">
        <v>46134</v>
      </c>
    </row>
    <row r="1743" spans="1:7" s="109" customFormat="1" hidden="1" x14ac:dyDescent="0.3">
      <c r="A1743" s="109" t="s">
        <v>10</v>
      </c>
      <c r="B1743" s="109" t="s">
        <v>1682</v>
      </c>
      <c r="C1743" s="109" t="s">
        <v>28</v>
      </c>
      <c r="D1743" s="109">
        <v>5512288608</v>
      </c>
      <c r="E1743" s="109">
        <v>302185</v>
      </c>
      <c r="F1743" s="110">
        <v>704</v>
      </c>
      <c r="G1743" s="111">
        <v>46134</v>
      </c>
    </row>
    <row r="1744" spans="1:7" hidden="1" x14ac:dyDescent="0.3">
      <c r="A1744" s="109" t="s">
        <v>10</v>
      </c>
      <c r="B1744" s="109" t="s">
        <v>1677</v>
      </c>
      <c r="C1744" s="109" t="s">
        <v>425</v>
      </c>
      <c r="D1744" s="109">
        <f>IFERROR(VLOOKUP(C1744,Base2026!B:D,2,FALSE),"")</f>
        <v>5517957453</v>
      </c>
      <c r="E1744" s="109">
        <v>191375</v>
      </c>
      <c r="F1744" s="110">
        <v>3852.24</v>
      </c>
      <c r="G1744" s="111">
        <v>46134</v>
      </c>
    </row>
    <row r="1745" spans="1:7" s="109" customFormat="1" hidden="1" x14ac:dyDescent="0.3">
      <c r="A1745" s="44" t="s">
        <v>10</v>
      </c>
      <c r="B1745" s="44" t="s">
        <v>1677</v>
      </c>
      <c r="C1745" s="44" t="s">
        <v>425</v>
      </c>
      <c r="D1745" s="44">
        <f>IFERROR(VLOOKUP(C1745,Base2026!B:D,2,FALSE),"")</f>
        <v>5517957453</v>
      </c>
      <c r="E1745" s="44">
        <v>191384</v>
      </c>
      <c r="F1745" s="87">
        <v>489.52</v>
      </c>
      <c r="G1745" s="46">
        <v>46134</v>
      </c>
    </row>
    <row r="1746" spans="1:7" hidden="1" x14ac:dyDescent="0.3">
      <c r="A1746" s="44" t="s">
        <v>10</v>
      </c>
      <c r="B1746" s="44" t="s">
        <v>398</v>
      </c>
      <c r="C1746" s="44" t="str">
        <f>IFERROR(VLOOKUP(B1746,Base2026!A:C,2,FALSE),"")</f>
        <v>FRANCISCO VILLA</v>
      </c>
      <c r="D1746" s="44">
        <f>IFERROR(VLOOKUP(C1746,Base2026!B:D,2,FALSE),"")</f>
        <v>5535173661</v>
      </c>
      <c r="E1746" s="44">
        <v>191624</v>
      </c>
      <c r="F1746" s="87">
        <v>875.88</v>
      </c>
      <c r="G1746" s="46">
        <v>46134</v>
      </c>
    </row>
    <row r="1747" spans="1:7" s="109" customFormat="1" hidden="1" x14ac:dyDescent="0.3">
      <c r="A1747" s="109" t="s">
        <v>10</v>
      </c>
      <c r="B1747" s="109" t="s">
        <v>1678</v>
      </c>
      <c r="C1747" s="109" t="s">
        <v>1679</v>
      </c>
      <c r="D1747" s="109">
        <v>5551263941</v>
      </c>
      <c r="E1747" s="109">
        <v>355641</v>
      </c>
      <c r="F1747" s="110">
        <v>3000</v>
      </c>
      <c r="G1747" s="111">
        <v>46134</v>
      </c>
    </row>
    <row r="1748" spans="1:7" hidden="1" x14ac:dyDescent="0.3">
      <c r="A1748" s="109" t="s">
        <v>17</v>
      </c>
      <c r="B1748" s="109" t="s">
        <v>523</v>
      </c>
      <c r="C1748" s="109" t="str">
        <f>IFERROR(VLOOKUP(B1748,Base2026!A:C,2,FALSE),"")</f>
        <v>SAGITARIO</v>
      </c>
      <c r="D1748" s="109">
        <f>IFERROR(VLOOKUP(C1748,Base2026!B:D,2,FALSE),"")</f>
        <v>5610186288</v>
      </c>
      <c r="E1748" s="109">
        <v>192080</v>
      </c>
      <c r="F1748" s="110">
        <v>7475</v>
      </c>
      <c r="G1748" s="111">
        <v>46134</v>
      </c>
    </row>
    <row r="1749" spans="1:7" s="109" customFormat="1" hidden="1" x14ac:dyDescent="0.3">
      <c r="A1749" s="44" t="s">
        <v>11</v>
      </c>
      <c r="B1749" s="44" t="s">
        <v>1448</v>
      </c>
      <c r="C1749" s="44" t="s">
        <v>795</v>
      </c>
      <c r="D1749" s="44">
        <v>5566404478</v>
      </c>
      <c r="E1749" s="44">
        <v>355177</v>
      </c>
      <c r="F1749" s="87">
        <v>12799.91</v>
      </c>
      <c r="G1749" s="46">
        <v>46134</v>
      </c>
    </row>
    <row r="1750" spans="1:7" hidden="1" x14ac:dyDescent="0.3">
      <c r="A1750" s="109" t="s">
        <v>11</v>
      </c>
      <c r="B1750" s="109" t="s">
        <v>1683</v>
      </c>
      <c r="C1750" s="109" t="s">
        <v>1684</v>
      </c>
      <c r="D1750" s="109">
        <v>5578413060</v>
      </c>
      <c r="E1750" s="109">
        <v>191260</v>
      </c>
      <c r="F1750" s="110">
        <v>2630</v>
      </c>
      <c r="G1750" s="111">
        <v>46134</v>
      </c>
    </row>
    <row r="1751" spans="1:7" s="109" customFormat="1" hidden="1" x14ac:dyDescent="0.3">
      <c r="A1751" s="44" t="s">
        <v>11</v>
      </c>
      <c r="B1751" s="44" t="s">
        <v>1683</v>
      </c>
      <c r="C1751" s="44" t="s">
        <v>1684</v>
      </c>
      <c r="D1751" s="44">
        <v>5578413060</v>
      </c>
      <c r="E1751" s="44">
        <v>64303</v>
      </c>
      <c r="F1751" s="87">
        <v>304</v>
      </c>
      <c r="G1751" s="46">
        <v>46134</v>
      </c>
    </row>
    <row r="1752" spans="1:7" hidden="1" x14ac:dyDescent="0.3">
      <c r="A1752" s="109" t="s">
        <v>11</v>
      </c>
      <c r="B1752" s="109" t="s">
        <v>1683</v>
      </c>
      <c r="C1752" s="109" t="s">
        <v>1684</v>
      </c>
      <c r="D1752" s="109">
        <v>5578413060</v>
      </c>
      <c r="E1752" s="109">
        <v>191261</v>
      </c>
      <c r="F1752" s="110">
        <v>1882</v>
      </c>
      <c r="G1752" s="111">
        <v>46134</v>
      </c>
    </row>
    <row r="1753" spans="1:7" s="109" customFormat="1" hidden="1" x14ac:dyDescent="0.3">
      <c r="A1753" s="44" t="s">
        <v>11</v>
      </c>
      <c r="B1753" s="44" t="s">
        <v>1683</v>
      </c>
      <c r="C1753" s="44" t="s">
        <v>1684</v>
      </c>
      <c r="D1753" s="44">
        <v>5578413060</v>
      </c>
      <c r="E1753" s="44">
        <v>355174</v>
      </c>
      <c r="F1753" s="87">
        <v>595</v>
      </c>
      <c r="G1753" s="46">
        <v>46134</v>
      </c>
    </row>
    <row r="1754" spans="1:7" hidden="1" x14ac:dyDescent="0.3">
      <c r="A1754" s="60" t="s">
        <v>10</v>
      </c>
      <c r="B1754" s="60" t="s">
        <v>238</v>
      </c>
      <c r="C1754" s="60" t="s">
        <v>771</v>
      </c>
      <c r="D1754" s="60">
        <v>5537411500</v>
      </c>
      <c r="E1754" s="60">
        <v>191823</v>
      </c>
      <c r="F1754" s="79">
        <v>3206.91</v>
      </c>
      <c r="G1754" s="69">
        <v>46135</v>
      </c>
    </row>
    <row r="1755" spans="1:7" s="60" customFormat="1" hidden="1" x14ac:dyDescent="0.3">
      <c r="A1755" s="44" t="s">
        <v>10</v>
      </c>
      <c r="B1755" s="44" t="s">
        <v>238</v>
      </c>
      <c r="C1755" s="44" t="s">
        <v>771</v>
      </c>
      <c r="D1755" s="44">
        <v>5537411500</v>
      </c>
      <c r="E1755" s="44">
        <v>34390</v>
      </c>
      <c r="F1755" s="87">
        <v>176</v>
      </c>
      <c r="G1755" s="46">
        <v>46135</v>
      </c>
    </row>
    <row r="1756" spans="1:7" hidden="1" x14ac:dyDescent="0.3">
      <c r="A1756" s="44" t="s">
        <v>10</v>
      </c>
      <c r="B1756" s="44" t="s">
        <v>1688</v>
      </c>
      <c r="C1756" s="44" t="s">
        <v>806</v>
      </c>
      <c r="D1756" s="44">
        <v>5540881622</v>
      </c>
      <c r="E1756" s="44">
        <v>190974</v>
      </c>
      <c r="F1756" s="87">
        <v>1537</v>
      </c>
      <c r="G1756" s="46">
        <v>46135</v>
      </c>
    </row>
    <row r="1757" spans="1:7" s="60" customFormat="1" hidden="1" x14ac:dyDescent="0.3">
      <c r="A1757" s="60" t="s">
        <v>10</v>
      </c>
      <c r="B1757" s="60" t="s">
        <v>1688</v>
      </c>
      <c r="C1757" s="60" t="s">
        <v>806</v>
      </c>
      <c r="D1757" s="60">
        <v>5540881622</v>
      </c>
      <c r="E1757" s="60">
        <v>355468</v>
      </c>
      <c r="F1757" s="79">
        <v>60.32</v>
      </c>
      <c r="G1757" s="69">
        <v>46135</v>
      </c>
    </row>
    <row r="1758" spans="1:7" hidden="1" x14ac:dyDescent="0.3">
      <c r="A1758" s="60" t="s">
        <v>10</v>
      </c>
      <c r="B1758" s="60" t="s">
        <v>1686</v>
      </c>
      <c r="C1758" s="60" t="s">
        <v>816</v>
      </c>
      <c r="D1758" s="60">
        <v>5549301242</v>
      </c>
      <c r="E1758" s="60">
        <v>302769</v>
      </c>
      <c r="F1758" s="79">
        <v>2347</v>
      </c>
      <c r="G1758" s="69">
        <v>46135</v>
      </c>
    </row>
    <row r="1759" spans="1:7" s="60" customFormat="1" hidden="1" x14ac:dyDescent="0.3">
      <c r="A1759" s="44" t="s">
        <v>10</v>
      </c>
      <c r="B1759" s="44" t="s">
        <v>1686</v>
      </c>
      <c r="C1759" s="44" t="s">
        <v>1630</v>
      </c>
      <c r="D1759" s="44">
        <v>5549301242</v>
      </c>
      <c r="E1759" s="44">
        <v>302730</v>
      </c>
      <c r="F1759" s="87">
        <v>1326</v>
      </c>
      <c r="G1759" s="46">
        <v>46135</v>
      </c>
    </row>
    <row r="1760" spans="1:7" hidden="1" x14ac:dyDescent="0.3">
      <c r="A1760" s="60" t="s">
        <v>10</v>
      </c>
      <c r="B1760" s="60" t="s">
        <v>1687</v>
      </c>
      <c r="C1760" s="60" t="s">
        <v>60</v>
      </c>
      <c r="D1760" s="60">
        <v>5564294398</v>
      </c>
      <c r="E1760" s="60">
        <v>302421</v>
      </c>
      <c r="F1760" s="79">
        <v>3854.63</v>
      </c>
      <c r="G1760" s="69">
        <v>46135</v>
      </c>
    </row>
    <row r="1761" spans="1:7" s="60" customFormat="1" hidden="1" x14ac:dyDescent="0.3">
      <c r="A1761" s="44" t="s">
        <v>10</v>
      </c>
      <c r="B1761" s="44" t="s">
        <v>1685</v>
      </c>
      <c r="C1761" s="44" t="s">
        <v>1653</v>
      </c>
      <c r="D1761" s="44">
        <v>5582145432</v>
      </c>
      <c r="E1761" s="44">
        <v>355075</v>
      </c>
      <c r="F1761" s="87">
        <v>6155.24</v>
      </c>
      <c r="G1761" s="46">
        <v>46135</v>
      </c>
    </row>
    <row r="1762" spans="1:7" hidden="1" x14ac:dyDescent="0.3">
      <c r="A1762" s="60" t="s">
        <v>10</v>
      </c>
      <c r="B1762" s="60" t="s">
        <v>1685</v>
      </c>
      <c r="C1762" s="60" t="s">
        <v>1653</v>
      </c>
      <c r="D1762" s="60">
        <v>5582145432</v>
      </c>
      <c r="E1762" s="60">
        <v>302782</v>
      </c>
      <c r="F1762" s="79">
        <v>752.98</v>
      </c>
      <c r="G1762" s="69">
        <v>46135</v>
      </c>
    </row>
    <row r="1763" spans="1:7" s="60" customFormat="1" hidden="1" x14ac:dyDescent="0.3">
      <c r="A1763" s="44" t="s">
        <v>10</v>
      </c>
      <c r="B1763" s="44" t="s">
        <v>1685</v>
      </c>
      <c r="C1763" s="44" t="s">
        <v>1653</v>
      </c>
      <c r="D1763" s="44">
        <v>5582145432</v>
      </c>
      <c r="E1763" s="44">
        <v>302684</v>
      </c>
      <c r="F1763" s="87">
        <v>829.99</v>
      </c>
      <c r="G1763" s="46">
        <v>46135</v>
      </c>
    </row>
    <row r="1764" spans="1:7" hidden="1" x14ac:dyDescent="0.3">
      <c r="A1764" s="44" t="s">
        <v>17</v>
      </c>
      <c r="B1764" s="44" t="s">
        <v>1689</v>
      </c>
      <c r="C1764" s="44" t="s">
        <v>1690</v>
      </c>
      <c r="D1764" s="44">
        <v>5533811888</v>
      </c>
      <c r="E1764" s="44">
        <v>355567</v>
      </c>
      <c r="F1764" s="87">
        <v>3015</v>
      </c>
      <c r="G1764" s="46">
        <v>46135</v>
      </c>
    </row>
    <row r="1765" spans="1:7" s="60" customFormat="1" hidden="1" x14ac:dyDescent="0.3">
      <c r="A1765" s="60" t="s">
        <v>17</v>
      </c>
      <c r="B1765" s="60" t="s">
        <v>1689</v>
      </c>
      <c r="C1765" s="60" t="s">
        <v>1690</v>
      </c>
      <c r="D1765" s="60">
        <v>5533811888</v>
      </c>
      <c r="E1765" s="60">
        <v>302232</v>
      </c>
      <c r="F1765" s="79">
        <v>336</v>
      </c>
      <c r="G1765" s="69">
        <v>46135</v>
      </c>
    </row>
    <row r="1766" spans="1:7" hidden="1" x14ac:dyDescent="0.3">
      <c r="A1766" s="44" t="s">
        <v>17</v>
      </c>
      <c r="B1766" s="44" t="s">
        <v>1689</v>
      </c>
      <c r="C1766" s="44" t="s">
        <v>1690</v>
      </c>
      <c r="D1766" s="44">
        <v>5533811888</v>
      </c>
      <c r="E1766" s="44">
        <v>355568</v>
      </c>
      <c r="F1766" s="87">
        <v>1950</v>
      </c>
      <c r="G1766" s="46">
        <v>46135</v>
      </c>
    </row>
    <row r="1767" spans="1:7" s="60" customFormat="1" hidden="1" x14ac:dyDescent="0.3">
      <c r="A1767" s="60" t="s">
        <v>17</v>
      </c>
      <c r="B1767" s="60" t="s">
        <v>1689</v>
      </c>
      <c r="C1767" s="60" t="s">
        <v>1690</v>
      </c>
      <c r="D1767" s="60">
        <v>5533811888</v>
      </c>
      <c r="E1767" s="60">
        <v>302233</v>
      </c>
      <c r="F1767" s="79">
        <v>180</v>
      </c>
      <c r="G1767" s="69">
        <v>46135</v>
      </c>
    </row>
    <row r="1768" spans="1:7" hidden="1" x14ac:dyDescent="0.3">
      <c r="A1768" s="44" t="s">
        <v>17</v>
      </c>
      <c r="B1768" s="44" t="s">
        <v>1689</v>
      </c>
      <c r="C1768" s="44" t="s">
        <v>1690</v>
      </c>
      <c r="D1768" s="44">
        <v>5533811888</v>
      </c>
      <c r="E1768" s="44">
        <v>355569</v>
      </c>
      <c r="F1768" s="87">
        <v>800</v>
      </c>
      <c r="G1768" s="46">
        <v>46135</v>
      </c>
    </row>
    <row r="1769" spans="1:7" s="60" customFormat="1" hidden="1" x14ac:dyDescent="0.3">
      <c r="A1769" s="44" t="s">
        <v>17</v>
      </c>
      <c r="B1769" s="44" t="s">
        <v>1693</v>
      </c>
      <c r="C1769" s="44" t="s">
        <v>74</v>
      </c>
      <c r="D1769" s="44">
        <v>5546111868</v>
      </c>
      <c r="E1769" s="44">
        <v>192222</v>
      </c>
      <c r="F1769" s="87">
        <v>3016</v>
      </c>
      <c r="G1769" s="46">
        <v>46135</v>
      </c>
    </row>
    <row r="1770" spans="1:7" hidden="1" x14ac:dyDescent="0.3">
      <c r="A1770" s="44" t="s">
        <v>17</v>
      </c>
      <c r="B1770" s="44" t="s">
        <v>1694</v>
      </c>
      <c r="C1770" s="44" t="s">
        <v>65</v>
      </c>
      <c r="D1770" s="44">
        <v>5571363399</v>
      </c>
      <c r="E1770" s="44">
        <v>355446</v>
      </c>
      <c r="F1770" s="87">
        <v>5969.24</v>
      </c>
      <c r="G1770" s="46">
        <v>46135</v>
      </c>
    </row>
    <row r="1771" spans="1:7" s="60" customFormat="1" hidden="1" x14ac:dyDescent="0.3">
      <c r="A1771" s="60" t="s">
        <v>17</v>
      </c>
      <c r="B1771" s="60" t="s">
        <v>625</v>
      </c>
      <c r="C1771" s="60" t="s">
        <v>117</v>
      </c>
      <c r="D1771" s="60">
        <v>5578942575</v>
      </c>
      <c r="E1771" s="60">
        <v>355589</v>
      </c>
      <c r="F1771" s="79">
        <v>3094</v>
      </c>
      <c r="G1771" s="69">
        <v>46135</v>
      </c>
    </row>
    <row r="1772" spans="1:7" hidden="1" x14ac:dyDescent="0.3">
      <c r="A1772" s="60" t="s">
        <v>17</v>
      </c>
      <c r="B1772" s="60" t="s">
        <v>186</v>
      </c>
      <c r="C1772" s="60" t="str">
        <f>IFERROR(VLOOKUP(B1772,Base2026!A:C,2,FALSE),"")</f>
        <v>CASAS ALEMAN</v>
      </c>
      <c r="D1772" s="60">
        <v>5610944519</v>
      </c>
      <c r="E1772" s="60">
        <v>191993</v>
      </c>
      <c r="F1772" s="79">
        <v>5339</v>
      </c>
      <c r="G1772" s="69">
        <v>46135</v>
      </c>
    </row>
    <row r="1773" spans="1:7" s="60" customFormat="1" hidden="1" x14ac:dyDescent="0.3">
      <c r="A1773" s="44" t="s">
        <v>17</v>
      </c>
      <c r="B1773" s="44" t="s">
        <v>186</v>
      </c>
      <c r="C1773" s="44" t="str">
        <f>IFERROR(VLOOKUP(B1773,Base2026!A:C,2,FALSE),"")</f>
        <v>CASAS ALEMAN</v>
      </c>
      <c r="D1773" s="44">
        <v>5610944519</v>
      </c>
      <c r="E1773" s="44">
        <v>34118</v>
      </c>
      <c r="F1773" s="87">
        <v>168</v>
      </c>
      <c r="G1773" s="46">
        <v>46135</v>
      </c>
    </row>
    <row r="1774" spans="1:7" hidden="1" x14ac:dyDescent="0.3">
      <c r="A1774" s="60" t="s">
        <v>17</v>
      </c>
      <c r="B1774" s="60" t="s">
        <v>1691</v>
      </c>
      <c r="C1774" s="60" t="s">
        <v>1692</v>
      </c>
      <c r="D1774" s="60">
        <v>5612830956</v>
      </c>
      <c r="E1774" s="60">
        <v>302228</v>
      </c>
      <c r="F1774" s="79">
        <v>6882.4</v>
      </c>
      <c r="G1774" s="69">
        <v>46135</v>
      </c>
    </row>
    <row r="1775" spans="1:7" s="60" customFormat="1" hidden="1" x14ac:dyDescent="0.3">
      <c r="A1775" s="60" t="s">
        <v>11</v>
      </c>
      <c r="B1775" s="60" t="s">
        <v>1315</v>
      </c>
      <c r="C1775" s="60" t="s">
        <v>138</v>
      </c>
      <c r="D1775" s="60">
        <v>5514851554</v>
      </c>
      <c r="E1775" s="60">
        <v>191484</v>
      </c>
      <c r="F1775" s="79">
        <v>1107.04</v>
      </c>
      <c r="G1775" s="69">
        <v>46135</v>
      </c>
    </row>
    <row r="1776" spans="1:7" hidden="1" x14ac:dyDescent="0.3">
      <c r="A1776" s="44" t="s">
        <v>11</v>
      </c>
      <c r="B1776" s="44" t="s">
        <v>579</v>
      </c>
      <c r="C1776" s="44" t="str">
        <f>IFERROR(VLOOKUP(B1776,Base2026!A:C,2,FALSE),"")</f>
        <v>CHAMIZALITO</v>
      </c>
      <c r="D1776" s="44">
        <f>IFERROR(VLOOKUP(C1776,Base2026!B:D,2,FALSE),"")</f>
        <v>5515369770</v>
      </c>
      <c r="E1776" s="44">
        <v>191364</v>
      </c>
      <c r="F1776" s="87">
        <v>10982.32</v>
      </c>
      <c r="G1776" s="46">
        <v>46135</v>
      </c>
    </row>
    <row r="1777" spans="1:12" s="60" customFormat="1" hidden="1" x14ac:dyDescent="0.3">
      <c r="A1777" s="44" t="s">
        <v>11</v>
      </c>
      <c r="B1777" s="44" t="s">
        <v>1696</v>
      </c>
      <c r="C1777" s="44" t="s">
        <v>1697</v>
      </c>
      <c r="D1777" s="44">
        <v>5531213507</v>
      </c>
      <c r="E1777" s="44">
        <v>355386</v>
      </c>
      <c r="F1777" s="87">
        <v>3130</v>
      </c>
      <c r="G1777" s="46">
        <v>46135</v>
      </c>
    </row>
    <row r="1778" spans="1:12" hidden="1" x14ac:dyDescent="0.3">
      <c r="A1778" s="60" t="s">
        <v>11</v>
      </c>
      <c r="B1778" s="60" t="s">
        <v>1696</v>
      </c>
      <c r="C1778" s="60" t="s">
        <v>1697</v>
      </c>
      <c r="D1778" s="60">
        <v>5531213507</v>
      </c>
      <c r="E1778" s="60">
        <v>355387</v>
      </c>
      <c r="F1778" s="79">
        <v>10302.23</v>
      </c>
      <c r="G1778" s="69">
        <v>46135</v>
      </c>
    </row>
    <row r="1779" spans="1:12" s="60" customFormat="1" hidden="1" x14ac:dyDescent="0.3">
      <c r="A1779" s="44" t="s">
        <v>11</v>
      </c>
      <c r="B1779" s="44" t="s">
        <v>1696</v>
      </c>
      <c r="C1779" s="44" t="s">
        <v>1697</v>
      </c>
      <c r="D1779" s="44">
        <v>5531213507</v>
      </c>
      <c r="E1779" s="44">
        <v>355385</v>
      </c>
      <c r="F1779" s="87">
        <v>4513.5</v>
      </c>
      <c r="G1779" s="46">
        <v>46135</v>
      </c>
    </row>
    <row r="1780" spans="1:12" hidden="1" x14ac:dyDescent="0.3">
      <c r="A1780" s="60" t="s">
        <v>11</v>
      </c>
      <c r="B1780" s="60" t="s">
        <v>1695</v>
      </c>
      <c r="C1780" s="60" t="s">
        <v>32</v>
      </c>
      <c r="D1780" s="60">
        <v>5547857530</v>
      </c>
      <c r="E1780" s="60">
        <v>192203</v>
      </c>
      <c r="F1780" s="79">
        <v>870</v>
      </c>
      <c r="G1780" s="69">
        <v>46135</v>
      </c>
    </row>
    <row r="1781" spans="1:12" s="60" customFormat="1" hidden="1" x14ac:dyDescent="0.3">
      <c r="A1781" s="44" t="s">
        <v>11</v>
      </c>
      <c r="B1781" s="44" t="s">
        <v>325</v>
      </c>
      <c r="C1781" s="44" t="s">
        <v>16</v>
      </c>
      <c r="D1781" s="44">
        <v>5613869199</v>
      </c>
      <c r="E1781" s="44">
        <v>191369</v>
      </c>
      <c r="F1781" s="87">
        <v>1661.99</v>
      </c>
      <c r="G1781" s="46">
        <v>46135</v>
      </c>
    </row>
    <row r="1782" spans="1:12" hidden="1" x14ac:dyDescent="0.3">
      <c r="A1782" s="60" t="s">
        <v>11</v>
      </c>
      <c r="B1782" s="60" t="s">
        <v>325</v>
      </c>
      <c r="C1782" s="60" t="s">
        <v>16</v>
      </c>
      <c r="D1782" s="60">
        <v>5613869199</v>
      </c>
      <c r="E1782" s="60">
        <v>34325</v>
      </c>
      <c r="F1782" s="79">
        <v>474</v>
      </c>
      <c r="G1782" s="69">
        <v>46135</v>
      </c>
    </row>
    <row r="1783" spans="1:12" s="76" customFormat="1" hidden="1" x14ac:dyDescent="0.3">
      <c r="A1783" s="76" t="s">
        <v>47</v>
      </c>
      <c r="B1783" s="76" t="s">
        <v>308</v>
      </c>
      <c r="C1783" s="76" t="s">
        <v>648</v>
      </c>
      <c r="D1783" s="76">
        <v>5527440379</v>
      </c>
      <c r="E1783" s="76">
        <v>191381</v>
      </c>
      <c r="F1783" s="95">
        <v>13282.78</v>
      </c>
      <c r="G1783" s="77">
        <v>46136</v>
      </c>
      <c r="H1783" s="76" t="s">
        <v>1458</v>
      </c>
      <c r="I1783" s="76" t="s">
        <v>1700</v>
      </c>
      <c r="J1783" s="76">
        <v>3</v>
      </c>
      <c r="K1783" s="76" t="s">
        <v>1701</v>
      </c>
      <c r="L1783" s="76">
        <v>1</v>
      </c>
    </row>
    <row r="1784" spans="1:12" hidden="1" x14ac:dyDescent="0.3">
      <c r="A1784" s="44" t="s">
        <v>47</v>
      </c>
      <c r="B1784" s="44" t="s">
        <v>308</v>
      </c>
      <c r="C1784" s="44" t="s">
        <v>648</v>
      </c>
      <c r="D1784" s="44">
        <v>5527440379</v>
      </c>
      <c r="E1784" s="44">
        <v>191382</v>
      </c>
      <c r="F1784" s="87">
        <v>2154</v>
      </c>
      <c r="G1784" s="46">
        <v>46136</v>
      </c>
      <c r="H1784" s="44" t="s">
        <v>1458</v>
      </c>
      <c r="I1784" s="44" t="s">
        <v>1703</v>
      </c>
      <c r="J1784" s="44">
        <v>4</v>
      </c>
    </row>
    <row r="1785" spans="1:12" hidden="1" x14ac:dyDescent="0.3">
      <c r="A1785" s="44" t="s">
        <v>47</v>
      </c>
      <c r="B1785" s="44" t="s">
        <v>1555</v>
      </c>
      <c r="C1785" s="44" t="s">
        <v>84</v>
      </c>
      <c r="D1785" s="44">
        <v>5545355900</v>
      </c>
      <c r="E1785" s="44">
        <v>34413</v>
      </c>
      <c r="F1785" s="87">
        <v>192</v>
      </c>
      <c r="G1785" s="46">
        <v>46136</v>
      </c>
    </row>
    <row r="1786" spans="1:12" s="76" customFormat="1" hidden="1" x14ac:dyDescent="0.3">
      <c r="A1786" s="76" t="s">
        <v>47</v>
      </c>
      <c r="B1786" s="76" t="s">
        <v>1555</v>
      </c>
      <c r="C1786" s="76" t="s">
        <v>84</v>
      </c>
      <c r="D1786" s="76">
        <v>5545355900</v>
      </c>
      <c r="E1786" s="76">
        <v>191978</v>
      </c>
      <c r="F1786" s="95">
        <v>766</v>
      </c>
      <c r="G1786" s="77">
        <v>46136</v>
      </c>
    </row>
    <row r="1787" spans="1:12" hidden="1" x14ac:dyDescent="0.3">
      <c r="A1787" s="44" t="s">
        <v>47</v>
      </c>
      <c r="B1787" s="44" t="s">
        <v>57</v>
      </c>
      <c r="C1787" s="44" t="str">
        <f>IFERROR(VLOOKUP(B1787,Base2026!A:C,2,FALSE),"")</f>
        <v>EJE 8</v>
      </c>
      <c r="D1787" s="80">
        <v>5554550976</v>
      </c>
      <c r="E1787" s="44">
        <v>302249</v>
      </c>
      <c r="F1787" s="87">
        <v>6268.59</v>
      </c>
      <c r="G1787" s="46">
        <v>46136</v>
      </c>
    </row>
    <row r="1788" spans="1:12" s="76" customFormat="1" hidden="1" x14ac:dyDescent="0.3">
      <c r="A1788" s="76" t="s">
        <v>47</v>
      </c>
      <c r="B1788" s="76" t="s">
        <v>57</v>
      </c>
      <c r="C1788" s="76" t="str">
        <f>IFERROR(VLOOKUP(B1788,Base2026!A:C,2,FALSE),"")</f>
        <v>EJE 8</v>
      </c>
      <c r="D1788" s="80">
        <v>5554550976</v>
      </c>
      <c r="E1788" s="76">
        <v>302379</v>
      </c>
      <c r="F1788" s="95">
        <v>6838.32</v>
      </c>
      <c r="G1788" s="77">
        <v>46136</v>
      </c>
    </row>
    <row r="1789" spans="1:12" hidden="1" x14ac:dyDescent="0.3">
      <c r="A1789" s="44" t="s">
        <v>47</v>
      </c>
      <c r="B1789" s="44" t="s">
        <v>57</v>
      </c>
      <c r="C1789" s="44" t="str">
        <f>IFERROR(VLOOKUP(B1789,Base2026!A:C,2,FALSE),"")</f>
        <v>EJE 8</v>
      </c>
      <c r="D1789" s="80">
        <v>5554550976</v>
      </c>
      <c r="E1789" s="44">
        <v>302248</v>
      </c>
      <c r="F1789" s="87">
        <v>1504.56</v>
      </c>
      <c r="G1789" s="46">
        <v>46136</v>
      </c>
    </row>
    <row r="1790" spans="1:12" s="76" customFormat="1" hidden="1" x14ac:dyDescent="0.3">
      <c r="A1790" s="44" t="s">
        <v>47</v>
      </c>
      <c r="B1790" s="44" t="s">
        <v>432</v>
      </c>
      <c r="C1790" s="44" t="str">
        <f>IFERROR(VLOOKUP(B1790,Base2026!A:C,2,FALSE),"")</f>
        <v>HEROES DE INDEPENDENCIA</v>
      </c>
      <c r="D1790" s="44">
        <f>IFERROR(VLOOKUP(C1790,Base2026!B:D,2,FALSE),"")</f>
        <v>5614639380</v>
      </c>
      <c r="E1790" s="44">
        <v>355488</v>
      </c>
      <c r="F1790" s="87">
        <v>6366</v>
      </c>
      <c r="G1790" s="46">
        <v>46136</v>
      </c>
    </row>
    <row r="1791" spans="1:12" hidden="1" x14ac:dyDescent="0.3">
      <c r="A1791" s="76" t="s">
        <v>47</v>
      </c>
      <c r="B1791" s="76" t="s">
        <v>432</v>
      </c>
      <c r="C1791" s="76" t="str">
        <f>IFERROR(VLOOKUP(B1791,Base2026!A:C,2,FALSE),"")</f>
        <v>HEROES DE INDEPENDENCIA</v>
      </c>
      <c r="D1791" s="76">
        <f>IFERROR(VLOOKUP(C1791,Base2026!B:D,2,FALSE),"")</f>
        <v>5614639380</v>
      </c>
      <c r="E1791" s="76">
        <v>302220</v>
      </c>
      <c r="F1791" s="95">
        <v>1042</v>
      </c>
      <c r="G1791" s="77">
        <v>46136</v>
      </c>
    </row>
    <row r="1792" spans="1:12" s="76" customFormat="1" hidden="1" x14ac:dyDescent="0.3">
      <c r="A1792" s="44" t="s">
        <v>10</v>
      </c>
      <c r="B1792" s="44" t="s">
        <v>1624</v>
      </c>
      <c r="C1792" s="44" t="s">
        <v>41</v>
      </c>
      <c r="D1792" s="44">
        <v>5535078507</v>
      </c>
      <c r="E1792" s="44">
        <v>191394</v>
      </c>
      <c r="F1792" s="87">
        <v>12136</v>
      </c>
      <c r="G1792" s="46">
        <v>46136</v>
      </c>
    </row>
    <row r="1793" spans="1:7" hidden="1" x14ac:dyDescent="0.3">
      <c r="A1793" s="76" t="s">
        <v>10</v>
      </c>
      <c r="B1793" s="76" t="s">
        <v>1624</v>
      </c>
      <c r="C1793" s="76" t="s">
        <v>41</v>
      </c>
      <c r="D1793" s="76">
        <v>5535078507</v>
      </c>
      <c r="E1793" s="76">
        <v>34332</v>
      </c>
      <c r="F1793" s="95">
        <v>1323</v>
      </c>
      <c r="G1793" s="77">
        <v>46136</v>
      </c>
    </row>
    <row r="1794" spans="1:7" s="76" customFormat="1" hidden="1" x14ac:dyDescent="0.3">
      <c r="A1794" s="44" t="s">
        <v>10</v>
      </c>
      <c r="B1794" s="44" t="s">
        <v>620</v>
      </c>
      <c r="C1794" s="44" t="str">
        <f>IFERROR(VLOOKUP(B1794,Base2026!A:C,2,FALSE),"")</f>
        <v>SANTA ISABEL TOLA</v>
      </c>
      <c r="D1794" s="44">
        <v>5539252389</v>
      </c>
      <c r="E1794" s="44">
        <v>191502</v>
      </c>
      <c r="F1794" s="87">
        <v>9426.59</v>
      </c>
      <c r="G1794" s="46">
        <v>46136</v>
      </c>
    </row>
    <row r="1795" spans="1:7" hidden="1" x14ac:dyDescent="0.3">
      <c r="A1795" s="76" t="s">
        <v>10</v>
      </c>
      <c r="B1795" s="76" t="s">
        <v>620</v>
      </c>
      <c r="C1795" s="76" t="str">
        <f>IFERROR(VLOOKUP(B1795,Base2026!A:C,2,FALSE),"")</f>
        <v>SANTA ISABEL TOLA</v>
      </c>
      <c r="D1795" s="76">
        <v>5539252389</v>
      </c>
      <c r="E1795" s="76">
        <v>191503</v>
      </c>
      <c r="F1795" s="95">
        <v>430</v>
      </c>
      <c r="G1795" s="77">
        <v>46136</v>
      </c>
    </row>
    <row r="1796" spans="1:7" s="76" customFormat="1" hidden="1" x14ac:dyDescent="0.3">
      <c r="A1796" s="44" t="s">
        <v>10</v>
      </c>
      <c r="B1796" s="44" t="s">
        <v>1608</v>
      </c>
      <c r="C1796" s="44" t="s">
        <v>60</v>
      </c>
      <c r="D1796" s="44">
        <v>5561446082</v>
      </c>
      <c r="E1796" s="44">
        <v>192415</v>
      </c>
      <c r="F1796" s="87">
        <v>1190</v>
      </c>
      <c r="G1796" s="46">
        <v>46136</v>
      </c>
    </row>
    <row r="1797" spans="1:7" hidden="1" x14ac:dyDescent="0.3">
      <c r="A1797" s="76" t="s">
        <v>10</v>
      </c>
      <c r="B1797" s="76" t="s">
        <v>1383</v>
      </c>
      <c r="C1797" s="76" t="s">
        <v>1712</v>
      </c>
      <c r="D1797" s="76">
        <v>5566241545</v>
      </c>
      <c r="E1797" s="76">
        <v>302835</v>
      </c>
      <c r="F1797" s="95">
        <v>6909</v>
      </c>
      <c r="G1797" s="77">
        <v>46136</v>
      </c>
    </row>
    <row r="1798" spans="1:7" s="76" customFormat="1" hidden="1" x14ac:dyDescent="0.3">
      <c r="A1798" s="44" t="s">
        <v>10</v>
      </c>
      <c r="B1798" s="44" t="s">
        <v>1513</v>
      </c>
      <c r="C1798" s="44" t="s">
        <v>225</v>
      </c>
      <c r="D1798" s="44">
        <v>5579994084</v>
      </c>
      <c r="E1798" s="44">
        <v>302582</v>
      </c>
      <c r="F1798" s="87">
        <v>4283.28</v>
      </c>
      <c r="G1798" s="46">
        <v>46136</v>
      </c>
    </row>
    <row r="1799" spans="1:7" hidden="1" x14ac:dyDescent="0.3">
      <c r="A1799" s="76" t="s">
        <v>10</v>
      </c>
      <c r="B1799" s="76" t="s">
        <v>1714</v>
      </c>
      <c r="C1799" s="76" t="s">
        <v>46</v>
      </c>
      <c r="D1799" s="76">
        <v>5586772887</v>
      </c>
      <c r="E1799" s="76">
        <v>355421</v>
      </c>
      <c r="F1799" s="95">
        <v>9016</v>
      </c>
      <c r="G1799" s="77">
        <v>46136</v>
      </c>
    </row>
    <row r="1800" spans="1:7" s="76" customFormat="1" hidden="1" x14ac:dyDescent="0.3">
      <c r="A1800" s="44" t="s">
        <v>10</v>
      </c>
      <c r="B1800" s="44" t="s">
        <v>1714</v>
      </c>
      <c r="C1800" s="44" t="s">
        <v>46</v>
      </c>
      <c r="D1800" s="44">
        <v>5586772887</v>
      </c>
      <c r="E1800" s="44">
        <v>302213</v>
      </c>
      <c r="F1800" s="87">
        <v>3432</v>
      </c>
      <c r="G1800" s="46">
        <v>46136</v>
      </c>
    </row>
    <row r="1801" spans="1:7" hidden="1" x14ac:dyDescent="0.3">
      <c r="A1801" s="44" t="s">
        <v>17</v>
      </c>
      <c r="B1801" s="44" t="s">
        <v>1709</v>
      </c>
      <c r="C1801" s="44" t="s">
        <v>23</v>
      </c>
      <c r="D1801" s="44">
        <v>5528502753</v>
      </c>
      <c r="E1801" s="44">
        <v>355190</v>
      </c>
      <c r="F1801" s="87">
        <v>7035.32</v>
      </c>
      <c r="G1801" s="46">
        <v>46136</v>
      </c>
    </row>
    <row r="1802" spans="1:7" s="76" customFormat="1" hidden="1" x14ac:dyDescent="0.3">
      <c r="A1802" s="44" t="s">
        <v>17</v>
      </c>
      <c r="B1802" s="44" t="s">
        <v>1711</v>
      </c>
      <c r="C1802" s="44" t="s">
        <v>902</v>
      </c>
      <c r="D1802" s="44">
        <v>5535796283</v>
      </c>
      <c r="E1802" s="44">
        <v>191821</v>
      </c>
      <c r="F1802" s="87">
        <v>6680</v>
      </c>
      <c r="G1802" s="46">
        <v>46136</v>
      </c>
    </row>
    <row r="1803" spans="1:7" hidden="1" x14ac:dyDescent="0.3">
      <c r="A1803" s="76" t="s">
        <v>17</v>
      </c>
      <c r="B1803" s="76" t="s">
        <v>1711</v>
      </c>
      <c r="C1803" s="76" t="s">
        <v>902</v>
      </c>
      <c r="D1803" s="76">
        <v>5535796283</v>
      </c>
      <c r="E1803" s="76">
        <v>34389</v>
      </c>
      <c r="F1803" s="95">
        <v>1352</v>
      </c>
      <c r="G1803" s="77">
        <v>46136</v>
      </c>
    </row>
    <row r="1804" spans="1:7" s="76" customFormat="1" hidden="1" x14ac:dyDescent="0.3">
      <c r="A1804" s="76" t="s">
        <v>17</v>
      </c>
      <c r="B1804" s="76" t="s">
        <v>158</v>
      </c>
      <c r="C1804" s="76" t="str">
        <f>IFERROR(VLOOKUP(B1804,Base2026!A:C,2,FALSE),"")</f>
        <v>PLAZAS DE ARAGON</v>
      </c>
      <c r="D1804" s="76">
        <f>IFERROR(VLOOKUP(C1804,Base2026!B:D,2,FALSE),"")</f>
        <v>5570826626</v>
      </c>
      <c r="E1804" s="76">
        <v>302298</v>
      </c>
      <c r="F1804" s="95">
        <v>8004.12</v>
      </c>
      <c r="G1804" s="77">
        <v>46136</v>
      </c>
    </row>
    <row r="1805" spans="1:7" hidden="1" x14ac:dyDescent="0.3">
      <c r="A1805" s="76" t="s">
        <v>17</v>
      </c>
      <c r="B1805" s="76" t="s">
        <v>22</v>
      </c>
      <c r="C1805" s="76" t="s">
        <v>1710</v>
      </c>
      <c r="D1805" s="76">
        <v>5572124980</v>
      </c>
      <c r="E1805" s="76">
        <v>34324</v>
      </c>
      <c r="F1805" s="95">
        <v>99</v>
      </c>
      <c r="G1805" s="77">
        <v>46136</v>
      </c>
    </row>
    <row r="1806" spans="1:7" s="76" customFormat="1" hidden="1" x14ac:dyDescent="0.3">
      <c r="A1806" s="44" t="s">
        <v>17</v>
      </c>
      <c r="B1806" s="44" t="s">
        <v>22</v>
      </c>
      <c r="C1806" s="44" t="s">
        <v>1710</v>
      </c>
      <c r="D1806" s="44">
        <v>5572124980</v>
      </c>
      <c r="E1806" s="44">
        <v>191367</v>
      </c>
      <c r="F1806" s="87">
        <v>870</v>
      </c>
      <c r="G1806" s="46">
        <v>46136</v>
      </c>
    </row>
    <row r="1807" spans="1:7" hidden="1" x14ac:dyDescent="0.3">
      <c r="A1807" s="76" t="s">
        <v>17</v>
      </c>
      <c r="B1807" s="76" t="s">
        <v>22</v>
      </c>
      <c r="C1807" s="76" t="s">
        <v>1710</v>
      </c>
      <c r="D1807" s="76">
        <v>5572124980</v>
      </c>
      <c r="E1807" s="76">
        <v>34321</v>
      </c>
      <c r="F1807" s="95">
        <v>144</v>
      </c>
      <c r="G1807" s="77">
        <v>46136</v>
      </c>
    </row>
    <row r="1808" spans="1:7" s="76" customFormat="1" hidden="1" x14ac:dyDescent="0.3">
      <c r="A1808" s="44" t="s">
        <v>17</v>
      </c>
      <c r="B1808" s="44" t="s">
        <v>22</v>
      </c>
      <c r="C1808" s="44" t="s">
        <v>1710</v>
      </c>
      <c r="D1808" s="44">
        <v>5572124980</v>
      </c>
      <c r="E1808" s="44">
        <v>34320</v>
      </c>
      <c r="F1808" s="87">
        <v>540</v>
      </c>
      <c r="G1808" s="46">
        <v>46136</v>
      </c>
    </row>
    <row r="1809" spans="1:8" hidden="1" x14ac:dyDescent="0.3">
      <c r="A1809" s="76" t="s">
        <v>17</v>
      </c>
      <c r="B1809" s="76" t="s">
        <v>22</v>
      </c>
      <c r="C1809" s="76" t="s">
        <v>1710</v>
      </c>
      <c r="D1809" s="76">
        <v>5572124980</v>
      </c>
      <c r="E1809" s="76">
        <v>191355</v>
      </c>
      <c r="F1809" s="95">
        <v>1934</v>
      </c>
      <c r="G1809" s="77">
        <v>46136</v>
      </c>
    </row>
    <row r="1810" spans="1:8" s="76" customFormat="1" hidden="1" x14ac:dyDescent="0.3">
      <c r="A1810" s="44" t="s">
        <v>17</v>
      </c>
      <c r="B1810" s="44" t="s">
        <v>22</v>
      </c>
      <c r="C1810" s="44" t="s">
        <v>1710</v>
      </c>
      <c r="D1810" s="44">
        <v>5572124980</v>
      </c>
      <c r="E1810" s="44">
        <v>191354</v>
      </c>
      <c r="F1810" s="87">
        <v>2254</v>
      </c>
      <c r="G1810" s="46">
        <v>46136</v>
      </c>
    </row>
    <row r="1811" spans="1:8" hidden="1" x14ac:dyDescent="0.3">
      <c r="A1811" s="76" t="s">
        <v>17</v>
      </c>
      <c r="B1811" s="76" t="s">
        <v>22</v>
      </c>
      <c r="C1811" s="76" t="s">
        <v>1710</v>
      </c>
      <c r="D1811" s="76">
        <v>5572124980</v>
      </c>
      <c r="E1811" s="76">
        <v>191353</v>
      </c>
      <c r="F1811" s="95">
        <v>450</v>
      </c>
      <c r="G1811" s="77">
        <v>46136</v>
      </c>
    </row>
    <row r="1812" spans="1:8" s="76" customFormat="1" hidden="1" x14ac:dyDescent="0.3">
      <c r="A1812" s="76" t="s">
        <v>17</v>
      </c>
      <c r="B1812" s="76" t="s">
        <v>55</v>
      </c>
      <c r="C1812" s="76" t="s">
        <v>1708</v>
      </c>
      <c r="D1812" s="76">
        <v>5620807201</v>
      </c>
      <c r="E1812" s="76">
        <v>355306</v>
      </c>
      <c r="F1812" s="95">
        <v>6145.99</v>
      </c>
      <c r="G1812" s="77">
        <v>46136</v>
      </c>
    </row>
    <row r="1813" spans="1:8" hidden="1" x14ac:dyDescent="0.3">
      <c r="A1813" s="44" t="s">
        <v>17</v>
      </c>
      <c r="B1813" s="44" t="s">
        <v>55</v>
      </c>
      <c r="C1813" s="44" t="s">
        <v>1708</v>
      </c>
      <c r="D1813" s="44">
        <v>5620807201</v>
      </c>
      <c r="E1813" s="44">
        <v>302195</v>
      </c>
      <c r="F1813" s="87">
        <v>1101</v>
      </c>
      <c r="G1813" s="46">
        <v>46136</v>
      </c>
    </row>
    <row r="1814" spans="1:8" s="76" customFormat="1" hidden="1" x14ac:dyDescent="0.3">
      <c r="A1814" s="76" t="s">
        <v>17</v>
      </c>
      <c r="B1814" s="76" t="s">
        <v>55</v>
      </c>
      <c r="C1814" s="76" t="s">
        <v>1708</v>
      </c>
      <c r="D1814" s="76">
        <v>5620807201</v>
      </c>
      <c r="E1814" s="76">
        <v>34345</v>
      </c>
      <c r="F1814" s="95">
        <v>550</v>
      </c>
      <c r="G1814" s="77">
        <v>46136</v>
      </c>
    </row>
    <row r="1815" spans="1:8" hidden="1" x14ac:dyDescent="0.3">
      <c r="A1815" s="44" t="s">
        <v>17</v>
      </c>
      <c r="B1815" s="44" t="s">
        <v>55</v>
      </c>
      <c r="C1815" s="44" t="s">
        <v>1708</v>
      </c>
      <c r="D1815" s="44">
        <v>5620807201</v>
      </c>
      <c r="E1815" s="44">
        <v>355305</v>
      </c>
      <c r="F1815" s="87">
        <v>456</v>
      </c>
      <c r="G1815" s="46">
        <v>46136</v>
      </c>
    </row>
    <row r="1816" spans="1:8" s="76" customFormat="1" hidden="1" x14ac:dyDescent="0.3">
      <c r="A1816" s="44" t="s">
        <v>11</v>
      </c>
      <c r="B1816" s="44" t="s">
        <v>1705</v>
      </c>
      <c r="C1816" s="44" t="s">
        <v>467</v>
      </c>
      <c r="D1816" s="44">
        <v>5520692636</v>
      </c>
      <c r="E1816" s="44">
        <v>355707</v>
      </c>
      <c r="F1816" s="87">
        <v>1950</v>
      </c>
      <c r="G1816" s="46">
        <v>46136</v>
      </c>
    </row>
    <row r="1817" spans="1:8" hidden="1" x14ac:dyDescent="0.3">
      <c r="A1817" s="76" t="s">
        <v>11</v>
      </c>
      <c r="B1817" s="76" t="s">
        <v>1705</v>
      </c>
      <c r="C1817" s="76" t="s">
        <v>467</v>
      </c>
      <c r="D1817" s="76">
        <v>5520692636</v>
      </c>
      <c r="E1817" s="76">
        <v>302254</v>
      </c>
      <c r="F1817" s="95">
        <v>68</v>
      </c>
      <c r="G1817" s="77">
        <v>46136</v>
      </c>
    </row>
    <row r="1818" spans="1:8" s="76" customFormat="1" hidden="1" x14ac:dyDescent="0.3">
      <c r="A1818" s="44" t="s">
        <v>11</v>
      </c>
      <c r="B1818" s="44" t="s">
        <v>1141</v>
      </c>
      <c r="C1818" s="44" t="s">
        <v>1706</v>
      </c>
      <c r="D1818" s="44">
        <v>5568684579</v>
      </c>
      <c r="E1818" s="44">
        <v>190987</v>
      </c>
      <c r="F1818" s="87">
        <v>5231.96</v>
      </c>
      <c r="G1818" s="46">
        <v>46136</v>
      </c>
    </row>
    <row r="1819" spans="1:8" hidden="1" x14ac:dyDescent="0.3">
      <c r="A1819" s="76" t="s">
        <v>11</v>
      </c>
      <c r="B1819" s="76" t="s">
        <v>1707</v>
      </c>
      <c r="C1819" s="76" t="s">
        <v>1284</v>
      </c>
      <c r="D1819" s="76">
        <v>5574077325</v>
      </c>
      <c r="E1819" s="76">
        <v>302691</v>
      </c>
      <c r="F1819" s="95">
        <v>13112.8</v>
      </c>
      <c r="G1819" s="77">
        <v>46136</v>
      </c>
    </row>
    <row r="1820" spans="1:8" s="76" customFormat="1" hidden="1" x14ac:dyDescent="0.3">
      <c r="A1820" s="76" t="s">
        <v>11</v>
      </c>
      <c r="B1820" s="76" t="s">
        <v>1698</v>
      </c>
      <c r="C1820" s="76" t="s">
        <v>1699</v>
      </c>
      <c r="D1820" s="76">
        <v>5613491838</v>
      </c>
      <c r="E1820" s="76">
        <v>192301</v>
      </c>
      <c r="F1820" s="95">
        <v>2160</v>
      </c>
      <c r="G1820" s="77">
        <v>46136</v>
      </c>
    </row>
    <row r="1821" spans="1:8" hidden="1" x14ac:dyDescent="0.3">
      <c r="A1821" s="44" t="s">
        <v>11</v>
      </c>
      <c r="B1821" s="44" t="s">
        <v>1702</v>
      </c>
      <c r="C1821" s="44" t="s">
        <v>187</v>
      </c>
      <c r="D1821" s="44">
        <v>5615705797</v>
      </c>
      <c r="E1821" s="44">
        <v>355776</v>
      </c>
      <c r="F1821" s="87">
        <v>2600</v>
      </c>
      <c r="G1821" s="46">
        <v>46136</v>
      </c>
    </row>
    <row r="1822" spans="1:8" s="83" customFormat="1" hidden="1" x14ac:dyDescent="0.3">
      <c r="A1822" s="44" t="s">
        <v>10</v>
      </c>
      <c r="B1822" s="44" t="s">
        <v>1718</v>
      </c>
      <c r="C1822" s="44" t="s">
        <v>117</v>
      </c>
      <c r="D1822" s="44">
        <v>5568177514</v>
      </c>
      <c r="E1822" s="44">
        <v>302968</v>
      </c>
      <c r="F1822" s="87">
        <v>17524</v>
      </c>
      <c r="G1822" s="46">
        <v>46137</v>
      </c>
    </row>
    <row r="1823" spans="1:8" hidden="1" x14ac:dyDescent="0.3">
      <c r="A1823" s="44" t="s">
        <v>10</v>
      </c>
      <c r="B1823" s="44" t="s">
        <v>1719</v>
      </c>
      <c r="C1823" s="44" t="s">
        <v>46</v>
      </c>
      <c r="D1823" s="44">
        <v>5577352063</v>
      </c>
      <c r="E1823" s="44">
        <v>302397</v>
      </c>
      <c r="F1823" s="87">
        <v>15173.99</v>
      </c>
      <c r="G1823" s="46">
        <v>46137</v>
      </c>
    </row>
    <row r="1824" spans="1:8" s="83" customFormat="1" hidden="1" x14ac:dyDescent="0.3">
      <c r="A1824" s="83" t="s">
        <v>10</v>
      </c>
      <c r="B1824" s="83" t="s">
        <v>1078</v>
      </c>
      <c r="C1824" s="83" t="s">
        <v>425</v>
      </c>
      <c r="D1824" s="83">
        <v>7208175800</v>
      </c>
      <c r="E1824" s="83">
        <v>355857</v>
      </c>
      <c r="F1824" s="97">
        <v>1028</v>
      </c>
      <c r="G1824" s="84">
        <v>46137</v>
      </c>
      <c r="H1824" s="83" t="s">
        <v>1715</v>
      </c>
    </row>
    <row r="1825" spans="1:13" hidden="1" x14ac:dyDescent="0.3">
      <c r="A1825" s="83" t="s">
        <v>17</v>
      </c>
      <c r="B1825" s="83" t="s">
        <v>1674</v>
      </c>
      <c r="C1825" s="83" t="s">
        <v>1675</v>
      </c>
      <c r="D1825" s="83">
        <v>5516841620</v>
      </c>
      <c r="E1825" s="83">
        <v>191917</v>
      </c>
      <c r="F1825" s="97">
        <v>10980</v>
      </c>
      <c r="G1825" s="84">
        <v>46137</v>
      </c>
      <c r="H1825" s="44" t="s">
        <v>1715</v>
      </c>
    </row>
    <row r="1826" spans="1:13" s="83" customFormat="1" hidden="1" x14ac:dyDescent="0.3">
      <c r="A1826" s="44" t="s">
        <v>17</v>
      </c>
      <c r="B1826" s="44" t="s">
        <v>1674</v>
      </c>
      <c r="C1826" s="44" t="s">
        <v>1675</v>
      </c>
      <c r="D1826" s="44">
        <v>5516841620</v>
      </c>
      <c r="E1826" s="44">
        <v>34407</v>
      </c>
      <c r="F1826" s="87">
        <v>504</v>
      </c>
      <c r="G1826" s="46">
        <v>46137</v>
      </c>
    </row>
    <row r="1827" spans="1:13" hidden="1" x14ac:dyDescent="0.3">
      <c r="A1827" s="83" t="s">
        <v>17</v>
      </c>
      <c r="B1827" s="83" t="s">
        <v>62</v>
      </c>
      <c r="C1827" s="83" t="str">
        <f>IFERROR(VLOOKUP(B1827,Base2026!A:C,2,FALSE),"")</f>
        <v>PROVIDENCIA</v>
      </c>
      <c r="D1827" s="83">
        <f>IFERROR(VLOOKUP(C1827,Base2026!B:D,2,FALSE),"")</f>
        <v>5544902932</v>
      </c>
      <c r="E1827" s="83">
        <v>355047</v>
      </c>
      <c r="F1827" s="97">
        <v>8340.23</v>
      </c>
      <c r="G1827" s="84">
        <v>46137</v>
      </c>
    </row>
    <row r="1828" spans="1:13" s="83" customFormat="1" ht="19.5" hidden="1" customHeight="1" x14ac:dyDescent="0.3">
      <c r="A1828" s="44" t="s">
        <v>17</v>
      </c>
      <c r="B1828" s="44" t="s">
        <v>62</v>
      </c>
      <c r="C1828" s="44" t="str">
        <f>IFERROR(VLOOKUP(B1828,Base2026!A:C,2,FALSE),"")</f>
        <v>PROVIDENCIA</v>
      </c>
      <c r="D1828" s="44">
        <f>IFERROR(VLOOKUP(C1828,Base2026!B:D,2,FALSE),"")</f>
        <v>5544902932</v>
      </c>
      <c r="E1828" s="44">
        <v>355048</v>
      </c>
      <c r="F1828" s="87">
        <v>850</v>
      </c>
      <c r="G1828" s="46">
        <v>46137</v>
      </c>
    </row>
    <row r="1829" spans="1:13" hidden="1" x14ac:dyDescent="0.3">
      <c r="A1829" s="83" t="s">
        <v>17</v>
      </c>
      <c r="B1829" s="83" t="s">
        <v>62</v>
      </c>
      <c r="C1829" s="83" t="str">
        <f>IFERROR(VLOOKUP(B1829,Base2026!A:C,2,FALSE),"")</f>
        <v>PROVIDENCIA</v>
      </c>
      <c r="D1829" s="83">
        <f>IFERROR(VLOOKUP(C1829,Base2026!B:D,2,FALSE),"")</f>
        <v>5544902932</v>
      </c>
      <c r="E1829" s="83">
        <v>355067</v>
      </c>
      <c r="F1829" s="97">
        <v>2268.9899999999998</v>
      </c>
      <c r="G1829" s="84">
        <v>46137</v>
      </c>
    </row>
    <row r="1830" spans="1:13" s="83" customFormat="1" hidden="1" x14ac:dyDescent="0.3">
      <c r="A1830" s="44" t="s">
        <v>17</v>
      </c>
      <c r="B1830" s="44" t="s">
        <v>565</v>
      </c>
      <c r="C1830" s="44" t="str">
        <f>IFERROR(VLOOKUP(B1830,Base2026!A:C,2,FALSE),"")</f>
        <v>VERGEL DE GUADALUPE</v>
      </c>
      <c r="D1830" s="44">
        <v>5559307944</v>
      </c>
      <c r="E1830" s="44">
        <v>355523</v>
      </c>
      <c r="F1830" s="87">
        <v>5319</v>
      </c>
      <c r="G1830" s="46">
        <v>46137</v>
      </c>
    </row>
    <row r="1831" spans="1:13" hidden="1" x14ac:dyDescent="0.3">
      <c r="A1831" s="83" t="s">
        <v>17</v>
      </c>
      <c r="B1831" s="83" t="s">
        <v>565</v>
      </c>
      <c r="C1831" s="83" t="str">
        <f>IFERROR(VLOOKUP(B1831,Base2026!A:C,2,FALSE),"")</f>
        <v>VERGEL DE GUADALUPE</v>
      </c>
      <c r="D1831" s="83">
        <v>5559307944</v>
      </c>
      <c r="E1831" s="83">
        <v>302227</v>
      </c>
      <c r="F1831" s="97">
        <v>592</v>
      </c>
      <c r="G1831" s="84">
        <v>46137</v>
      </c>
    </row>
    <row r="1832" spans="1:13" s="83" customFormat="1" hidden="1" x14ac:dyDescent="0.3">
      <c r="A1832" s="83" t="s">
        <v>942</v>
      </c>
      <c r="B1832" s="83" t="s">
        <v>1392</v>
      </c>
      <c r="C1832" s="44" t="s">
        <v>923</v>
      </c>
      <c r="D1832" s="83">
        <v>5540809412</v>
      </c>
      <c r="E1832" s="83">
        <v>299919</v>
      </c>
      <c r="F1832" s="97">
        <v>67683.850000000006</v>
      </c>
      <c r="G1832" s="84">
        <v>46137</v>
      </c>
    </row>
    <row r="1833" spans="1:13" hidden="1" x14ac:dyDescent="0.3">
      <c r="A1833" s="44" t="s">
        <v>942</v>
      </c>
      <c r="B1833" s="44" t="s">
        <v>1392</v>
      </c>
      <c r="C1833" s="44" t="s">
        <v>923</v>
      </c>
      <c r="D1833" s="44">
        <v>5540809412</v>
      </c>
      <c r="E1833" s="44">
        <v>33779</v>
      </c>
      <c r="F1833" s="87">
        <v>19494</v>
      </c>
      <c r="G1833" s="46">
        <v>46137</v>
      </c>
    </row>
    <row r="1834" spans="1:13" s="51" customFormat="1" hidden="1" x14ac:dyDescent="0.3">
      <c r="A1834" s="44" t="s">
        <v>47</v>
      </c>
      <c r="B1834" s="44" t="s">
        <v>1730</v>
      </c>
      <c r="C1834" s="44" t="s">
        <v>1731</v>
      </c>
      <c r="D1834" s="44">
        <v>5523722524</v>
      </c>
      <c r="E1834" s="44">
        <v>191654</v>
      </c>
      <c r="F1834" s="87">
        <v>10980</v>
      </c>
      <c r="G1834" s="46">
        <v>46139</v>
      </c>
      <c r="H1834" s="51" t="s">
        <v>1458</v>
      </c>
      <c r="I1834" s="51" t="s">
        <v>1725</v>
      </c>
      <c r="J1834" s="51">
        <v>6</v>
      </c>
      <c r="K1834" s="51" t="s">
        <v>1726</v>
      </c>
      <c r="L1834" s="51">
        <v>10</v>
      </c>
    </row>
    <row r="1835" spans="1:13" hidden="1" x14ac:dyDescent="0.3">
      <c r="A1835" s="51" t="s">
        <v>47</v>
      </c>
      <c r="B1835" s="51" t="s">
        <v>1730</v>
      </c>
      <c r="C1835" s="51" t="s">
        <v>1731</v>
      </c>
      <c r="D1835" s="51">
        <v>5523722524</v>
      </c>
      <c r="E1835" s="51">
        <v>191655</v>
      </c>
      <c r="F1835" s="68">
        <v>675</v>
      </c>
      <c r="G1835" s="52">
        <v>46139</v>
      </c>
    </row>
    <row r="1836" spans="1:13" s="51" customFormat="1" hidden="1" x14ac:dyDescent="0.3">
      <c r="A1836" s="44" t="s">
        <v>47</v>
      </c>
      <c r="B1836" s="44" t="s">
        <v>701</v>
      </c>
      <c r="C1836" s="44" t="str">
        <f>IFERROR(VLOOKUP(B1836,Base2026!A:C,2,FALSE),"")</f>
        <v>ZACUAUTITLAN</v>
      </c>
      <c r="D1836" s="44">
        <f>IFERROR(VLOOKUP(C1836,Base2026!B:D,2,FALSE),"")</f>
        <v>5523769704</v>
      </c>
      <c r="E1836" s="44">
        <v>302549</v>
      </c>
      <c r="F1836" s="87">
        <v>1734.16</v>
      </c>
      <c r="G1836" s="46">
        <v>46139</v>
      </c>
    </row>
    <row r="1837" spans="1:13" hidden="1" x14ac:dyDescent="0.3">
      <c r="A1837" s="51" t="s">
        <v>47</v>
      </c>
      <c r="B1837" s="51" t="s">
        <v>701</v>
      </c>
      <c r="C1837" s="51" t="str">
        <f>IFERROR(VLOOKUP(B1837,Base2026!A:C,2,FALSE),"")</f>
        <v>ZACUAUTITLAN</v>
      </c>
      <c r="D1837" s="51">
        <f>IFERROR(VLOOKUP(C1837,Base2026!B:D,2,FALSE),"")</f>
        <v>5523769704</v>
      </c>
      <c r="E1837" s="51">
        <v>302791</v>
      </c>
      <c r="F1837" s="68">
        <v>1190.44</v>
      </c>
      <c r="G1837" s="52">
        <v>46139</v>
      </c>
    </row>
    <row r="1838" spans="1:13" s="51" customFormat="1" hidden="1" x14ac:dyDescent="0.3">
      <c r="A1838" s="44" t="s">
        <v>47</v>
      </c>
      <c r="B1838" s="44" t="s">
        <v>639</v>
      </c>
      <c r="C1838" s="44" t="str">
        <f>IFERROR(VLOOKUP(B1838,Base2026!A:C,2,FALSE),"")</f>
        <v>TLATEMPA</v>
      </c>
      <c r="D1838" s="44">
        <f>IFERROR(VLOOKUP(C1838,Base2026!B:D,2,FALSE),"")</f>
        <v>5583085008</v>
      </c>
      <c r="E1838" s="44">
        <v>192287</v>
      </c>
      <c r="F1838" s="87">
        <v>1480</v>
      </c>
      <c r="G1838" s="46">
        <v>46139</v>
      </c>
    </row>
    <row r="1839" spans="1:13" hidden="1" x14ac:dyDescent="0.3">
      <c r="A1839" s="51" t="s">
        <v>47</v>
      </c>
      <c r="B1839" s="51" t="s">
        <v>639</v>
      </c>
      <c r="C1839" s="51" t="str">
        <f>IFERROR(VLOOKUP(B1839,Base2026!A:C,2,FALSE),"")</f>
        <v>TLATEMPA</v>
      </c>
      <c r="D1839" s="51">
        <f>IFERROR(VLOOKUP(C1839,Base2026!B:D,2,FALSE),"")</f>
        <v>5583085008</v>
      </c>
      <c r="E1839" s="51">
        <v>34471</v>
      </c>
      <c r="F1839" s="68">
        <v>96</v>
      </c>
      <c r="G1839" s="52">
        <v>46139</v>
      </c>
      <c r="H1839" s="44" t="s">
        <v>1458</v>
      </c>
      <c r="I1839" s="44" t="s">
        <v>1703</v>
      </c>
      <c r="J1839" s="44">
        <v>12</v>
      </c>
      <c r="K1839" s="44" t="s">
        <v>1667</v>
      </c>
      <c r="L1839" s="44">
        <v>11</v>
      </c>
      <c r="M1839" s="44" t="s">
        <v>1583</v>
      </c>
    </row>
    <row r="1840" spans="1:13" s="51" customFormat="1" hidden="1" x14ac:dyDescent="0.3">
      <c r="A1840" s="44" t="s">
        <v>47</v>
      </c>
      <c r="B1840" s="44" t="s">
        <v>1716</v>
      </c>
      <c r="C1840" s="44" t="s">
        <v>1717</v>
      </c>
      <c r="D1840" s="44">
        <v>5587099449</v>
      </c>
      <c r="E1840" s="44">
        <v>302122</v>
      </c>
      <c r="F1840" s="87">
        <v>4239</v>
      </c>
      <c r="G1840" s="46">
        <v>46139</v>
      </c>
    </row>
    <row r="1841" spans="1:8" hidden="1" x14ac:dyDescent="0.3">
      <c r="A1841" s="51" t="s">
        <v>47</v>
      </c>
      <c r="B1841" s="51" t="s">
        <v>1716</v>
      </c>
      <c r="C1841" s="51" t="s">
        <v>1717</v>
      </c>
      <c r="D1841" s="51">
        <v>5587099449</v>
      </c>
      <c r="E1841" s="51">
        <v>302123</v>
      </c>
      <c r="F1841" s="68">
        <v>670</v>
      </c>
      <c r="G1841" s="52">
        <v>46139</v>
      </c>
    </row>
    <row r="1842" spans="1:8" s="51" customFormat="1" hidden="1" x14ac:dyDescent="0.3">
      <c r="A1842" s="44" t="s">
        <v>47</v>
      </c>
      <c r="B1842" s="44" t="s">
        <v>1716</v>
      </c>
      <c r="C1842" s="44" t="s">
        <v>1717</v>
      </c>
      <c r="D1842" s="44">
        <v>5587099449</v>
      </c>
      <c r="E1842" s="44">
        <v>34292</v>
      </c>
      <c r="F1842" s="87">
        <v>780</v>
      </c>
      <c r="G1842" s="46">
        <v>46139</v>
      </c>
    </row>
    <row r="1843" spans="1:8" hidden="1" x14ac:dyDescent="0.3">
      <c r="A1843" s="51" t="s">
        <v>47</v>
      </c>
      <c r="B1843" s="51" t="s">
        <v>1716</v>
      </c>
      <c r="C1843" s="51" t="s">
        <v>1717</v>
      </c>
      <c r="D1843" s="51">
        <v>5587099449</v>
      </c>
      <c r="E1843" s="51">
        <v>302121</v>
      </c>
      <c r="F1843" s="68">
        <v>3727</v>
      </c>
      <c r="G1843" s="52">
        <v>46139</v>
      </c>
    </row>
    <row r="1844" spans="1:8" s="51" customFormat="1" hidden="1" x14ac:dyDescent="0.3">
      <c r="A1844" s="44" t="s">
        <v>47</v>
      </c>
      <c r="B1844" s="44" t="s">
        <v>1716</v>
      </c>
      <c r="C1844" s="44" t="s">
        <v>1717</v>
      </c>
      <c r="D1844" s="44">
        <v>5587099449</v>
      </c>
      <c r="E1844" s="44">
        <v>342294</v>
      </c>
      <c r="F1844" s="87">
        <v>460</v>
      </c>
      <c r="G1844" s="46">
        <v>46139</v>
      </c>
    </row>
    <row r="1845" spans="1:8" hidden="1" x14ac:dyDescent="0.3">
      <c r="A1845" s="51" t="s">
        <v>47</v>
      </c>
      <c r="B1845" s="51" t="s">
        <v>1716</v>
      </c>
      <c r="C1845" s="51" t="s">
        <v>1717</v>
      </c>
      <c r="D1845" s="51">
        <v>5587099449</v>
      </c>
      <c r="E1845" s="51">
        <v>302124</v>
      </c>
      <c r="F1845" s="68">
        <v>3402</v>
      </c>
      <c r="G1845" s="52">
        <v>46139</v>
      </c>
    </row>
    <row r="1846" spans="1:8" s="51" customFormat="1" hidden="1" x14ac:dyDescent="0.3">
      <c r="A1846" s="44" t="s">
        <v>47</v>
      </c>
      <c r="B1846" s="44" t="s">
        <v>1738</v>
      </c>
      <c r="C1846" s="44" t="s">
        <v>825</v>
      </c>
      <c r="D1846" s="44">
        <v>5615788406</v>
      </c>
      <c r="E1846" s="44">
        <v>355990</v>
      </c>
      <c r="F1846" s="87">
        <v>9760</v>
      </c>
      <c r="G1846" s="46">
        <v>46139</v>
      </c>
    </row>
    <row r="1847" spans="1:8" hidden="1" x14ac:dyDescent="0.3">
      <c r="A1847" s="51" t="s">
        <v>17</v>
      </c>
      <c r="B1847" s="51" t="s">
        <v>894</v>
      </c>
      <c r="C1847" s="51" t="s">
        <v>665</v>
      </c>
      <c r="D1847" s="51">
        <v>5514368855</v>
      </c>
      <c r="E1847" s="51">
        <v>192087</v>
      </c>
      <c r="F1847" s="68">
        <v>10664.19</v>
      </c>
      <c r="G1847" s="52">
        <v>46139</v>
      </c>
    </row>
    <row r="1848" spans="1:8" s="51" customFormat="1" hidden="1" x14ac:dyDescent="0.3">
      <c r="A1848" s="44" t="s">
        <v>17</v>
      </c>
      <c r="B1848" s="44" t="s">
        <v>1425</v>
      </c>
      <c r="C1848" s="44" t="s">
        <v>1426</v>
      </c>
      <c r="D1848" s="44">
        <v>5518548421</v>
      </c>
      <c r="E1848" s="44">
        <v>192590</v>
      </c>
      <c r="F1848" s="85">
        <v>4850</v>
      </c>
      <c r="G1848" s="46">
        <v>46139</v>
      </c>
      <c r="H1848" s="51" t="s">
        <v>1737</v>
      </c>
    </row>
    <row r="1849" spans="1:8" hidden="1" x14ac:dyDescent="0.3">
      <c r="A1849" s="51" t="s">
        <v>17</v>
      </c>
      <c r="B1849" s="51" t="s">
        <v>1720</v>
      </c>
      <c r="C1849" s="51" t="s">
        <v>545</v>
      </c>
      <c r="D1849" s="51">
        <v>5522005782</v>
      </c>
      <c r="E1849" s="51">
        <v>302979</v>
      </c>
      <c r="F1849" s="68">
        <v>5845</v>
      </c>
      <c r="G1849" s="52">
        <v>46139</v>
      </c>
    </row>
    <row r="1850" spans="1:8" s="51" customFormat="1" hidden="1" x14ac:dyDescent="0.3">
      <c r="A1850" s="51" t="s">
        <v>17</v>
      </c>
      <c r="B1850" s="51" t="s">
        <v>1118</v>
      </c>
      <c r="C1850" s="51" t="s">
        <v>848</v>
      </c>
      <c r="D1850" s="51">
        <v>5564492703</v>
      </c>
      <c r="E1850" s="51">
        <v>191419</v>
      </c>
      <c r="F1850" s="68">
        <v>18871.32</v>
      </c>
      <c r="G1850" s="52">
        <v>46139</v>
      </c>
    </row>
    <row r="1851" spans="1:8" hidden="1" x14ac:dyDescent="0.3">
      <c r="A1851" s="44" t="s">
        <v>17</v>
      </c>
      <c r="B1851" s="44" t="s">
        <v>158</v>
      </c>
      <c r="C1851" s="44" t="str">
        <f>IFERROR(VLOOKUP(B1851,Base2026!A:C,2,FALSE),"")</f>
        <v>PLAZAS DE ARAGON</v>
      </c>
      <c r="D1851" s="44">
        <f>IFERROR(VLOOKUP(C1851,Base2026!B:D,2,FALSE),"")</f>
        <v>5570826626</v>
      </c>
      <c r="E1851" s="44">
        <v>302635</v>
      </c>
      <c r="F1851" s="87">
        <v>7318.68</v>
      </c>
      <c r="G1851" s="46">
        <v>46139</v>
      </c>
    </row>
    <row r="1852" spans="1:8" s="51" customFormat="1" hidden="1" x14ac:dyDescent="0.3">
      <c r="A1852" s="51" t="s">
        <v>17</v>
      </c>
      <c r="B1852" s="51" t="s">
        <v>158</v>
      </c>
      <c r="C1852" s="51" t="str">
        <f>IFERROR(VLOOKUP(B1852,Base2026!A:C,2,FALSE),"")</f>
        <v>PLAZAS DE ARAGON</v>
      </c>
      <c r="D1852" s="51">
        <f>IFERROR(VLOOKUP(C1852,Base2026!B:D,2,FALSE),"")</f>
        <v>5570826626</v>
      </c>
      <c r="E1852" s="51">
        <v>355619</v>
      </c>
      <c r="F1852" s="68">
        <v>475</v>
      </c>
      <c r="G1852" s="52">
        <v>46139</v>
      </c>
    </row>
    <row r="1853" spans="1:8" hidden="1" x14ac:dyDescent="0.3">
      <c r="A1853" s="44" t="s">
        <v>17</v>
      </c>
      <c r="B1853" s="44" t="s">
        <v>158</v>
      </c>
      <c r="C1853" s="44" t="str">
        <f>IFERROR(VLOOKUP(B1853,Base2026!A:C,2,FALSE),"")</f>
        <v>PLAZAS DE ARAGON</v>
      </c>
      <c r="D1853" s="44">
        <f>IFERROR(VLOOKUP(C1853,Base2026!B:D,2,FALSE),"")</f>
        <v>5570826626</v>
      </c>
      <c r="E1853" s="44">
        <v>302632</v>
      </c>
      <c r="F1853" s="85">
        <v>2347</v>
      </c>
      <c r="G1853" s="46">
        <v>46139</v>
      </c>
    </row>
    <row r="1854" spans="1:8" s="51" customFormat="1" hidden="1" x14ac:dyDescent="0.3">
      <c r="A1854" s="51" t="s">
        <v>11</v>
      </c>
      <c r="B1854" s="51" t="s">
        <v>1159</v>
      </c>
      <c r="C1854" s="51" t="s">
        <v>1724</v>
      </c>
      <c r="D1854" s="51">
        <v>4773993291</v>
      </c>
      <c r="E1854" s="51">
        <v>355859</v>
      </c>
      <c r="F1854" s="68">
        <v>10806</v>
      </c>
      <c r="G1854" s="52">
        <v>46139</v>
      </c>
    </row>
    <row r="1855" spans="1:8" hidden="1" x14ac:dyDescent="0.3">
      <c r="A1855" s="44" t="s">
        <v>11</v>
      </c>
      <c r="B1855" s="44" t="s">
        <v>1159</v>
      </c>
      <c r="C1855" s="44" t="s">
        <v>1724</v>
      </c>
      <c r="D1855" s="44">
        <v>4773993291</v>
      </c>
      <c r="E1855" s="44">
        <v>355861</v>
      </c>
      <c r="F1855" s="87">
        <v>550</v>
      </c>
      <c r="G1855" s="46">
        <v>46139</v>
      </c>
    </row>
    <row r="1856" spans="1:8" s="51" customFormat="1" hidden="1" x14ac:dyDescent="0.3">
      <c r="A1856" s="44" t="s">
        <v>11</v>
      </c>
      <c r="B1856" s="44" t="s">
        <v>1728</v>
      </c>
      <c r="C1856" s="44" t="s">
        <v>1727</v>
      </c>
      <c r="D1856" s="44">
        <v>5520266060</v>
      </c>
      <c r="E1856" s="44">
        <v>355860</v>
      </c>
      <c r="F1856" s="87">
        <v>16900</v>
      </c>
      <c r="G1856" s="46">
        <v>46139</v>
      </c>
    </row>
    <row r="1857" spans="1:13" hidden="1" x14ac:dyDescent="0.3">
      <c r="A1857" s="44" t="s">
        <v>11</v>
      </c>
      <c r="B1857" s="44" t="s">
        <v>1734</v>
      </c>
      <c r="C1857" s="44" t="s">
        <v>54</v>
      </c>
      <c r="D1857" s="44">
        <v>5533096013</v>
      </c>
      <c r="E1857" s="44">
        <v>192616</v>
      </c>
      <c r="F1857" s="87">
        <v>400</v>
      </c>
      <c r="G1857" s="46">
        <v>46139</v>
      </c>
    </row>
    <row r="1858" spans="1:13" s="51" customFormat="1" hidden="1" x14ac:dyDescent="0.3">
      <c r="A1858" s="51" t="s">
        <v>11</v>
      </c>
      <c r="B1858" s="51" t="s">
        <v>1733</v>
      </c>
      <c r="C1858" s="51" t="s">
        <v>336</v>
      </c>
      <c r="D1858" s="51">
        <v>5535505694</v>
      </c>
      <c r="E1858" s="51">
        <v>192605</v>
      </c>
      <c r="F1858" s="68">
        <v>520</v>
      </c>
      <c r="G1858" s="52">
        <v>46139</v>
      </c>
    </row>
    <row r="1859" spans="1:13" hidden="1" x14ac:dyDescent="0.3">
      <c r="A1859" s="51" t="s">
        <v>11</v>
      </c>
      <c r="B1859" s="51" t="s">
        <v>1713</v>
      </c>
      <c r="C1859" s="51" t="s">
        <v>1704</v>
      </c>
      <c r="D1859" s="51">
        <v>5540236025</v>
      </c>
      <c r="E1859" s="51">
        <v>302535</v>
      </c>
      <c r="F1859" s="68">
        <v>20645.75</v>
      </c>
      <c r="G1859" s="52">
        <v>46139</v>
      </c>
    </row>
    <row r="1860" spans="1:13" s="51" customFormat="1" hidden="1" x14ac:dyDescent="0.3">
      <c r="A1860" s="44" t="s">
        <v>11</v>
      </c>
      <c r="B1860" s="44" t="s">
        <v>1713</v>
      </c>
      <c r="C1860" s="44" t="s">
        <v>1704</v>
      </c>
      <c r="D1860" s="44">
        <v>5540236025</v>
      </c>
      <c r="E1860" s="44">
        <v>302031</v>
      </c>
      <c r="F1860" s="87">
        <v>2576.6799999999998</v>
      </c>
      <c r="G1860" s="46">
        <v>46139</v>
      </c>
    </row>
    <row r="1861" spans="1:13" hidden="1" x14ac:dyDescent="0.3">
      <c r="A1861" s="51" t="s">
        <v>11</v>
      </c>
      <c r="B1861" s="51" t="s">
        <v>1621</v>
      </c>
      <c r="C1861" s="51" t="s">
        <v>190</v>
      </c>
      <c r="D1861" s="51">
        <v>5582145432</v>
      </c>
      <c r="E1861" s="51">
        <v>301851</v>
      </c>
      <c r="F1861" s="68">
        <v>15669.64</v>
      </c>
      <c r="G1861" s="52">
        <v>46139</v>
      </c>
    </row>
    <row r="1862" spans="1:13" s="51" customFormat="1" hidden="1" x14ac:dyDescent="0.3">
      <c r="A1862" s="51" t="s">
        <v>11</v>
      </c>
      <c r="B1862" s="51" t="s">
        <v>1736</v>
      </c>
      <c r="C1862" s="51" t="s">
        <v>591</v>
      </c>
      <c r="D1862" s="51">
        <v>5591940032</v>
      </c>
      <c r="E1862" s="51">
        <v>302411</v>
      </c>
      <c r="F1862" s="68">
        <v>15622.54</v>
      </c>
      <c r="G1862" s="52">
        <v>46139</v>
      </c>
      <c r="H1862" s="51" t="s">
        <v>1458</v>
      </c>
      <c r="I1862" s="51" t="s">
        <v>1721</v>
      </c>
      <c r="J1862" s="51">
        <v>3</v>
      </c>
      <c r="K1862" s="51" t="s">
        <v>1467</v>
      </c>
      <c r="L1862" s="51">
        <v>4</v>
      </c>
      <c r="M1862" s="51" t="s">
        <v>1722</v>
      </c>
    </row>
    <row r="1863" spans="1:13" hidden="1" x14ac:dyDescent="0.3">
      <c r="A1863" s="44" t="s">
        <v>11</v>
      </c>
      <c r="B1863" s="44" t="s">
        <v>1736</v>
      </c>
      <c r="C1863" s="44" t="s">
        <v>591</v>
      </c>
      <c r="D1863" s="44">
        <v>5591940032</v>
      </c>
      <c r="E1863" s="44">
        <v>302412</v>
      </c>
      <c r="F1863" s="87">
        <v>1311</v>
      </c>
      <c r="G1863" s="46">
        <v>46139</v>
      </c>
    </row>
    <row r="1864" spans="1:13" s="51" customFormat="1" hidden="1" x14ac:dyDescent="0.3">
      <c r="A1864" s="51" t="s">
        <v>11</v>
      </c>
      <c r="B1864" s="51" t="s">
        <v>1729</v>
      </c>
      <c r="C1864" s="51" t="s">
        <v>129</v>
      </c>
      <c r="D1864" s="51">
        <f>IFERROR(VLOOKUP(C1864,Base2026!B:D,2,FALSE),"")</f>
        <v>5612852406</v>
      </c>
      <c r="E1864" s="51">
        <v>355614</v>
      </c>
      <c r="F1864" s="68">
        <v>3155</v>
      </c>
      <c r="G1864" s="52">
        <v>46139</v>
      </c>
    </row>
    <row r="1865" spans="1:13" hidden="1" x14ac:dyDescent="0.3">
      <c r="A1865" s="44" t="s">
        <v>11</v>
      </c>
      <c r="B1865" s="44" t="s">
        <v>1729</v>
      </c>
      <c r="C1865" s="44" t="s">
        <v>129</v>
      </c>
      <c r="D1865" s="44">
        <f>IFERROR(VLOOKUP(C1865,Base2026!B:D,2,FALSE),"")</f>
        <v>5612852406</v>
      </c>
      <c r="E1865" s="44">
        <v>302241</v>
      </c>
      <c r="F1865" s="87">
        <v>558</v>
      </c>
      <c r="G1865" s="46">
        <v>46139</v>
      </c>
    </row>
    <row r="1866" spans="1:13" s="51" customFormat="1" hidden="1" x14ac:dyDescent="0.3">
      <c r="A1866" s="51" t="s">
        <v>11</v>
      </c>
      <c r="B1866" s="51" t="s">
        <v>1072</v>
      </c>
      <c r="C1866" s="51" t="s">
        <v>228</v>
      </c>
      <c r="D1866" s="51">
        <v>5620084510</v>
      </c>
      <c r="E1866" s="51">
        <v>355571</v>
      </c>
      <c r="F1866" s="68">
        <v>5664.96</v>
      </c>
      <c r="G1866" s="52">
        <v>46139</v>
      </c>
    </row>
    <row r="1867" spans="1:13" hidden="1" x14ac:dyDescent="0.3">
      <c r="A1867" s="44" t="s">
        <v>11</v>
      </c>
      <c r="B1867" s="44" t="s">
        <v>1735</v>
      </c>
      <c r="C1867" s="44" t="s">
        <v>41</v>
      </c>
      <c r="D1867" s="44">
        <v>5623323792</v>
      </c>
      <c r="E1867" s="44">
        <v>302715</v>
      </c>
      <c r="F1867" s="87">
        <v>3126.95</v>
      </c>
      <c r="G1867" s="46">
        <v>46139</v>
      </c>
    </row>
    <row r="1868" spans="1:13" s="51" customFormat="1" hidden="1" x14ac:dyDescent="0.3">
      <c r="A1868" s="51" t="s">
        <v>11</v>
      </c>
      <c r="B1868" s="51" t="s">
        <v>1732</v>
      </c>
      <c r="C1868" s="51" t="s">
        <v>107</v>
      </c>
      <c r="D1868" s="51">
        <v>5635995021</v>
      </c>
      <c r="E1868" s="51">
        <v>302958</v>
      </c>
      <c r="F1868" s="68">
        <v>5364</v>
      </c>
      <c r="G1868" s="52">
        <v>46139</v>
      </c>
    </row>
    <row r="1869" spans="1:13" hidden="1" x14ac:dyDescent="0.3">
      <c r="A1869" s="44" t="s">
        <v>47</v>
      </c>
      <c r="B1869" s="44" t="s">
        <v>1744</v>
      </c>
      <c r="C1869" s="44" t="s">
        <v>1151</v>
      </c>
      <c r="D1869" s="44">
        <v>5516804643</v>
      </c>
      <c r="E1869" s="44">
        <v>302438</v>
      </c>
      <c r="F1869" s="87">
        <v>17511.990000000002</v>
      </c>
      <c r="G1869" s="46">
        <v>46141</v>
      </c>
    </row>
    <row r="1870" spans="1:13" s="57" customFormat="1" hidden="1" x14ac:dyDescent="0.3">
      <c r="A1870" s="57" t="s">
        <v>47</v>
      </c>
      <c r="B1870" s="57" t="s">
        <v>1744</v>
      </c>
      <c r="C1870" s="57" t="s">
        <v>1151</v>
      </c>
      <c r="D1870" s="57">
        <v>5516804643</v>
      </c>
      <c r="E1870" s="57">
        <v>34368</v>
      </c>
      <c r="F1870" s="90">
        <v>4588</v>
      </c>
      <c r="G1870" s="58">
        <v>46141</v>
      </c>
    </row>
    <row r="1871" spans="1:13" hidden="1" x14ac:dyDescent="0.3">
      <c r="A1871" s="44" t="s">
        <v>47</v>
      </c>
      <c r="B1871" s="44" t="s">
        <v>1744</v>
      </c>
      <c r="C1871" s="44" t="s">
        <v>1151</v>
      </c>
      <c r="D1871" s="44">
        <v>5516804643</v>
      </c>
      <c r="E1871" s="44">
        <v>302606</v>
      </c>
      <c r="F1871" s="87">
        <v>3590</v>
      </c>
      <c r="G1871" s="46">
        <v>46141</v>
      </c>
    </row>
    <row r="1872" spans="1:13" s="57" customFormat="1" hidden="1" x14ac:dyDescent="0.3">
      <c r="A1872" s="57" t="s">
        <v>47</v>
      </c>
      <c r="B1872" s="57" t="s">
        <v>1744</v>
      </c>
      <c r="C1872" s="57" t="s">
        <v>1151</v>
      </c>
      <c r="D1872" s="57">
        <v>5516804643</v>
      </c>
      <c r="E1872" s="57">
        <v>34421</v>
      </c>
      <c r="F1872" s="90">
        <v>434</v>
      </c>
      <c r="G1872" s="58">
        <v>46141</v>
      </c>
    </row>
    <row r="1873" spans="1:13" hidden="1" x14ac:dyDescent="0.3">
      <c r="A1873" s="57" t="s">
        <v>10</v>
      </c>
      <c r="B1873" s="57" t="s">
        <v>1743</v>
      </c>
      <c r="C1873" s="57" t="s">
        <v>46</v>
      </c>
      <c r="D1873" s="57">
        <v>5527419225</v>
      </c>
      <c r="E1873" s="57">
        <v>192721</v>
      </c>
      <c r="F1873" s="90">
        <v>1882</v>
      </c>
      <c r="G1873" s="58">
        <v>46141</v>
      </c>
    </row>
    <row r="1874" spans="1:13" s="57" customFormat="1" hidden="1" x14ac:dyDescent="0.3">
      <c r="A1874" s="44" t="s">
        <v>10</v>
      </c>
      <c r="B1874" s="44" t="s">
        <v>1641</v>
      </c>
      <c r="C1874" s="44" t="s">
        <v>336</v>
      </c>
      <c r="D1874" s="44">
        <v>5527577305</v>
      </c>
      <c r="E1874" s="44">
        <v>355912</v>
      </c>
      <c r="F1874" s="87">
        <v>1892.32</v>
      </c>
      <c r="G1874" s="46">
        <v>46141</v>
      </c>
    </row>
    <row r="1875" spans="1:13" hidden="1" x14ac:dyDescent="0.3">
      <c r="A1875" s="57" t="s">
        <v>10</v>
      </c>
      <c r="B1875" s="57" t="s">
        <v>1182</v>
      </c>
      <c r="C1875" s="57" t="s">
        <v>1074</v>
      </c>
      <c r="D1875" s="57">
        <v>5528013590</v>
      </c>
      <c r="E1875" s="57">
        <v>302815</v>
      </c>
      <c r="F1875" s="90">
        <v>13644.84</v>
      </c>
      <c r="G1875" s="58">
        <v>46141</v>
      </c>
    </row>
    <row r="1876" spans="1:13" s="57" customFormat="1" hidden="1" x14ac:dyDescent="0.3">
      <c r="A1876" s="57" t="s">
        <v>10</v>
      </c>
      <c r="B1876" s="57" t="s">
        <v>1742</v>
      </c>
      <c r="C1876" s="57" t="s">
        <v>46</v>
      </c>
      <c r="D1876" s="57">
        <v>5532327536</v>
      </c>
      <c r="E1876" s="57">
        <v>356004</v>
      </c>
      <c r="F1876" s="90">
        <v>3764</v>
      </c>
      <c r="G1876" s="58">
        <v>46141</v>
      </c>
    </row>
    <row r="1877" spans="1:13" hidden="1" x14ac:dyDescent="0.3">
      <c r="A1877" s="44" t="s">
        <v>10</v>
      </c>
      <c r="B1877" s="44" t="s">
        <v>1723</v>
      </c>
      <c r="C1877" s="44" t="s">
        <v>129</v>
      </c>
      <c r="D1877" s="44">
        <v>5550311322</v>
      </c>
      <c r="E1877" s="44">
        <v>355924</v>
      </c>
      <c r="F1877" s="87">
        <v>595</v>
      </c>
      <c r="G1877" s="46">
        <v>46141</v>
      </c>
    </row>
    <row r="1878" spans="1:13" s="57" customFormat="1" hidden="1" x14ac:dyDescent="0.3">
      <c r="A1878" s="57" t="s">
        <v>10</v>
      </c>
      <c r="B1878" s="57" t="s">
        <v>1740</v>
      </c>
      <c r="C1878" s="57" t="s">
        <v>425</v>
      </c>
      <c r="D1878" s="57">
        <v>5612609168</v>
      </c>
      <c r="E1878" s="57">
        <v>356096</v>
      </c>
      <c r="F1878" s="90">
        <v>4880</v>
      </c>
      <c r="G1878" s="58">
        <v>46141</v>
      </c>
    </row>
    <row r="1879" spans="1:13" hidden="1" x14ac:dyDescent="0.3">
      <c r="A1879" s="44" t="s">
        <v>10</v>
      </c>
      <c r="B1879" s="44" t="s">
        <v>1741</v>
      </c>
      <c r="C1879" s="44" t="s">
        <v>1510</v>
      </c>
      <c r="D1879" s="44">
        <v>9981951537</v>
      </c>
      <c r="E1879" s="44">
        <v>303318</v>
      </c>
      <c r="F1879" s="87">
        <v>30149.99</v>
      </c>
      <c r="G1879" s="46">
        <v>46141</v>
      </c>
    </row>
    <row r="1880" spans="1:13" s="57" customFormat="1" hidden="1" x14ac:dyDescent="0.3">
      <c r="A1880" s="57" t="s">
        <v>17</v>
      </c>
      <c r="B1880" s="57" t="s">
        <v>766</v>
      </c>
      <c r="C1880" s="57" t="s">
        <v>490</v>
      </c>
      <c r="D1880" s="57">
        <v>5540964748</v>
      </c>
      <c r="E1880" s="57">
        <v>355541</v>
      </c>
      <c r="F1880" s="90">
        <v>7605</v>
      </c>
      <c r="G1880" s="58">
        <v>46141</v>
      </c>
    </row>
    <row r="1881" spans="1:13" hidden="1" x14ac:dyDescent="0.3">
      <c r="A1881" s="44" t="s">
        <v>17</v>
      </c>
      <c r="B1881" s="44" t="s">
        <v>766</v>
      </c>
      <c r="C1881" s="44" t="s">
        <v>490</v>
      </c>
      <c r="D1881" s="44">
        <v>5540964748</v>
      </c>
      <c r="E1881" s="44">
        <v>302230</v>
      </c>
      <c r="F1881" s="87">
        <v>1838</v>
      </c>
      <c r="G1881" s="46">
        <v>46141</v>
      </c>
    </row>
    <row r="1882" spans="1:13" s="57" customFormat="1" hidden="1" x14ac:dyDescent="0.3">
      <c r="A1882" s="57" t="s">
        <v>17</v>
      </c>
      <c r="B1882" s="57" t="s">
        <v>1673</v>
      </c>
      <c r="C1882" s="57" t="s">
        <v>545</v>
      </c>
      <c r="D1882" s="44">
        <v>5540964748</v>
      </c>
      <c r="E1882" s="57">
        <v>302780</v>
      </c>
      <c r="F1882" s="90">
        <v>6444.6</v>
      </c>
      <c r="G1882" s="58">
        <v>46141</v>
      </c>
    </row>
    <row r="1883" spans="1:13" hidden="1" x14ac:dyDescent="0.3">
      <c r="A1883" s="44" t="s">
        <v>17</v>
      </c>
      <c r="B1883" s="44" t="s">
        <v>1673</v>
      </c>
      <c r="C1883" s="44" t="s">
        <v>545</v>
      </c>
      <c r="D1883" s="44">
        <v>5540964748</v>
      </c>
      <c r="E1883" s="44">
        <v>302781</v>
      </c>
      <c r="F1883" s="87">
        <v>4977</v>
      </c>
      <c r="G1883" s="46">
        <v>46141</v>
      </c>
    </row>
    <row r="1884" spans="1:13" s="57" customFormat="1" hidden="1" x14ac:dyDescent="0.3">
      <c r="A1884" s="44" t="s">
        <v>17</v>
      </c>
      <c r="B1884" s="44" t="s">
        <v>66</v>
      </c>
      <c r="C1884" s="44" t="s">
        <v>68</v>
      </c>
      <c r="D1884" s="44">
        <v>5545286813</v>
      </c>
      <c r="E1884" s="44">
        <v>302967</v>
      </c>
      <c r="F1884" s="87">
        <v>26154</v>
      </c>
      <c r="G1884" s="46">
        <v>46141</v>
      </c>
    </row>
    <row r="1885" spans="1:13" hidden="1" x14ac:dyDescent="0.3">
      <c r="A1885" s="57" t="s">
        <v>17</v>
      </c>
      <c r="B1885" s="57" t="s">
        <v>158</v>
      </c>
      <c r="C1885" s="57" t="s">
        <v>159</v>
      </c>
      <c r="D1885" s="57">
        <v>5570826626</v>
      </c>
      <c r="E1885" s="57">
        <v>302634</v>
      </c>
      <c r="F1885" s="90">
        <v>9775.99</v>
      </c>
      <c r="G1885" s="58">
        <v>46141</v>
      </c>
      <c r="H1885" s="44" t="s">
        <v>1458</v>
      </c>
      <c r="I1885" s="44" t="s">
        <v>1745</v>
      </c>
      <c r="J1885" s="44">
        <v>1</v>
      </c>
      <c r="K1885" s="44" t="s">
        <v>1489</v>
      </c>
      <c r="L1885" s="44">
        <v>23</v>
      </c>
      <c r="M1885" s="44" t="s">
        <v>1746</v>
      </c>
    </row>
    <row r="1886" spans="1:13" s="57" customFormat="1" hidden="1" x14ac:dyDescent="0.3">
      <c r="A1886" s="44" t="s">
        <v>17</v>
      </c>
      <c r="B1886" s="44" t="s">
        <v>158</v>
      </c>
      <c r="C1886" s="44" t="s">
        <v>159</v>
      </c>
      <c r="D1886" s="44">
        <v>5570826626</v>
      </c>
      <c r="E1886" s="44">
        <v>34428</v>
      </c>
      <c r="F1886" s="87">
        <v>1698</v>
      </c>
      <c r="G1886" s="46">
        <v>46141</v>
      </c>
    </row>
    <row r="1887" spans="1:13" hidden="1" x14ac:dyDescent="0.3">
      <c r="A1887" s="57" t="s">
        <v>11</v>
      </c>
      <c r="B1887" s="57" t="s">
        <v>249</v>
      </c>
      <c r="C1887" s="57" t="s">
        <v>250</v>
      </c>
      <c r="D1887" s="57">
        <v>5535354019</v>
      </c>
      <c r="E1887" s="57">
        <v>34410</v>
      </c>
      <c r="F1887" s="90">
        <v>2420</v>
      </c>
      <c r="G1887" s="58">
        <v>46141</v>
      </c>
    </row>
    <row r="1888" spans="1:13" s="57" customFormat="1" hidden="1" x14ac:dyDescent="0.3">
      <c r="A1888" s="44" t="s">
        <v>11</v>
      </c>
      <c r="B1888" s="44" t="s">
        <v>249</v>
      </c>
      <c r="C1888" s="44" t="s">
        <v>250</v>
      </c>
      <c r="D1888" s="44">
        <v>5535354019</v>
      </c>
      <c r="E1888" s="44">
        <v>194484</v>
      </c>
      <c r="F1888" s="87">
        <v>7392</v>
      </c>
      <c r="G1888" s="46">
        <v>46141</v>
      </c>
    </row>
    <row r="1889" spans="1:12" hidden="1" x14ac:dyDescent="0.3">
      <c r="A1889" s="57" t="s">
        <v>11</v>
      </c>
      <c r="B1889" s="57" t="s">
        <v>249</v>
      </c>
      <c r="C1889" s="57" t="s">
        <v>250</v>
      </c>
      <c r="D1889" s="57">
        <v>5535354019</v>
      </c>
      <c r="E1889" s="57">
        <v>192485</v>
      </c>
      <c r="F1889" s="90">
        <v>2197.3200000000002</v>
      </c>
      <c r="G1889" s="58">
        <v>46141</v>
      </c>
    </row>
    <row r="1890" spans="1:12" s="57" customFormat="1" hidden="1" x14ac:dyDescent="0.3">
      <c r="A1890" s="44" t="s">
        <v>11</v>
      </c>
      <c r="B1890" s="44" t="s">
        <v>249</v>
      </c>
      <c r="C1890" s="44" t="s">
        <v>250</v>
      </c>
      <c r="D1890" s="44">
        <v>5535354019</v>
      </c>
      <c r="E1890" s="44">
        <v>191942</v>
      </c>
      <c r="F1890" s="87">
        <v>395</v>
      </c>
      <c r="G1890" s="46">
        <v>46141</v>
      </c>
    </row>
    <row r="1891" spans="1:12" hidden="1" x14ac:dyDescent="0.3">
      <c r="A1891" s="44" t="s">
        <v>11</v>
      </c>
      <c r="B1891" s="44" t="s">
        <v>1739</v>
      </c>
      <c r="C1891" s="44" t="s">
        <v>138</v>
      </c>
      <c r="D1891" s="44">
        <v>5542184903</v>
      </c>
      <c r="E1891" s="44">
        <v>192411</v>
      </c>
      <c r="F1891" s="87">
        <v>5156.4799999999996</v>
      </c>
      <c r="G1891" s="46">
        <v>46141</v>
      </c>
    </row>
    <row r="1892" spans="1:12" s="42" customFormat="1" hidden="1" x14ac:dyDescent="0.3">
      <c r="A1892" s="44" t="s">
        <v>10</v>
      </c>
      <c r="B1892" s="44" t="s">
        <v>1091</v>
      </c>
      <c r="C1892" s="44" t="s">
        <v>41</v>
      </c>
      <c r="D1892" s="44">
        <v>5527288634</v>
      </c>
      <c r="E1892" s="44">
        <v>356046</v>
      </c>
      <c r="F1892" s="87">
        <v>1248</v>
      </c>
      <c r="G1892" s="46">
        <v>46142</v>
      </c>
      <c r="H1892" s="42" t="s">
        <v>1458</v>
      </c>
      <c r="I1892" s="42" t="s">
        <v>1542</v>
      </c>
      <c r="J1892" s="42">
        <v>1</v>
      </c>
      <c r="K1892" s="42" t="s">
        <v>1747</v>
      </c>
      <c r="L1892" s="42">
        <v>1</v>
      </c>
    </row>
    <row r="1893" spans="1:12" hidden="1" x14ac:dyDescent="0.3">
      <c r="A1893" s="42" t="s">
        <v>10</v>
      </c>
      <c r="B1893" s="42" t="s">
        <v>1225</v>
      </c>
      <c r="C1893" s="42" t="s">
        <v>1748</v>
      </c>
      <c r="D1893" s="42">
        <v>5527372432</v>
      </c>
      <c r="E1893" s="42">
        <v>303008</v>
      </c>
      <c r="F1893" s="86">
        <v>1109.5999999999999</v>
      </c>
      <c r="G1893" s="43">
        <v>46142</v>
      </c>
    </row>
    <row r="1894" spans="1:12" s="42" customFormat="1" hidden="1" x14ac:dyDescent="0.3">
      <c r="A1894" s="42" t="s">
        <v>10</v>
      </c>
      <c r="B1894" s="42" t="s">
        <v>660</v>
      </c>
      <c r="C1894" s="42" t="s">
        <v>336</v>
      </c>
      <c r="D1894" s="42">
        <v>5547402145</v>
      </c>
      <c r="E1894" s="42">
        <v>303112</v>
      </c>
      <c r="F1894" s="86">
        <v>786</v>
      </c>
      <c r="G1894" s="43">
        <v>46142</v>
      </c>
    </row>
    <row r="1895" spans="1:12" s="42" customFormat="1" hidden="1" x14ac:dyDescent="0.3">
      <c r="A1895" s="42" t="s">
        <v>10</v>
      </c>
      <c r="B1895" s="42" t="s">
        <v>1749</v>
      </c>
      <c r="C1895" s="42" t="s">
        <v>806</v>
      </c>
      <c r="D1895" s="42">
        <v>5574381357</v>
      </c>
      <c r="E1895" s="42">
        <v>191966</v>
      </c>
      <c r="F1895" s="86">
        <v>12611.03</v>
      </c>
      <c r="G1895" s="43">
        <v>46142</v>
      </c>
    </row>
    <row r="1896" spans="1:12" hidden="1" x14ac:dyDescent="0.3">
      <c r="A1896" s="44" t="s">
        <v>17</v>
      </c>
      <c r="B1896" s="44" t="s">
        <v>275</v>
      </c>
      <c r="C1896" s="44" t="str">
        <f>IFERROR(VLOOKUP(B1896,Base2026!A:C,2,FALSE),"")</f>
        <v>CODICE MENDOCINO</v>
      </c>
      <c r="D1896" s="44">
        <f>IFERROR(VLOOKUP(C1896,Base2026!B:D,2,FALSE),"")</f>
        <v>5511246208</v>
      </c>
      <c r="E1896" s="44">
        <v>192200</v>
      </c>
      <c r="F1896" s="87">
        <v>9144</v>
      </c>
      <c r="G1896" s="46">
        <v>46142</v>
      </c>
    </row>
    <row r="1897" spans="1:12" s="42" customFormat="1" hidden="1" x14ac:dyDescent="0.3">
      <c r="A1897" s="42" t="s">
        <v>17</v>
      </c>
      <c r="B1897" s="42" t="s">
        <v>275</v>
      </c>
      <c r="C1897" s="42" t="str">
        <f>IFERROR(VLOOKUP(B1897,Base2026!A:C,2,FALSE),"")</f>
        <v>CODICE MENDOCINO</v>
      </c>
      <c r="D1897" s="42">
        <f>IFERROR(VLOOKUP(C1897,Base2026!B:D,2,FALSE),"")</f>
        <v>5511246208</v>
      </c>
      <c r="E1897" s="42">
        <v>34452</v>
      </c>
      <c r="F1897" s="86">
        <v>1808</v>
      </c>
      <c r="G1897" s="43">
        <v>46142</v>
      </c>
    </row>
    <row r="1898" spans="1:12" hidden="1" x14ac:dyDescent="0.3">
      <c r="A1898" s="42" t="s">
        <v>17</v>
      </c>
      <c r="B1898" s="42" t="s">
        <v>1752</v>
      </c>
      <c r="C1898" s="42" t="s">
        <v>70</v>
      </c>
      <c r="D1898" s="42">
        <v>5565367496</v>
      </c>
      <c r="E1898" s="42">
        <v>356013</v>
      </c>
      <c r="F1898" s="86">
        <v>1897.12</v>
      </c>
      <c r="G1898" s="43">
        <v>46142</v>
      </c>
    </row>
    <row r="1899" spans="1:12" s="42" customFormat="1" hidden="1" x14ac:dyDescent="0.3">
      <c r="A1899" s="44" t="s">
        <v>17</v>
      </c>
      <c r="B1899" s="44" t="s">
        <v>1192</v>
      </c>
      <c r="C1899" s="44" t="s">
        <v>84</v>
      </c>
      <c r="D1899" s="44">
        <v>5570855960</v>
      </c>
      <c r="E1899" s="44">
        <v>355977</v>
      </c>
      <c r="F1899" s="87">
        <v>850</v>
      </c>
      <c r="G1899" s="46">
        <v>46142</v>
      </c>
    </row>
    <row r="1900" spans="1:12" hidden="1" x14ac:dyDescent="0.3">
      <c r="A1900" s="42" t="s">
        <v>17</v>
      </c>
      <c r="B1900" s="42" t="s">
        <v>1192</v>
      </c>
      <c r="C1900" s="42" t="s">
        <v>84</v>
      </c>
      <c r="D1900" s="42">
        <v>5570855960</v>
      </c>
      <c r="E1900" s="42">
        <v>302285</v>
      </c>
      <c r="F1900" s="86">
        <v>52</v>
      </c>
      <c r="G1900" s="43">
        <v>46142</v>
      </c>
    </row>
    <row r="1901" spans="1:12" s="42" customFormat="1" hidden="1" x14ac:dyDescent="0.3">
      <c r="A1901" s="42" t="s">
        <v>17</v>
      </c>
      <c r="B1901" s="42" t="s">
        <v>685</v>
      </c>
      <c r="C1901" s="42" t="str">
        <f>IFERROR(VLOOKUP(B1901,Base2026!A:C,2,FALSE),"")</f>
        <v>PLAZAS DE ARAGON</v>
      </c>
      <c r="D1901" s="42">
        <v>5573743760</v>
      </c>
      <c r="E1901" s="42">
        <v>192778</v>
      </c>
      <c r="F1901" s="86">
        <v>4030</v>
      </c>
      <c r="G1901" s="43">
        <v>46142</v>
      </c>
    </row>
    <row r="1902" spans="1:12" hidden="1" x14ac:dyDescent="0.3">
      <c r="A1902" s="44" t="s">
        <v>17</v>
      </c>
      <c r="B1902" s="44" t="s">
        <v>1753</v>
      </c>
      <c r="C1902" s="44" t="s">
        <v>1692</v>
      </c>
      <c r="D1902" s="44">
        <v>5621541364</v>
      </c>
      <c r="E1902" s="44">
        <v>356164</v>
      </c>
      <c r="F1902" s="87">
        <v>3000</v>
      </c>
      <c r="G1902" s="46">
        <v>46142</v>
      </c>
    </row>
    <row r="1903" spans="1:12" s="42" customFormat="1" hidden="1" x14ac:dyDescent="0.3">
      <c r="A1903" s="44" t="s">
        <v>17</v>
      </c>
      <c r="B1903" s="44" t="s">
        <v>556</v>
      </c>
      <c r="C1903" s="44" t="str">
        <f>IFERROR(VLOOKUP(B1903,Base2026!A:C,2,FALSE),"")</f>
        <v>GRANJAS INDEPENCDENCIA</v>
      </c>
      <c r="D1903" s="44">
        <f>IFERROR(VLOOKUP(C1903,Base2026!B:D,2,FALSE),"")</f>
        <v>5630067875</v>
      </c>
      <c r="E1903" s="44">
        <v>356152</v>
      </c>
      <c r="F1903" s="87">
        <v>4350</v>
      </c>
      <c r="G1903" s="46">
        <v>46142</v>
      </c>
    </row>
    <row r="1904" spans="1:12" hidden="1" x14ac:dyDescent="0.3">
      <c r="A1904" s="42" t="s">
        <v>17</v>
      </c>
      <c r="B1904" s="42" t="s">
        <v>1754</v>
      </c>
      <c r="C1904" s="42" t="s">
        <v>425</v>
      </c>
      <c r="D1904" s="42">
        <v>5648558794</v>
      </c>
      <c r="E1904" s="42">
        <v>192828</v>
      </c>
      <c r="F1904" s="86">
        <v>2865</v>
      </c>
      <c r="G1904" s="43">
        <v>46142</v>
      </c>
    </row>
    <row r="1905" spans="1:7" s="42" customFormat="1" hidden="1" x14ac:dyDescent="0.3">
      <c r="A1905" s="42" t="s">
        <v>11</v>
      </c>
      <c r="B1905" s="42" t="s">
        <v>516</v>
      </c>
      <c r="C1905" s="42" t="s">
        <v>16</v>
      </c>
      <c r="D1905" s="42">
        <v>5514614910</v>
      </c>
      <c r="E1905" s="42">
        <v>192020</v>
      </c>
      <c r="F1905" s="86">
        <v>4628.99</v>
      </c>
      <c r="G1905" s="43">
        <v>46142</v>
      </c>
    </row>
    <row r="1906" spans="1:7" hidden="1" x14ac:dyDescent="0.3">
      <c r="A1906" s="44" t="s">
        <v>11</v>
      </c>
      <c r="B1906" s="44" t="s">
        <v>516</v>
      </c>
      <c r="C1906" s="44" t="s">
        <v>16</v>
      </c>
      <c r="D1906" s="44">
        <v>5514614910</v>
      </c>
      <c r="E1906" s="44">
        <v>34426</v>
      </c>
      <c r="F1906" s="87">
        <v>996</v>
      </c>
      <c r="G1906" s="46">
        <v>46142</v>
      </c>
    </row>
    <row r="1907" spans="1:7" s="42" customFormat="1" hidden="1" x14ac:dyDescent="0.3">
      <c r="A1907" s="44" t="s">
        <v>11</v>
      </c>
      <c r="B1907" s="44" t="s">
        <v>1594</v>
      </c>
      <c r="C1907" s="44" t="s">
        <v>795</v>
      </c>
      <c r="D1907" s="44">
        <v>5568734619</v>
      </c>
      <c r="E1907" s="44">
        <v>356147</v>
      </c>
      <c r="F1907" s="87">
        <v>959</v>
      </c>
      <c r="G1907" s="46">
        <v>46142</v>
      </c>
    </row>
    <row r="1908" spans="1:7" hidden="1" x14ac:dyDescent="0.3">
      <c r="A1908" s="42" t="s">
        <v>11</v>
      </c>
      <c r="B1908" s="42" t="s">
        <v>1750</v>
      </c>
      <c r="C1908" s="42" t="s">
        <v>1751</v>
      </c>
      <c r="D1908" s="42">
        <v>5586154023</v>
      </c>
      <c r="E1908" s="42">
        <v>355625</v>
      </c>
      <c r="F1908" s="86">
        <v>22584.43</v>
      </c>
      <c r="G1908" s="43">
        <v>46142</v>
      </c>
    </row>
    <row r="1909" spans="1:7" s="42" customFormat="1" hidden="1" x14ac:dyDescent="0.3">
      <c r="A1909" s="44" t="s">
        <v>11</v>
      </c>
      <c r="B1909" s="44" t="s">
        <v>1750</v>
      </c>
      <c r="C1909" s="44" t="s">
        <v>1751</v>
      </c>
      <c r="D1909" s="44">
        <v>5586154023</v>
      </c>
      <c r="E1909" s="44">
        <v>355600</v>
      </c>
      <c r="F1909" s="87">
        <v>4096</v>
      </c>
      <c r="G1909" s="46">
        <v>46142</v>
      </c>
    </row>
    <row r="1910" spans="1:7" hidden="1" x14ac:dyDescent="0.3">
      <c r="A1910" s="44" t="s">
        <v>47</v>
      </c>
      <c r="B1910" s="44" t="s">
        <v>1761</v>
      </c>
      <c r="C1910" s="44" t="s">
        <v>1762</v>
      </c>
      <c r="D1910" s="44">
        <v>7771201133</v>
      </c>
      <c r="E1910" s="44">
        <v>302072</v>
      </c>
      <c r="F1910" s="87">
        <v>189024</v>
      </c>
      <c r="G1910" s="46">
        <v>46144</v>
      </c>
    </row>
    <row r="1911" spans="1:7" s="100" customFormat="1" hidden="1" x14ac:dyDescent="0.3">
      <c r="A1911" s="44" t="s">
        <v>10</v>
      </c>
      <c r="B1911" s="44" t="s">
        <v>1760</v>
      </c>
      <c r="C1911" s="44" t="s">
        <v>41</v>
      </c>
      <c r="D1911" s="44">
        <v>5518443718</v>
      </c>
      <c r="E1911" s="44">
        <v>356122</v>
      </c>
      <c r="F1911" s="87">
        <v>3568.72</v>
      </c>
      <c r="G1911" s="46">
        <v>46144</v>
      </c>
    </row>
    <row r="1912" spans="1:7" hidden="1" x14ac:dyDescent="0.3">
      <c r="A1912" s="100" t="s">
        <v>10</v>
      </c>
      <c r="B1912" s="100" t="s">
        <v>751</v>
      </c>
      <c r="C1912" s="100" t="s">
        <v>84</v>
      </c>
      <c r="D1912" s="100">
        <v>5573263874</v>
      </c>
      <c r="E1912" s="100">
        <v>303160</v>
      </c>
      <c r="F1912" s="101">
        <v>4658.5600000000004</v>
      </c>
      <c r="G1912" s="102">
        <v>46144</v>
      </c>
    </row>
    <row r="1913" spans="1:7" s="100" customFormat="1" hidden="1" x14ac:dyDescent="0.3">
      <c r="A1913" s="100" t="s">
        <v>10</v>
      </c>
      <c r="B1913" s="100" t="s">
        <v>1759</v>
      </c>
      <c r="C1913" s="100" t="s">
        <v>225</v>
      </c>
      <c r="D1913" s="100">
        <v>5579994084</v>
      </c>
      <c r="E1913" s="100">
        <v>302948</v>
      </c>
      <c r="F1913" s="101">
        <v>6369.91</v>
      </c>
      <c r="G1913" s="102">
        <v>46144</v>
      </c>
    </row>
    <row r="1914" spans="1:7" hidden="1" x14ac:dyDescent="0.3">
      <c r="A1914" s="44" t="s">
        <v>17</v>
      </c>
      <c r="B1914" s="44" t="s">
        <v>1756</v>
      </c>
      <c r="C1914" s="44" t="s">
        <v>545</v>
      </c>
      <c r="D1914" s="44">
        <v>5522005782</v>
      </c>
      <c r="E1914" s="44">
        <v>302978</v>
      </c>
      <c r="F1914" s="87">
        <v>827.96</v>
      </c>
      <c r="G1914" s="46">
        <v>46144</v>
      </c>
    </row>
    <row r="1915" spans="1:7" s="100" customFormat="1" hidden="1" x14ac:dyDescent="0.3">
      <c r="A1915" s="44" t="s">
        <v>17</v>
      </c>
      <c r="B1915" s="44" t="s">
        <v>1755</v>
      </c>
      <c r="C1915" s="44" t="s">
        <v>465</v>
      </c>
      <c r="D1915" s="44">
        <v>5530077745</v>
      </c>
      <c r="E1915" s="44">
        <v>302947</v>
      </c>
      <c r="F1915" s="87">
        <v>14670</v>
      </c>
      <c r="G1915" s="46">
        <v>46144</v>
      </c>
    </row>
    <row r="1916" spans="1:7" hidden="1" x14ac:dyDescent="0.3">
      <c r="A1916" s="100" t="s">
        <v>17</v>
      </c>
      <c r="B1916" s="100" t="s">
        <v>1755</v>
      </c>
      <c r="C1916" s="100" t="s">
        <v>465</v>
      </c>
      <c r="D1916" s="100">
        <f>IFERROR(VLOOKUP(C1916,Base2026!B:D,2,FALSE),"")</f>
        <v>5530077745</v>
      </c>
      <c r="E1916" s="100">
        <v>302276</v>
      </c>
      <c r="F1916" s="101">
        <v>888</v>
      </c>
      <c r="G1916" s="102">
        <v>46144</v>
      </c>
    </row>
    <row r="1917" spans="1:7" s="100" customFormat="1" hidden="1" x14ac:dyDescent="0.3">
      <c r="A1917" s="100" t="s">
        <v>17</v>
      </c>
      <c r="B1917" s="100" t="s">
        <v>542</v>
      </c>
      <c r="C1917" s="100" t="s">
        <v>543</v>
      </c>
      <c r="D1917" s="100">
        <f>IFERROR(VLOOKUP(C1917,Base2026!B:D,2,FALSE),"")</f>
        <v>5548815048</v>
      </c>
      <c r="E1917" s="100">
        <v>303336</v>
      </c>
      <c r="F1917" s="101">
        <v>1700</v>
      </c>
      <c r="G1917" s="102">
        <v>46144</v>
      </c>
    </row>
    <row r="1918" spans="1:7" hidden="1" x14ac:dyDescent="0.3">
      <c r="A1918" s="44" t="s">
        <v>17</v>
      </c>
      <c r="B1918" s="44" t="s">
        <v>1757</v>
      </c>
      <c r="C1918" s="44" t="s">
        <v>68</v>
      </c>
      <c r="D1918" s="44">
        <v>5554387239</v>
      </c>
      <c r="E1918" s="44">
        <v>302766</v>
      </c>
      <c r="F1918" s="87">
        <v>2015.28</v>
      </c>
      <c r="G1918" s="46">
        <v>46144</v>
      </c>
    </row>
    <row r="1919" spans="1:7" s="100" customFormat="1" hidden="1" x14ac:dyDescent="0.3">
      <c r="A1919" s="100" t="s">
        <v>17</v>
      </c>
      <c r="B1919" s="100" t="s">
        <v>1757</v>
      </c>
      <c r="C1919" s="100" t="s">
        <v>68</v>
      </c>
      <c r="D1919" s="100">
        <v>5554387239</v>
      </c>
      <c r="E1919" s="100">
        <v>302767</v>
      </c>
      <c r="F1919" s="101">
        <v>877</v>
      </c>
      <c r="G1919" s="102">
        <v>46144</v>
      </c>
    </row>
    <row r="1920" spans="1:7" hidden="1" x14ac:dyDescent="0.3">
      <c r="A1920" s="44" t="s">
        <v>11</v>
      </c>
      <c r="B1920" s="44" t="s">
        <v>1758</v>
      </c>
      <c r="C1920" s="44" t="s">
        <v>41</v>
      </c>
      <c r="D1920" s="44">
        <v>5518666206</v>
      </c>
      <c r="E1920" s="44">
        <v>355258</v>
      </c>
      <c r="F1920" s="87">
        <v>38409.449999999997</v>
      </c>
      <c r="G1920" s="46">
        <v>46144</v>
      </c>
    </row>
    <row r="1921" spans="1:12" s="60" customFormat="1" hidden="1" x14ac:dyDescent="0.3">
      <c r="A1921" s="44" t="s">
        <v>47</v>
      </c>
      <c r="B1921" s="44" t="s">
        <v>1171</v>
      </c>
      <c r="C1921" s="44" t="s">
        <v>1777</v>
      </c>
      <c r="D1921" s="44">
        <v>3334234252</v>
      </c>
      <c r="E1921" s="44">
        <v>34386</v>
      </c>
      <c r="F1921" s="87">
        <v>2960</v>
      </c>
      <c r="G1921" s="46">
        <v>46146</v>
      </c>
    </row>
    <row r="1922" spans="1:12" hidden="1" x14ac:dyDescent="0.3">
      <c r="A1922" s="44" t="s">
        <v>47</v>
      </c>
      <c r="B1922" s="44" t="s">
        <v>1774</v>
      </c>
      <c r="C1922" s="44" t="s">
        <v>306</v>
      </c>
      <c r="D1922" s="44">
        <v>5512762501</v>
      </c>
      <c r="E1922" s="44">
        <v>192650</v>
      </c>
      <c r="F1922" s="87">
        <v>2790.79</v>
      </c>
      <c r="G1922" s="46">
        <v>46146</v>
      </c>
    </row>
    <row r="1923" spans="1:12" s="60" customFormat="1" hidden="1" x14ac:dyDescent="0.3">
      <c r="A1923" s="60" t="s">
        <v>47</v>
      </c>
      <c r="B1923" s="60" t="s">
        <v>1171</v>
      </c>
      <c r="C1923" s="60" t="s">
        <v>1777</v>
      </c>
      <c r="D1923" s="60">
        <v>5534234252</v>
      </c>
      <c r="E1923" s="60">
        <v>191799</v>
      </c>
      <c r="F1923" s="79">
        <v>17102.990000000002</v>
      </c>
      <c r="G1923" s="69">
        <v>46146</v>
      </c>
    </row>
    <row r="1924" spans="1:12" hidden="1" x14ac:dyDescent="0.3">
      <c r="A1924" s="60" t="s">
        <v>47</v>
      </c>
      <c r="B1924" s="60" t="s">
        <v>1624</v>
      </c>
      <c r="C1924" s="60" t="s">
        <v>144</v>
      </c>
      <c r="D1924" s="60">
        <v>5535078507</v>
      </c>
      <c r="E1924" s="60">
        <v>192666</v>
      </c>
      <c r="F1924" s="79">
        <v>2812</v>
      </c>
      <c r="G1924" s="69">
        <v>46146</v>
      </c>
    </row>
    <row r="1925" spans="1:12" s="60" customFormat="1" hidden="1" x14ac:dyDescent="0.3">
      <c r="A1925" s="44" t="s">
        <v>47</v>
      </c>
      <c r="B1925" s="44" t="s">
        <v>1624</v>
      </c>
      <c r="C1925" s="44" t="s">
        <v>144</v>
      </c>
      <c r="D1925" s="44">
        <v>5535078507</v>
      </c>
      <c r="E1925" s="44">
        <v>34511</v>
      </c>
      <c r="F1925" s="87">
        <v>30</v>
      </c>
      <c r="G1925" s="46">
        <v>46146</v>
      </c>
    </row>
    <row r="1926" spans="1:12" hidden="1" x14ac:dyDescent="0.3">
      <c r="A1926" s="60" t="s">
        <v>47</v>
      </c>
      <c r="B1926" s="60" t="s">
        <v>1624</v>
      </c>
      <c r="C1926" s="60" t="s">
        <v>144</v>
      </c>
      <c r="D1926" s="60">
        <v>5535078507</v>
      </c>
      <c r="E1926" s="60">
        <v>192665</v>
      </c>
      <c r="F1926" s="79">
        <v>4590</v>
      </c>
      <c r="G1926" s="69">
        <v>46146</v>
      </c>
    </row>
    <row r="1927" spans="1:12" s="60" customFormat="1" hidden="1" x14ac:dyDescent="0.3">
      <c r="A1927" s="44" t="s">
        <v>47</v>
      </c>
      <c r="B1927" s="44" t="s">
        <v>1775</v>
      </c>
      <c r="C1927" s="44" t="s">
        <v>1776</v>
      </c>
      <c r="D1927" s="44">
        <v>5543048375</v>
      </c>
      <c r="E1927" s="44">
        <v>34565</v>
      </c>
      <c r="F1927" s="87">
        <v>425</v>
      </c>
      <c r="G1927" s="46">
        <v>46146</v>
      </c>
    </row>
    <row r="1928" spans="1:12" hidden="1" x14ac:dyDescent="0.3">
      <c r="A1928" s="60" t="s">
        <v>47</v>
      </c>
      <c r="B1928" s="60" t="s">
        <v>1775</v>
      </c>
      <c r="C1928" s="60" t="s">
        <v>1776</v>
      </c>
      <c r="D1928" s="60">
        <v>5543048375</v>
      </c>
      <c r="E1928" s="60">
        <v>34564</v>
      </c>
      <c r="F1928" s="79">
        <v>6419.12</v>
      </c>
      <c r="G1928" s="69">
        <v>46146</v>
      </c>
      <c r="H1928" s="44" t="s">
        <v>1458</v>
      </c>
      <c r="I1928" s="44" t="s">
        <v>1766</v>
      </c>
      <c r="J1928" s="44">
        <v>7</v>
      </c>
    </row>
    <row r="1929" spans="1:12" s="60" customFormat="1" hidden="1" x14ac:dyDescent="0.3">
      <c r="A1929" s="44" t="s">
        <v>47</v>
      </c>
      <c r="B1929" s="44" t="s">
        <v>1775</v>
      </c>
      <c r="C1929" s="44" t="s">
        <v>1776</v>
      </c>
      <c r="D1929" s="44">
        <v>5543048375</v>
      </c>
      <c r="E1929" s="44">
        <v>34563</v>
      </c>
      <c r="F1929" s="87">
        <v>2885</v>
      </c>
      <c r="G1929" s="46">
        <v>46146</v>
      </c>
    </row>
    <row r="1930" spans="1:12" hidden="1" x14ac:dyDescent="0.3">
      <c r="A1930" s="60" t="s">
        <v>47</v>
      </c>
      <c r="B1930" s="60" t="s">
        <v>1775</v>
      </c>
      <c r="C1930" s="60" t="s">
        <v>1776</v>
      </c>
      <c r="D1930" s="60">
        <v>5543048375</v>
      </c>
      <c r="E1930" s="60">
        <v>193054</v>
      </c>
      <c r="F1930" s="79">
        <v>3040</v>
      </c>
      <c r="G1930" s="69">
        <v>46146</v>
      </c>
    </row>
    <row r="1931" spans="1:12" s="60" customFormat="1" hidden="1" x14ac:dyDescent="0.3">
      <c r="A1931" s="44" t="s">
        <v>47</v>
      </c>
      <c r="B1931" s="44" t="s">
        <v>261</v>
      </c>
      <c r="C1931" s="44" t="s">
        <v>183</v>
      </c>
      <c r="D1931" s="44">
        <v>5545307626</v>
      </c>
      <c r="E1931" s="44">
        <v>302975</v>
      </c>
      <c r="F1931" s="87">
        <v>5121.83</v>
      </c>
      <c r="G1931" s="46">
        <v>46146</v>
      </c>
    </row>
    <row r="1932" spans="1:12" hidden="1" x14ac:dyDescent="0.3">
      <c r="A1932" s="60" t="s">
        <v>47</v>
      </c>
      <c r="B1932" s="60" t="s">
        <v>1773</v>
      </c>
      <c r="C1932" s="60" t="s">
        <v>125</v>
      </c>
      <c r="D1932" s="60">
        <v>5560668313</v>
      </c>
      <c r="E1932" s="60">
        <v>355618</v>
      </c>
      <c r="F1932" s="79">
        <v>10101.870000000001</v>
      </c>
      <c r="G1932" s="69">
        <v>46146</v>
      </c>
    </row>
    <row r="1933" spans="1:12" s="60" customFormat="1" hidden="1" x14ac:dyDescent="0.3">
      <c r="A1933" s="60" t="s">
        <v>10</v>
      </c>
      <c r="B1933" s="60" t="s">
        <v>1763</v>
      </c>
      <c r="C1933" s="60" t="s">
        <v>1479</v>
      </c>
      <c r="D1933" s="60">
        <v>5527105865</v>
      </c>
      <c r="E1933" s="60">
        <v>302126</v>
      </c>
      <c r="F1933" s="79">
        <v>21908</v>
      </c>
      <c r="G1933" s="69">
        <v>46146</v>
      </c>
    </row>
    <row r="1934" spans="1:12" hidden="1" x14ac:dyDescent="0.3">
      <c r="A1934" s="44" t="s">
        <v>10</v>
      </c>
      <c r="B1934" s="44" t="s">
        <v>700</v>
      </c>
      <c r="C1934" s="44" t="str">
        <f>IFERROR(VLOOKUP(B1934,Base2026!A:C,2,FALSE),"")</f>
        <v>TULTEPEC</v>
      </c>
      <c r="D1934" s="44">
        <f>IFERROR(VLOOKUP(C1934,Base2026!B:D,2,FALSE),"")</f>
        <v>5554704647</v>
      </c>
      <c r="E1934" s="44">
        <v>302419</v>
      </c>
      <c r="F1934" s="87">
        <v>19108.29</v>
      </c>
      <c r="G1934" s="46">
        <v>46146</v>
      </c>
    </row>
    <row r="1935" spans="1:12" s="60" customFormat="1" x14ac:dyDescent="0.3">
      <c r="A1935" s="60" t="s">
        <v>10</v>
      </c>
      <c r="B1935" s="60" t="s">
        <v>528</v>
      </c>
      <c r="C1935" s="60" t="s">
        <v>1684</v>
      </c>
      <c r="D1935" s="60">
        <v>5551905191</v>
      </c>
      <c r="E1935" s="60">
        <v>303152</v>
      </c>
      <c r="F1935" s="79">
        <v>1208.56</v>
      </c>
      <c r="G1935" s="69">
        <v>46146</v>
      </c>
      <c r="H1935" s="60" t="s">
        <v>1458</v>
      </c>
      <c r="I1935" s="60" t="s">
        <v>1467</v>
      </c>
      <c r="J1935" s="60">
        <v>5</v>
      </c>
      <c r="K1935" s="60" t="s">
        <v>1539</v>
      </c>
      <c r="L1935" s="60">
        <v>60</v>
      </c>
    </row>
    <row r="1936" spans="1:12" x14ac:dyDescent="0.3">
      <c r="A1936" s="44" t="s">
        <v>10</v>
      </c>
      <c r="B1936" s="44" t="s">
        <v>528</v>
      </c>
      <c r="C1936" s="44" t="s">
        <v>1684</v>
      </c>
      <c r="D1936" s="60">
        <v>5551905191</v>
      </c>
      <c r="E1936" s="44">
        <v>302205</v>
      </c>
      <c r="F1936" s="87">
        <v>1622.84</v>
      </c>
      <c r="G1936" s="46">
        <v>46146</v>
      </c>
    </row>
    <row r="1937" spans="1:13" s="60" customFormat="1" hidden="1" x14ac:dyDescent="0.3">
      <c r="A1937" s="44" t="s">
        <v>17</v>
      </c>
      <c r="B1937" s="44" t="s">
        <v>1673</v>
      </c>
      <c r="C1937" s="44" t="s">
        <v>545</v>
      </c>
      <c r="D1937" s="44">
        <v>5513648864</v>
      </c>
      <c r="E1937" s="44">
        <v>302779</v>
      </c>
      <c r="F1937" s="87">
        <v>11091.91</v>
      </c>
      <c r="G1937" s="46">
        <v>46146</v>
      </c>
    </row>
    <row r="1938" spans="1:13" hidden="1" x14ac:dyDescent="0.3">
      <c r="A1938" s="60" t="s">
        <v>17</v>
      </c>
      <c r="B1938" s="60" t="s">
        <v>1764</v>
      </c>
      <c r="C1938" s="60" t="s">
        <v>204</v>
      </c>
      <c r="D1938" s="60">
        <v>5516056968</v>
      </c>
      <c r="E1938" s="60">
        <v>355769</v>
      </c>
      <c r="F1938" s="79">
        <v>5962.24</v>
      </c>
      <c r="G1938" s="69">
        <v>46146</v>
      </c>
    </row>
    <row r="1939" spans="1:13" s="60" customFormat="1" hidden="1" x14ac:dyDescent="0.3">
      <c r="A1939" s="44" t="s">
        <v>17</v>
      </c>
      <c r="B1939" s="44" t="s">
        <v>1769</v>
      </c>
      <c r="C1939" s="44" t="s">
        <v>84</v>
      </c>
      <c r="D1939" s="44">
        <v>5527840386</v>
      </c>
      <c r="E1939" s="44">
        <v>192946</v>
      </c>
      <c r="F1939" s="87">
        <v>2280.96</v>
      </c>
      <c r="G1939" s="46">
        <v>46146</v>
      </c>
    </row>
    <row r="1940" spans="1:13" hidden="1" x14ac:dyDescent="0.3">
      <c r="A1940" s="44" t="s">
        <v>17</v>
      </c>
      <c r="B1940" s="44" t="s">
        <v>1691</v>
      </c>
      <c r="C1940" s="44" t="s">
        <v>1379</v>
      </c>
      <c r="D1940" s="60">
        <v>5535055760</v>
      </c>
      <c r="E1940" s="44">
        <v>302825</v>
      </c>
      <c r="F1940" s="87">
        <v>5251.19</v>
      </c>
      <c r="G1940" s="46">
        <v>46146</v>
      </c>
    </row>
    <row r="1941" spans="1:13" s="60" customFormat="1" hidden="1" x14ac:dyDescent="0.3">
      <c r="A1941" s="60" t="s">
        <v>17</v>
      </c>
      <c r="B1941" s="60" t="s">
        <v>684</v>
      </c>
      <c r="C1941" s="60" t="s">
        <v>293</v>
      </c>
      <c r="D1941" s="60">
        <v>5535055760</v>
      </c>
      <c r="E1941" s="60">
        <v>193073</v>
      </c>
      <c r="F1941" s="79">
        <v>6500</v>
      </c>
      <c r="G1941" s="69">
        <v>46146</v>
      </c>
    </row>
    <row r="1942" spans="1:13" hidden="1" x14ac:dyDescent="0.3">
      <c r="A1942" s="44" t="s">
        <v>17</v>
      </c>
      <c r="B1942" s="44" t="s">
        <v>1757</v>
      </c>
      <c r="C1942" s="44" t="s">
        <v>68</v>
      </c>
      <c r="D1942" s="44">
        <v>5554387239</v>
      </c>
      <c r="E1942" s="44">
        <v>302766</v>
      </c>
      <c r="F1942" s="87">
        <v>2015.28</v>
      </c>
      <c r="G1942" s="46">
        <v>46146</v>
      </c>
      <c r="H1942" s="44" t="s">
        <v>1458</v>
      </c>
      <c r="I1942" s="44" t="s">
        <v>1533</v>
      </c>
      <c r="J1942" s="44">
        <v>1</v>
      </c>
      <c r="K1942" s="44" t="s">
        <v>1534</v>
      </c>
      <c r="L1942" s="44">
        <v>5</v>
      </c>
    </row>
    <row r="1943" spans="1:13" s="60" customFormat="1" hidden="1" x14ac:dyDescent="0.3">
      <c r="A1943" s="60" t="s">
        <v>17</v>
      </c>
      <c r="B1943" s="60" t="s">
        <v>1757</v>
      </c>
      <c r="C1943" s="60" t="s">
        <v>68</v>
      </c>
      <c r="D1943" s="60">
        <v>5554387239</v>
      </c>
      <c r="E1943" s="60">
        <v>302767</v>
      </c>
      <c r="F1943" s="79">
        <v>877</v>
      </c>
      <c r="G1943" s="69">
        <v>46146</v>
      </c>
    </row>
    <row r="1944" spans="1:13" hidden="1" x14ac:dyDescent="0.3">
      <c r="A1944" s="60" t="s">
        <v>17</v>
      </c>
      <c r="B1944" s="60" t="s">
        <v>1765</v>
      </c>
      <c r="C1944" s="60" t="s">
        <v>74</v>
      </c>
      <c r="D1944" s="60">
        <v>5584404366</v>
      </c>
      <c r="E1944" s="60">
        <v>303383</v>
      </c>
      <c r="F1944" s="79">
        <v>1600</v>
      </c>
      <c r="G1944" s="69">
        <v>46146</v>
      </c>
    </row>
    <row r="1945" spans="1:13" s="60" customFormat="1" hidden="1" x14ac:dyDescent="0.3">
      <c r="A1945" s="60" t="s">
        <v>17</v>
      </c>
      <c r="B1945" s="60" t="s">
        <v>1768</v>
      </c>
      <c r="C1945" s="60" t="s">
        <v>1767</v>
      </c>
      <c r="D1945" s="60">
        <v>5634790373</v>
      </c>
      <c r="E1945" s="60">
        <v>356419</v>
      </c>
      <c r="F1945" s="79">
        <v>832</v>
      </c>
      <c r="G1945" s="69">
        <v>46146</v>
      </c>
    </row>
    <row r="1946" spans="1:13" hidden="1" x14ac:dyDescent="0.3">
      <c r="A1946" s="44" t="s">
        <v>17</v>
      </c>
      <c r="B1946" s="44" t="s">
        <v>1772</v>
      </c>
      <c r="C1946" s="44" t="s">
        <v>84</v>
      </c>
      <c r="D1946" s="44">
        <v>5634790373</v>
      </c>
      <c r="E1946" s="44">
        <v>356375</v>
      </c>
      <c r="F1946" s="87">
        <v>2926</v>
      </c>
      <c r="G1946" s="46">
        <v>46146</v>
      </c>
    </row>
    <row r="1947" spans="1:13" s="60" customFormat="1" hidden="1" x14ac:dyDescent="0.3">
      <c r="A1947" s="44" t="s">
        <v>11</v>
      </c>
      <c r="B1947" s="44" t="s">
        <v>179</v>
      </c>
      <c r="C1947" s="44" t="s">
        <v>1771</v>
      </c>
      <c r="D1947" s="44">
        <v>5578854795</v>
      </c>
      <c r="E1947" s="44">
        <v>1705</v>
      </c>
      <c r="F1947" s="87">
        <v>431300.1</v>
      </c>
      <c r="G1947" s="46">
        <v>46146</v>
      </c>
    </row>
    <row r="1948" spans="1:13" hidden="1" x14ac:dyDescent="0.3">
      <c r="A1948" s="60" t="s">
        <v>11</v>
      </c>
      <c r="B1948" s="60" t="s">
        <v>651</v>
      </c>
      <c r="C1948" s="60" t="str">
        <f>IFERROR(VLOOKUP(B1948,Base2026!A:C,2,FALSE),"")</f>
        <v>SANTIAGO ZACUALUCA</v>
      </c>
      <c r="D1948" s="60">
        <f>IFERROR(VLOOKUP(C1948,Base2026!B:D,2,FALSE),"")</f>
        <v>5578854795</v>
      </c>
      <c r="E1948" s="60">
        <v>356275</v>
      </c>
      <c r="F1948" s="79">
        <v>26529</v>
      </c>
      <c r="G1948" s="69">
        <v>46146</v>
      </c>
    </row>
    <row r="1949" spans="1:13" s="51" customFormat="1" hidden="1" x14ac:dyDescent="0.3">
      <c r="A1949" s="44" t="s">
        <v>47</v>
      </c>
      <c r="B1949" s="44" t="s">
        <v>1641</v>
      </c>
      <c r="C1949" s="44" t="s">
        <v>336</v>
      </c>
      <c r="D1949" s="44">
        <v>5527577305</v>
      </c>
      <c r="E1949" s="44">
        <v>192820</v>
      </c>
      <c r="F1949" s="85">
        <v>1410.64</v>
      </c>
      <c r="G1949" s="46">
        <v>46147</v>
      </c>
      <c r="H1949" s="51" t="s">
        <v>1458</v>
      </c>
      <c r="I1949" s="51" t="s">
        <v>1778</v>
      </c>
      <c r="J1949" s="51">
        <v>3</v>
      </c>
      <c r="K1949" s="51" t="s">
        <v>1519</v>
      </c>
      <c r="L1949" s="51">
        <v>3</v>
      </c>
      <c r="M1949" s="51" t="s">
        <v>1779</v>
      </c>
    </row>
    <row r="1950" spans="1:13" hidden="1" x14ac:dyDescent="0.3">
      <c r="A1950" s="51" t="s">
        <v>47</v>
      </c>
      <c r="B1950" s="51" t="s">
        <v>1641</v>
      </c>
      <c r="C1950" s="51" t="s">
        <v>336</v>
      </c>
      <c r="D1950" s="51">
        <v>5527577305</v>
      </c>
      <c r="E1950" s="51">
        <v>193062</v>
      </c>
      <c r="F1950" s="68">
        <v>233</v>
      </c>
      <c r="G1950" s="52">
        <v>46147</v>
      </c>
    </row>
    <row r="1951" spans="1:13" s="51" customFormat="1" ht="18" hidden="1" customHeight="1" x14ac:dyDescent="0.3">
      <c r="A1951" s="44" t="s">
        <v>47</v>
      </c>
      <c r="B1951" s="44" t="s">
        <v>1641</v>
      </c>
      <c r="C1951" s="44" t="s">
        <v>336</v>
      </c>
      <c r="D1951" s="44">
        <v>5527577305</v>
      </c>
      <c r="E1951" s="44">
        <v>193061</v>
      </c>
      <c r="F1951" s="85">
        <v>1013.48</v>
      </c>
      <c r="G1951" s="46">
        <v>46147</v>
      </c>
      <c r="H1951" s="51" t="s">
        <v>1458</v>
      </c>
      <c r="I1951" s="51" t="s">
        <v>1780</v>
      </c>
      <c r="J1951" s="51">
        <v>2</v>
      </c>
      <c r="K1951" s="51" t="s">
        <v>1781</v>
      </c>
      <c r="L1951" s="51">
        <v>1</v>
      </c>
    </row>
    <row r="1952" spans="1:13" hidden="1" x14ac:dyDescent="0.3">
      <c r="A1952" s="51" t="s">
        <v>47</v>
      </c>
      <c r="B1952" s="51" t="s">
        <v>1791</v>
      </c>
      <c r="C1952" s="51" t="s">
        <v>152</v>
      </c>
      <c r="D1952" s="51">
        <v>5540194335</v>
      </c>
      <c r="E1952" s="51">
        <v>356550</v>
      </c>
      <c r="F1952" s="68">
        <v>738</v>
      </c>
      <c r="G1952" s="52">
        <v>46147</v>
      </c>
    </row>
    <row r="1953" spans="1:7" s="51" customFormat="1" hidden="1" x14ac:dyDescent="0.3">
      <c r="A1953" s="51" t="s">
        <v>47</v>
      </c>
      <c r="B1953" s="51" t="s">
        <v>537</v>
      </c>
      <c r="C1953" s="51" t="s">
        <v>538</v>
      </c>
      <c r="D1953" s="51">
        <v>5541813683</v>
      </c>
      <c r="E1953" s="51">
        <v>192630</v>
      </c>
      <c r="F1953" s="68">
        <v>3983.99</v>
      </c>
      <c r="G1953" s="52">
        <v>46147</v>
      </c>
    </row>
    <row r="1954" spans="1:7" hidden="1" x14ac:dyDescent="0.3">
      <c r="A1954" s="44" t="s">
        <v>47</v>
      </c>
      <c r="B1954" s="44" t="s">
        <v>537</v>
      </c>
      <c r="C1954" s="44" t="s">
        <v>538</v>
      </c>
      <c r="D1954" s="44">
        <v>5541813683</v>
      </c>
      <c r="E1954" s="44">
        <v>34507</v>
      </c>
      <c r="F1954" s="85">
        <v>1166</v>
      </c>
      <c r="G1954" s="46">
        <v>46147</v>
      </c>
    </row>
    <row r="1955" spans="1:7" s="51" customFormat="1" hidden="1" x14ac:dyDescent="0.3">
      <c r="A1955" s="51" t="s">
        <v>47</v>
      </c>
      <c r="B1955" s="51" t="s">
        <v>537</v>
      </c>
      <c r="C1955" s="51" t="s">
        <v>538</v>
      </c>
      <c r="D1955" s="51">
        <v>5541813683</v>
      </c>
      <c r="E1955" s="51">
        <v>356374</v>
      </c>
      <c r="F1955" s="68">
        <v>3694</v>
      </c>
      <c r="G1955" s="52">
        <v>46147</v>
      </c>
    </row>
    <row r="1956" spans="1:7" s="47" customFormat="1" hidden="1" x14ac:dyDescent="0.3">
      <c r="A1956" s="51" t="s">
        <v>47</v>
      </c>
      <c r="B1956" s="51" t="s">
        <v>1787</v>
      </c>
      <c r="C1956" s="51" t="s">
        <v>1788</v>
      </c>
      <c r="D1956" s="51">
        <v>5545758293</v>
      </c>
      <c r="E1956" s="51">
        <v>303215</v>
      </c>
      <c r="F1956" s="68">
        <v>3700.08</v>
      </c>
      <c r="G1956" s="52">
        <v>46147</v>
      </c>
    </row>
    <row r="1957" spans="1:7" hidden="1" x14ac:dyDescent="0.3">
      <c r="A1957" s="44" t="s">
        <v>47</v>
      </c>
      <c r="B1957" s="44" t="s">
        <v>230</v>
      </c>
      <c r="C1957" s="44" t="s">
        <v>152</v>
      </c>
      <c r="D1957" s="44">
        <v>5554171386</v>
      </c>
      <c r="E1957" s="44">
        <v>303450</v>
      </c>
      <c r="F1957" s="87">
        <v>6129</v>
      </c>
      <c r="G1957" s="46">
        <v>46147</v>
      </c>
    </row>
    <row r="1958" spans="1:7" s="51" customFormat="1" hidden="1" x14ac:dyDescent="0.3">
      <c r="A1958" s="51" t="s">
        <v>10</v>
      </c>
      <c r="B1958" s="51" t="s">
        <v>1785</v>
      </c>
      <c r="C1958" s="51" t="s">
        <v>46</v>
      </c>
      <c r="D1958" s="51">
        <v>5532641178</v>
      </c>
      <c r="E1958" s="51">
        <v>192375</v>
      </c>
      <c r="F1958" s="68">
        <v>5716.88</v>
      </c>
      <c r="G1958" s="52">
        <v>46147</v>
      </c>
    </row>
    <row r="1959" spans="1:7" hidden="1" x14ac:dyDescent="0.3">
      <c r="A1959" s="44" t="s">
        <v>10</v>
      </c>
      <c r="B1959" s="44" t="s">
        <v>1785</v>
      </c>
      <c r="C1959" s="44" t="s">
        <v>46</v>
      </c>
      <c r="D1959" s="44">
        <v>5532641178</v>
      </c>
      <c r="E1959" s="44">
        <v>192377</v>
      </c>
      <c r="F1959" s="87">
        <v>1072.6400000000001</v>
      </c>
      <c r="G1959" s="46">
        <v>46147</v>
      </c>
    </row>
    <row r="1960" spans="1:7" s="51" customFormat="1" hidden="1" x14ac:dyDescent="0.3">
      <c r="A1960" s="51" t="s">
        <v>10</v>
      </c>
      <c r="B1960" s="51" t="s">
        <v>1783</v>
      </c>
      <c r="C1960" s="51" t="s">
        <v>1786</v>
      </c>
      <c r="D1960" s="51">
        <v>5539141746</v>
      </c>
      <c r="E1960" s="51">
        <v>192740</v>
      </c>
      <c r="F1960" s="68">
        <v>4001.99</v>
      </c>
      <c r="G1960" s="52">
        <v>46147</v>
      </c>
    </row>
    <row r="1961" spans="1:7" hidden="1" x14ac:dyDescent="0.3">
      <c r="A1961" s="44" t="s">
        <v>10</v>
      </c>
      <c r="B1961" s="44" t="s">
        <v>1783</v>
      </c>
      <c r="C1961" s="44" t="s">
        <v>1786</v>
      </c>
      <c r="D1961" s="44">
        <v>5539141746</v>
      </c>
      <c r="E1961" s="44">
        <v>34526</v>
      </c>
      <c r="F1961" s="87">
        <v>928</v>
      </c>
      <c r="G1961" s="46">
        <v>46147</v>
      </c>
    </row>
    <row r="1962" spans="1:7" s="51" customFormat="1" hidden="1" x14ac:dyDescent="0.3">
      <c r="A1962" s="51" t="s">
        <v>10</v>
      </c>
      <c r="B1962" s="51" t="s">
        <v>1783</v>
      </c>
      <c r="C1962" s="51" t="s">
        <v>1786</v>
      </c>
      <c r="D1962" s="51">
        <v>5539141746</v>
      </c>
      <c r="E1962" s="51">
        <v>192739</v>
      </c>
      <c r="F1962" s="68">
        <v>650</v>
      </c>
      <c r="G1962" s="52">
        <v>46147</v>
      </c>
    </row>
    <row r="1963" spans="1:7" hidden="1" x14ac:dyDescent="0.3">
      <c r="A1963" s="44" t="s">
        <v>10</v>
      </c>
      <c r="B1963" s="44" t="s">
        <v>1783</v>
      </c>
      <c r="C1963" s="44" t="s">
        <v>1784</v>
      </c>
      <c r="D1963" s="44">
        <v>5563173397</v>
      </c>
      <c r="E1963" s="44">
        <v>192745</v>
      </c>
      <c r="F1963" s="87">
        <v>3574.12</v>
      </c>
      <c r="G1963" s="46">
        <v>46147</v>
      </c>
    </row>
    <row r="1964" spans="1:7" s="51" customFormat="1" hidden="1" x14ac:dyDescent="0.3">
      <c r="A1964" s="44" t="s">
        <v>10</v>
      </c>
      <c r="B1964" s="44" t="s">
        <v>1790</v>
      </c>
      <c r="C1964" s="44" t="s">
        <v>1789</v>
      </c>
      <c r="D1964" s="44">
        <v>5566241515</v>
      </c>
      <c r="E1964" s="44">
        <v>302844</v>
      </c>
      <c r="F1964" s="85">
        <v>9866.48</v>
      </c>
      <c r="G1964" s="46">
        <v>46147</v>
      </c>
    </row>
    <row r="1965" spans="1:7" hidden="1" x14ac:dyDescent="0.3">
      <c r="A1965" s="51" t="s">
        <v>17</v>
      </c>
      <c r="B1965" s="51" t="s">
        <v>819</v>
      </c>
      <c r="C1965" s="51" t="str">
        <f>IFERROR(VLOOKUP(B1965,Base2026!A:C,2,FALSE),"")</f>
        <v>CHAMIZAL ECATEPEC</v>
      </c>
      <c r="D1965" s="51">
        <v>5523366260</v>
      </c>
      <c r="E1965" s="51">
        <v>303526</v>
      </c>
      <c r="F1965" s="68">
        <v>9799</v>
      </c>
      <c r="G1965" s="52">
        <v>46147</v>
      </c>
    </row>
    <row r="1966" spans="1:7" s="51" customFormat="1" hidden="1" x14ac:dyDescent="0.3">
      <c r="A1966" s="47" t="s">
        <v>17</v>
      </c>
      <c r="B1966" s="47" t="s">
        <v>1305</v>
      </c>
      <c r="C1966" s="47" t="s">
        <v>107</v>
      </c>
      <c r="D1966" s="47">
        <v>5527971651</v>
      </c>
      <c r="E1966" s="47">
        <v>356272</v>
      </c>
      <c r="F1966" s="70">
        <v>208</v>
      </c>
      <c r="G1966" s="53">
        <v>46147</v>
      </c>
    </row>
    <row r="1967" spans="1:7" x14ac:dyDescent="0.3">
      <c r="A1967" s="51" t="s">
        <v>17</v>
      </c>
      <c r="B1967" s="51" t="s">
        <v>459</v>
      </c>
      <c r="C1967" s="51" t="str">
        <f>IFERROR(VLOOKUP(B1967,Base2026!A:C,2,FALSE),"")</f>
        <v>JARDINES DEL TEPEYAC</v>
      </c>
      <c r="D1967" s="51">
        <f>IFERROR(VLOOKUP(C1967,Base2026!B:D,2,FALSE),"")</f>
        <v>5542058607</v>
      </c>
      <c r="E1967" s="51">
        <v>303436</v>
      </c>
      <c r="F1967" s="68">
        <v>4076</v>
      </c>
      <c r="G1967" s="52">
        <v>46147</v>
      </c>
    </row>
    <row r="1968" spans="1:7" s="51" customFormat="1" hidden="1" x14ac:dyDescent="0.3">
      <c r="A1968" s="44" t="s">
        <v>17</v>
      </c>
      <c r="B1968" s="44" t="s">
        <v>1203</v>
      </c>
      <c r="C1968" s="44" t="s">
        <v>68</v>
      </c>
      <c r="D1968" s="44">
        <v>5543450209</v>
      </c>
      <c r="E1968" s="44">
        <v>302920</v>
      </c>
      <c r="F1968" s="87">
        <v>10575.2</v>
      </c>
      <c r="G1968" s="46">
        <v>46147</v>
      </c>
    </row>
    <row r="1969" spans="1:15" hidden="1" x14ac:dyDescent="0.3">
      <c r="A1969" s="51" t="s">
        <v>17</v>
      </c>
      <c r="B1969" s="51" t="s">
        <v>1757</v>
      </c>
      <c r="C1969" s="51" t="s">
        <v>68</v>
      </c>
      <c r="D1969" s="51">
        <v>5554387239</v>
      </c>
      <c r="E1969" s="51">
        <v>302766</v>
      </c>
      <c r="F1969" s="68">
        <v>2015.28</v>
      </c>
      <c r="G1969" s="52">
        <v>46147</v>
      </c>
    </row>
    <row r="1970" spans="1:15" s="51" customFormat="1" hidden="1" x14ac:dyDescent="0.3">
      <c r="A1970" s="44" t="s">
        <v>17</v>
      </c>
      <c r="B1970" s="44" t="s">
        <v>1757</v>
      </c>
      <c r="C1970" s="44" t="s">
        <v>68</v>
      </c>
      <c r="D1970" s="44">
        <v>5554387239</v>
      </c>
      <c r="E1970" s="44">
        <v>302767</v>
      </c>
      <c r="F1970" s="87">
        <v>877</v>
      </c>
      <c r="G1970" s="46">
        <v>46147</v>
      </c>
    </row>
    <row r="1971" spans="1:15" hidden="1" x14ac:dyDescent="0.3">
      <c r="A1971" s="51" t="s">
        <v>17</v>
      </c>
      <c r="B1971" s="51" t="s">
        <v>1782</v>
      </c>
      <c r="C1971" s="51" t="s">
        <v>74</v>
      </c>
      <c r="D1971" s="51">
        <v>5563678714</v>
      </c>
      <c r="E1971" s="51">
        <v>192443</v>
      </c>
      <c r="F1971" s="68">
        <v>4914.12</v>
      </c>
      <c r="G1971" s="52">
        <v>46147</v>
      </c>
      <c r="H1971" s="44" t="s">
        <v>1458</v>
      </c>
      <c r="I1971" s="44" t="s">
        <v>1766</v>
      </c>
      <c r="J1971" s="44">
        <v>1</v>
      </c>
      <c r="K1971" s="44" t="s">
        <v>1604</v>
      </c>
      <c r="L1971" s="44">
        <v>2</v>
      </c>
      <c r="M1971" s="44" t="s">
        <v>1583</v>
      </c>
      <c r="N1971" s="44" t="s">
        <v>1538</v>
      </c>
      <c r="O1971" s="44">
        <v>3</v>
      </c>
    </row>
    <row r="1972" spans="1:15" s="51" customFormat="1" hidden="1" x14ac:dyDescent="0.3">
      <c r="A1972" s="44" t="s">
        <v>17</v>
      </c>
      <c r="B1972" s="44" t="s">
        <v>523</v>
      </c>
      <c r="C1972" s="44" t="s">
        <v>458</v>
      </c>
      <c r="D1972" s="44">
        <v>5613536877</v>
      </c>
      <c r="E1972" s="44">
        <v>193227</v>
      </c>
      <c r="F1972" s="87">
        <v>9675</v>
      </c>
      <c r="G1972" s="46">
        <v>46147</v>
      </c>
    </row>
    <row r="1973" spans="1:15" hidden="1" x14ac:dyDescent="0.3">
      <c r="A1973" s="60" t="s">
        <v>47</v>
      </c>
      <c r="B1973" s="60" t="s">
        <v>1796</v>
      </c>
      <c r="C1973" s="60" t="s">
        <v>806</v>
      </c>
      <c r="D1973" s="60">
        <v>5544410345</v>
      </c>
      <c r="E1973" s="60">
        <v>302005</v>
      </c>
      <c r="F1973" s="79">
        <v>120720.21</v>
      </c>
      <c r="G1973" s="69">
        <v>46148</v>
      </c>
    </row>
    <row r="1974" spans="1:15" hidden="1" x14ac:dyDescent="0.3">
      <c r="A1974" s="60" t="s">
        <v>47</v>
      </c>
      <c r="B1974" s="60" t="s">
        <v>1797</v>
      </c>
      <c r="C1974" s="60" t="s">
        <v>806</v>
      </c>
      <c r="D1974" s="60">
        <v>5575687120</v>
      </c>
      <c r="E1974" s="60">
        <v>303345</v>
      </c>
      <c r="F1974" s="79">
        <v>17000</v>
      </c>
      <c r="G1974" s="69">
        <v>46148</v>
      </c>
    </row>
    <row r="1975" spans="1:15" s="60" customFormat="1" hidden="1" x14ac:dyDescent="0.3">
      <c r="A1975" s="44" t="s">
        <v>10</v>
      </c>
      <c r="B1975" s="44" t="s">
        <v>1084</v>
      </c>
      <c r="C1975" s="44" t="s">
        <v>107</v>
      </c>
      <c r="D1975" s="44">
        <v>5514795402</v>
      </c>
      <c r="E1975" s="44">
        <v>356469</v>
      </c>
      <c r="F1975" s="87">
        <v>2892</v>
      </c>
      <c r="G1975" s="46">
        <v>46148</v>
      </c>
    </row>
    <row r="1976" spans="1:15" hidden="1" x14ac:dyDescent="0.3">
      <c r="A1976" s="44" t="s">
        <v>10</v>
      </c>
      <c r="B1976" s="44" t="s">
        <v>1801</v>
      </c>
      <c r="C1976" s="44" t="s">
        <v>306</v>
      </c>
      <c r="D1976" s="44">
        <v>5514902178</v>
      </c>
      <c r="E1976" s="44">
        <v>355772</v>
      </c>
      <c r="F1976" s="87">
        <v>2625.8</v>
      </c>
      <c r="G1976" s="46">
        <v>46148</v>
      </c>
    </row>
    <row r="1977" spans="1:15" s="60" customFormat="1" hidden="1" x14ac:dyDescent="0.3">
      <c r="A1977" s="60" t="s">
        <v>10</v>
      </c>
      <c r="B1977" s="60" t="s">
        <v>1801</v>
      </c>
      <c r="C1977" s="60" t="s">
        <v>306</v>
      </c>
      <c r="D1977" s="60">
        <v>5514902178</v>
      </c>
      <c r="E1977" s="60">
        <v>355771</v>
      </c>
      <c r="F1977" s="79">
        <v>4036.24</v>
      </c>
      <c r="G1977" s="69">
        <v>46148</v>
      </c>
    </row>
    <row r="1978" spans="1:15" hidden="1" x14ac:dyDescent="0.3">
      <c r="A1978" s="44" t="s">
        <v>10</v>
      </c>
      <c r="B1978" s="44" t="s">
        <v>1801</v>
      </c>
      <c r="C1978" s="44" t="s">
        <v>306</v>
      </c>
      <c r="D1978" s="44">
        <v>5514902178</v>
      </c>
      <c r="E1978" s="44">
        <v>355770</v>
      </c>
      <c r="F1978" s="87">
        <v>1115.2</v>
      </c>
      <c r="G1978" s="46">
        <v>46148</v>
      </c>
    </row>
    <row r="1979" spans="1:15" s="60" customFormat="1" hidden="1" x14ac:dyDescent="0.3">
      <c r="A1979" s="60" t="s">
        <v>10</v>
      </c>
      <c r="B1979" s="60" t="s">
        <v>1799</v>
      </c>
      <c r="C1979" s="60" t="s">
        <v>43</v>
      </c>
      <c r="D1979" s="60">
        <v>5518041994</v>
      </c>
      <c r="E1979" s="60">
        <v>195520</v>
      </c>
      <c r="F1979" s="79">
        <v>705.16</v>
      </c>
      <c r="G1979" s="69">
        <v>46148</v>
      </c>
    </row>
    <row r="1980" spans="1:15" hidden="1" x14ac:dyDescent="0.3">
      <c r="A1980" s="60" t="s">
        <v>10</v>
      </c>
      <c r="B1980" s="60" t="s">
        <v>1802</v>
      </c>
      <c r="C1980" s="60" t="s">
        <v>860</v>
      </c>
      <c r="D1980" s="60">
        <v>5529570508</v>
      </c>
      <c r="E1980" s="60">
        <v>302502</v>
      </c>
      <c r="F1980" s="79">
        <v>17006.990000000002</v>
      </c>
      <c r="G1980" s="69">
        <v>46148</v>
      </c>
    </row>
    <row r="1981" spans="1:15" s="60" customFormat="1" hidden="1" x14ac:dyDescent="0.3">
      <c r="A1981" s="44" t="s">
        <v>10</v>
      </c>
      <c r="B1981" s="44" t="s">
        <v>1802</v>
      </c>
      <c r="C1981" s="44" t="s">
        <v>860</v>
      </c>
      <c r="D1981" s="44">
        <v>5529570508</v>
      </c>
      <c r="E1981" s="44">
        <v>34384</v>
      </c>
      <c r="F1981" s="87">
        <v>3322</v>
      </c>
      <c r="G1981" s="46">
        <v>46148</v>
      </c>
    </row>
    <row r="1982" spans="1:15" s="60" customFormat="1" hidden="1" x14ac:dyDescent="0.3">
      <c r="A1982" s="60" t="s">
        <v>10</v>
      </c>
      <c r="B1982" s="60" t="s">
        <v>1389</v>
      </c>
      <c r="C1982" s="60" t="s">
        <v>41</v>
      </c>
      <c r="D1982" s="60">
        <v>7297677630</v>
      </c>
      <c r="E1982" s="60">
        <v>356624</v>
      </c>
      <c r="F1982" s="79">
        <v>1230</v>
      </c>
      <c r="G1982" s="69">
        <v>46148</v>
      </c>
    </row>
    <row r="1983" spans="1:15" hidden="1" x14ac:dyDescent="0.3">
      <c r="A1983" s="44" t="s">
        <v>17</v>
      </c>
      <c r="B1983" s="44" t="s">
        <v>964</v>
      </c>
      <c r="C1983" s="44" t="s">
        <v>973</v>
      </c>
      <c r="D1983" s="44">
        <v>2206119277</v>
      </c>
      <c r="E1983" s="44">
        <v>356238</v>
      </c>
      <c r="F1983" s="87">
        <v>7438.19</v>
      </c>
      <c r="G1983" s="46">
        <v>46148</v>
      </c>
    </row>
    <row r="1984" spans="1:15" s="60" customFormat="1" hidden="1" x14ac:dyDescent="0.3">
      <c r="A1984" s="60" t="s">
        <v>17</v>
      </c>
      <c r="B1984" s="60" t="s">
        <v>579</v>
      </c>
      <c r="C1984" s="60" t="str">
        <f>IFERROR(VLOOKUP(B1984,Base2026!A:C,2,FALSE),"")</f>
        <v>CHAMIZALITO</v>
      </c>
      <c r="D1984" s="60">
        <f>IFERROR(VLOOKUP(C1984,Base2026!B:D,2,FALSE),"")</f>
        <v>5515369770</v>
      </c>
      <c r="E1984" s="60">
        <v>192347</v>
      </c>
      <c r="F1984" s="79">
        <v>9969.99</v>
      </c>
      <c r="G1984" s="69">
        <v>46148</v>
      </c>
    </row>
    <row r="1985" spans="1:12" hidden="1" x14ac:dyDescent="0.3">
      <c r="A1985" s="44" t="s">
        <v>17</v>
      </c>
      <c r="B1985" s="44" t="s">
        <v>579</v>
      </c>
      <c r="C1985" s="44" t="str">
        <f>IFERROR(VLOOKUP(B1985,Base2026!A:C,2,FALSE),"")</f>
        <v>CHAMIZALITO</v>
      </c>
      <c r="D1985" s="44">
        <f>IFERROR(VLOOKUP(C1985,Base2026!B:D,2,FALSE),"")</f>
        <v>5515369770</v>
      </c>
      <c r="E1985" s="44">
        <v>34477</v>
      </c>
      <c r="F1985" s="87">
        <v>1160</v>
      </c>
      <c r="G1985" s="46">
        <v>46148</v>
      </c>
    </row>
    <row r="1986" spans="1:12" s="60" customFormat="1" hidden="1" x14ac:dyDescent="0.3">
      <c r="A1986" s="44" t="s">
        <v>17</v>
      </c>
      <c r="B1986" s="44" t="s">
        <v>322</v>
      </c>
      <c r="C1986" s="44" t="s">
        <v>208</v>
      </c>
      <c r="D1986" s="44">
        <v>5516413110</v>
      </c>
      <c r="E1986" s="44">
        <v>192578</v>
      </c>
      <c r="F1986" s="87">
        <v>4090</v>
      </c>
      <c r="G1986" s="46">
        <v>46148</v>
      </c>
    </row>
    <row r="1987" spans="1:12" hidden="1" x14ac:dyDescent="0.3">
      <c r="A1987" s="60" t="s">
        <v>17</v>
      </c>
      <c r="B1987" s="60" t="s">
        <v>322</v>
      </c>
      <c r="C1987" s="60" t="s">
        <v>208</v>
      </c>
      <c r="D1987" s="60">
        <v>5516413110</v>
      </c>
      <c r="E1987" s="60">
        <v>34498</v>
      </c>
      <c r="F1987" s="79">
        <v>866</v>
      </c>
      <c r="G1987" s="69">
        <v>46148</v>
      </c>
    </row>
    <row r="1988" spans="1:12" s="60" customFormat="1" hidden="1" x14ac:dyDescent="0.3">
      <c r="A1988" s="60" t="s">
        <v>17</v>
      </c>
      <c r="B1988" s="60" t="s">
        <v>122</v>
      </c>
      <c r="C1988" s="60" t="s">
        <v>123</v>
      </c>
      <c r="D1988" s="60">
        <v>5526754082</v>
      </c>
      <c r="E1988" s="60">
        <v>356618</v>
      </c>
      <c r="F1988" s="79">
        <v>1024</v>
      </c>
      <c r="G1988" s="69">
        <v>46148</v>
      </c>
    </row>
    <row r="1989" spans="1:12" hidden="1" x14ac:dyDescent="0.3">
      <c r="A1989" s="44" t="s">
        <v>17</v>
      </c>
      <c r="B1989" s="44" t="s">
        <v>122</v>
      </c>
      <c r="C1989" s="44" t="s">
        <v>123</v>
      </c>
      <c r="D1989" s="44">
        <v>5526754082</v>
      </c>
      <c r="E1989" s="44">
        <v>356620</v>
      </c>
      <c r="F1989" s="87">
        <v>568</v>
      </c>
      <c r="G1989" s="46">
        <v>46148</v>
      </c>
    </row>
    <row r="1990" spans="1:12" s="60" customFormat="1" hidden="1" x14ac:dyDescent="0.3">
      <c r="A1990" s="60" t="s">
        <v>17</v>
      </c>
      <c r="B1990" s="60" t="s">
        <v>1794</v>
      </c>
      <c r="C1990" s="60" t="s">
        <v>65</v>
      </c>
      <c r="D1990" s="60">
        <v>5571984400</v>
      </c>
      <c r="E1990" s="60">
        <v>356387</v>
      </c>
      <c r="F1990" s="79">
        <v>1630</v>
      </c>
      <c r="G1990" s="69">
        <v>46148</v>
      </c>
      <c r="H1990" s="60" t="s">
        <v>1458</v>
      </c>
      <c r="I1990" s="60" t="s">
        <v>1798</v>
      </c>
      <c r="J1990" s="60">
        <v>19</v>
      </c>
      <c r="K1990" s="60" t="s">
        <v>1649</v>
      </c>
      <c r="L1990" s="60">
        <v>1</v>
      </c>
    </row>
    <row r="1991" spans="1:12" hidden="1" x14ac:dyDescent="0.3">
      <c r="A1991" s="44" t="s">
        <v>17</v>
      </c>
      <c r="B1991" s="44" t="s">
        <v>1794</v>
      </c>
      <c r="C1991" s="44" t="s">
        <v>65</v>
      </c>
      <c r="D1991" s="44">
        <v>5571984400</v>
      </c>
      <c r="E1991" s="44">
        <v>302332</v>
      </c>
      <c r="F1991" s="87">
        <v>72</v>
      </c>
      <c r="G1991" s="46">
        <v>46148</v>
      </c>
    </row>
    <row r="1992" spans="1:12" s="60" customFormat="1" hidden="1" x14ac:dyDescent="0.3">
      <c r="A1992" s="60" t="s">
        <v>17</v>
      </c>
      <c r="B1992" s="60" t="s">
        <v>1793</v>
      </c>
      <c r="C1992" s="60" t="s">
        <v>1419</v>
      </c>
      <c r="D1992" s="60">
        <v>5574370112</v>
      </c>
      <c r="E1992" s="60">
        <v>303550</v>
      </c>
      <c r="F1992" s="79">
        <v>685</v>
      </c>
      <c r="G1992" s="69">
        <v>46148</v>
      </c>
    </row>
    <row r="1993" spans="1:12" hidden="1" x14ac:dyDescent="0.3">
      <c r="A1993" s="60" t="s">
        <v>17</v>
      </c>
      <c r="B1993" s="60" t="s">
        <v>1768</v>
      </c>
      <c r="C1993" s="60" t="s">
        <v>1767</v>
      </c>
      <c r="D1993" s="60">
        <v>5634790373</v>
      </c>
      <c r="E1993" s="60">
        <v>356419</v>
      </c>
      <c r="F1993" s="79">
        <v>832</v>
      </c>
      <c r="G1993" s="69">
        <v>46148</v>
      </c>
    </row>
    <row r="1994" spans="1:12" s="60" customFormat="1" hidden="1" x14ac:dyDescent="0.3">
      <c r="A1994" s="44" t="s">
        <v>17</v>
      </c>
      <c r="B1994" s="44" t="s">
        <v>1792</v>
      </c>
      <c r="C1994" s="44" t="s">
        <v>54</v>
      </c>
      <c r="D1994" s="44">
        <v>5647659138</v>
      </c>
      <c r="E1994" s="44">
        <v>193435</v>
      </c>
      <c r="F1994" s="87">
        <v>1634</v>
      </c>
      <c r="G1994" s="46">
        <v>46148</v>
      </c>
      <c r="H1994" s="60" t="s">
        <v>1458</v>
      </c>
      <c r="I1994" s="60" t="s">
        <v>1800</v>
      </c>
      <c r="J1994" s="60">
        <v>5</v>
      </c>
    </row>
    <row r="1995" spans="1:12" hidden="1" x14ac:dyDescent="0.3">
      <c r="A1995" s="44" t="s">
        <v>11</v>
      </c>
      <c r="B1995" s="44" t="s">
        <v>1770</v>
      </c>
      <c r="C1995" s="44" t="s">
        <v>218</v>
      </c>
      <c r="D1995" s="44">
        <v>5551905191</v>
      </c>
      <c r="E1995" s="44">
        <v>192996</v>
      </c>
      <c r="F1995" s="87">
        <v>506</v>
      </c>
      <c r="G1995" s="46">
        <v>46148</v>
      </c>
    </row>
    <row r="1996" spans="1:12" s="60" customFormat="1" hidden="1" x14ac:dyDescent="0.3">
      <c r="A1996" s="60" t="s">
        <v>11</v>
      </c>
      <c r="B1996" s="60" t="s">
        <v>1770</v>
      </c>
      <c r="C1996" s="60" t="s">
        <v>218</v>
      </c>
      <c r="D1996" s="60">
        <v>5551905191</v>
      </c>
      <c r="E1996" s="60">
        <v>192995</v>
      </c>
      <c r="F1996" s="79">
        <v>2475</v>
      </c>
      <c r="G1996" s="69">
        <v>46148</v>
      </c>
    </row>
    <row r="1997" spans="1:12" x14ac:dyDescent="0.3">
      <c r="A1997" s="44" t="s">
        <v>11</v>
      </c>
      <c r="B1997" s="44" t="s">
        <v>528</v>
      </c>
      <c r="C1997" s="44" t="s">
        <v>0</v>
      </c>
      <c r="D1997" s="60">
        <v>5551905191</v>
      </c>
      <c r="E1997" s="44">
        <v>302823</v>
      </c>
      <c r="F1997" s="87">
        <v>17255.259999999998</v>
      </c>
      <c r="G1997" s="46">
        <v>46148</v>
      </c>
    </row>
    <row r="1998" spans="1:12" s="60" customFormat="1" x14ac:dyDescent="0.3">
      <c r="A1998" s="60" t="s">
        <v>11</v>
      </c>
      <c r="B1998" s="60" t="s">
        <v>528</v>
      </c>
      <c r="C1998" s="60" t="s">
        <v>0</v>
      </c>
      <c r="D1998" s="60">
        <v>5551905191</v>
      </c>
      <c r="E1998" s="60">
        <v>302205</v>
      </c>
      <c r="F1998" s="79">
        <v>1622.84</v>
      </c>
      <c r="G1998" s="69">
        <v>46148</v>
      </c>
    </row>
    <row r="1999" spans="1:12" x14ac:dyDescent="0.3">
      <c r="A1999" s="44" t="s">
        <v>11</v>
      </c>
      <c r="B1999" s="44" t="s">
        <v>528</v>
      </c>
      <c r="C1999" s="44" t="s">
        <v>0</v>
      </c>
      <c r="D1999" s="60">
        <v>5551905191</v>
      </c>
      <c r="E1999" s="44">
        <v>303152</v>
      </c>
      <c r="F1999" s="87">
        <v>1280.6300000000001</v>
      </c>
      <c r="G1999" s="46">
        <v>46148</v>
      </c>
    </row>
    <row r="2000" spans="1:12" s="60" customFormat="1" hidden="1" x14ac:dyDescent="0.3">
      <c r="A2000" s="60" t="s">
        <v>11</v>
      </c>
      <c r="B2000" s="60" t="s">
        <v>1621</v>
      </c>
      <c r="C2000" s="60" t="s">
        <v>1795</v>
      </c>
      <c r="D2000" s="60">
        <v>5582145432</v>
      </c>
      <c r="E2000" s="60">
        <v>302665</v>
      </c>
      <c r="F2000" s="79">
        <v>5030.76</v>
      </c>
      <c r="G2000" s="69">
        <v>46148</v>
      </c>
    </row>
    <row r="2001" spans="1:10" hidden="1" x14ac:dyDescent="0.3">
      <c r="A2001" s="44" t="s">
        <v>11</v>
      </c>
      <c r="B2001" s="44" t="s">
        <v>1621</v>
      </c>
      <c r="C2001" s="44" t="s">
        <v>1795</v>
      </c>
      <c r="D2001" s="44">
        <v>5582145432</v>
      </c>
      <c r="E2001" s="44">
        <v>302717</v>
      </c>
      <c r="F2001" s="87">
        <v>630</v>
      </c>
      <c r="G2001" s="46">
        <v>46148</v>
      </c>
    </row>
    <row r="2002" spans="1:10" s="51" customFormat="1" hidden="1" x14ac:dyDescent="0.3">
      <c r="A2002" s="51" t="s">
        <v>47</v>
      </c>
      <c r="B2002" s="51" t="s">
        <v>1812</v>
      </c>
      <c r="C2002" s="51" t="s">
        <v>43</v>
      </c>
      <c r="D2002" s="51">
        <v>5515018339</v>
      </c>
      <c r="E2002" s="51">
        <v>193525</v>
      </c>
      <c r="F2002" s="68">
        <v>3290</v>
      </c>
      <c r="G2002" s="52">
        <v>46149</v>
      </c>
      <c r="H2002" s="51" t="s">
        <v>1803</v>
      </c>
    </row>
    <row r="2003" spans="1:10" s="51" customFormat="1" hidden="1" x14ac:dyDescent="0.3">
      <c r="A2003" s="44" t="s">
        <v>47</v>
      </c>
      <c r="B2003" s="44" t="s">
        <v>1813</v>
      </c>
      <c r="C2003" s="44" t="s">
        <v>631</v>
      </c>
      <c r="D2003" s="44">
        <v>5523788617</v>
      </c>
      <c r="E2003" s="44">
        <v>193515</v>
      </c>
      <c r="F2003" s="85">
        <v>942</v>
      </c>
      <c r="G2003" s="46">
        <v>46149</v>
      </c>
    </row>
    <row r="2004" spans="1:10" hidden="1" x14ac:dyDescent="0.3">
      <c r="A2004" s="44" t="s">
        <v>47</v>
      </c>
      <c r="B2004" s="44" t="s">
        <v>271</v>
      </c>
      <c r="C2004" s="44" t="str">
        <f>IFERROR(VLOOKUP(B2004,Base2026!A:C,2,FALSE),"")</f>
        <v>POLIGONO 5</v>
      </c>
      <c r="D2004" s="44">
        <f>IFERROR(VLOOKUP(C2004,Base2026!B:D,2,FALSE),"")</f>
        <v>5535892760</v>
      </c>
      <c r="E2004" s="44">
        <v>302316</v>
      </c>
      <c r="F2004" s="85">
        <v>946</v>
      </c>
      <c r="G2004" s="46">
        <v>46149</v>
      </c>
    </row>
    <row r="2005" spans="1:10" s="51" customFormat="1" hidden="1" x14ac:dyDescent="0.3">
      <c r="A2005" s="51" t="s">
        <v>47</v>
      </c>
      <c r="B2005" s="51" t="s">
        <v>271</v>
      </c>
      <c r="C2005" s="51" t="str">
        <f>IFERROR(VLOOKUP(B2005,Base2026!A:C,2,FALSE),"")</f>
        <v>POLIGONO 5</v>
      </c>
      <c r="D2005" s="51">
        <f>IFERROR(VLOOKUP(C2005,Base2026!B:D,2,FALSE),"")</f>
        <v>5535892760</v>
      </c>
      <c r="E2005" s="51">
        <v>356257</v>
      </c>
      <c r="F2005" s="68">
        <v>4252</v>
      </c>
      <c r="G2005" s="52">
        <v>46149</v>
      </c>
    </row>
    <row r="2006" spans="1:10" hidden="1" x14ac:dyDescent="0.3">
      <c r="A2006" s="51" t="s">
        <v>47</v>
      </c>
      <c r="B2006" s="51" t="s">
        <v>1814</v>
      </c>
      <c r="C2006" s="51" t="s">
        <v>458</v>
      </c>
      <c r="D2006" s="51">
        <v>5574123805</v>
      </c>
      <c r="E2006" s="51">
        <v>356042</v>
      </c>
      <c r="F2006" s="68">
        <v>15667.17</v>
      </c>
      <c r="G2006" s="52">
        <v>46149</v>
      </c>
    </row>
    <row r="2007" spans="1:10" s="51" customFormat="1" hidden="1" x14ac:dyDescent="0.3">
      <c r="A2007" s="44" t="s">
        <v>47</v>
      </c>
      <c r="B2007" s="44" t="s">
        <v>1814</v>
      </c>
      <c r="C2007" s="44" t="s">
        <v>458</v>
      </c>
      <c r="D2007" s="44">
        <v>5574123805</v>
      </c>
      <c r="E2007" s="44">
        <v>356043</v>
      </c>
      <c r="F2007" s="85">
        <v>1529</v>
      </c>
      <c r="G2007" s="46">
        <v>46149</v>
      </c>
    </row>
    <row r="2008" spans="1:10" hidden="1" x14ac:dyDescent="0.3">
      <c r="A2008" s="51" t="s">
        <v>47</v>
      </c>
      <c r="B2008" s="51" t="s">
        <v>1814</v>
      </c>
      <c r="C2008" s="51" t="s">
        <v>458</v>
      </c>
      <c r="D2008" s="51">
        <v>5574123805</v>
      </c>
      <c r="E2008" s="51">
        <v>192685</v>
      </c>
      <c r="F2008" s="68">
        <v>932</v>
      </c>
      <c r="G2008" s="52">
        <v>46149</v>
      </c>
    </row>
    <row r="2009" spans="1:10" s="51" customFormat="1" hidden="1" x14ac:dyDescent="0.3">
      <c r="A2009" s="44" t="s">
        <v>10</v>
      </c>
      <c r="B2009" s="44" t="s">
        <v>1808</v>
      </c>
      <c r="C2009" s="44" t="s">
        <v>144</v>
      </c>
      <c r="D2009" s="44">
        <v>5510115945</v>
      </c>
      <c r="E2009" s="44">
        <v>191801</v>
      </c>
      <c r="F2009" s="87">
        <v>18906.990000000002</v>
      </c>
      <c r="G2009" s="46">
        <v>46149</v>
      </c>
    </row>
    <row r="2010" spans="1:10" hidden="1" x14ac:dyDescent="0.3">
      <c r="A2010" s="51" t="s">
        <v>10</v>
      </c>
      <c r="B2010" s="51" t="s">
        <v>1576</v>
      </c>
      <c r="C2010" s="51" t="s">
        <v>580</v>
      </c>
      <c r="D2010" s="51">
        <f>IFERROR(VLOOKUP(C2010,Base2026!B:D,2,FALSE),"")</f>
        <v>5515369770</v>
      </c>
      <c r="E2010" s="51">
        <v>302351</v>
      </c>
      <c r="F2010" s="68">
        <v>424</v>
      </c>
      <c r="G2010" s="52">
        <v>46149</v>
      </c>
      <c r="H2010" s="44" t="s">
        <v>1458</v>
      </c>
      <c r="I2010" s="44" t="s">
        <v>1810</v>
      </c>
      <c r="J2010" s="44">
        <v>10</v>
      </c>
    </row>
    <row r="2011" spans="1:10" s="51" customFormat="1" hidden="1" x14ac:dyDescent="0.3">
      <c r="A2011" s="44" t="s">
        <v>10</v>
      </c>
      <c r="B2011" s="44" t="s">
        <v>1576</v>
      </c>
      <c r="C2011" s="44" t="s">
        <v>580</v>
      </c>
      <c r="D2011" s="44">
        <v>5523995996</v>
      </c>
      <c r="E2011" s="44">
        <v>356535</v>
      </c>
      <c r="F2011" s="87">
        <v>3618</v>
      </c>
      <c r="G2011" s="46">
        <v>46149</v>
      </c>
    </row>
    <row r="2012" spans="1:10" hidden="1" x14ac:dyDescent="0.3">
      <c r="A2012" s="44" t="s">
        <v>10</v>
      </c>
      <c r="B2012" s="44" t="s">
        <v>1806</v>
      </c>
      <c r="C2012" s="44" t="s">
        <v>1807</v>
      </c>
      <c r="D2012" s="44">
        <v>5537018154</v>
      </c>
      <c r="E2012" s="44">
        <v>355599</v>
      </c>
      <c r="F2012" s="87">
        <v>19641</v>
      </c>
      <c r="G2012" s="46">
        <v>46149</v>
      </c>
    </row>
    <row r="2013" spans="1:10" s="51" customFormat="1" hidden="1" x14ac:dyDescent="0.3">
      <c r="A2013" s="51" t="s">
        <v>10</v>
      </c>
      <c r="B2013" s="51" t="s">
        <v>1808</v>
      </c>
      <c r="C2013" s="51" t="s">
        <v>144</v>
      </c>
      <c r="D2013" s="51">
        <f>IFERROR(VLOOKUP(C2013,Base2026!B:D,2,FALSE),"")</f>
        <v>5570114872</v>
      </c>
      <c r="E2013" s="51">
        <v>34387</v>
      </c>
      <c r="F2013" s="68">
        <v>2985</v>
      </c>
      <c r="G2013" s="52">
        <v>46149</v>
      </c>
    </row>
    <row r="2014" spans="1:10" hidden="1" x14ac:dyDescent="0.3">
      <c r="A2014" s="51" t="s">
        <v>10</v>
      </c>
      <c r="B2014" s="51" t="s">
        <v>1805</v>
      </c>
      <c r="C2014" s="51" t="s">
        <v>1592</v>
      </c>
      <c r="D2014" s="51">
        <v>5617209647</v>
      </c>
      <c r="E2014" s="51">
        <v>356455</v>
      </c>
      <c r="F2014" s="68">
        <v>3594.88</v>
      </c>
      <c r="G2014" s="52">
        <v>46149</v>
      </c>
    </row>
    <row r="2015" spans="1:10" hidden="1" x14ac:dyDescent="0.3">
      <c r="A2015" s="51" t="s">
        <v>10</v>
      </c>
      <c r="B2015" s="51" t="s">
        <v>1806</v>
      </c>
      <c r="C2015" s="51" t="s">
        <v>1807</v>
      </c>
      <c r="D2015" s="44">
        <v>5537018154</v>
      </c>
      <c r="E2015" s="51">
        <v>302238</v>
      </c>
      <c r="F2015" s="68">
        <v>3150</v>
      </c>
      <c r="G2015" s="52">
        <v>46149</v>
      </c>
    </row>
    <row r="2016" spans="1:10" hidden="1" x14ac:dyDescent="0.3">
      <c r="A2016" s="44" t="s">
        <v>17</v>
      </c>
      <c r="B2016" s="44" t="s">
        <v>1041</v>
      </c>
      <c r="C2016" s="44" t="str">
        <f>IFERROR(VLOOKUP(B2016,Base2026!A:C,2,FALSE),"")</f>
        <v>LA PRADERA</v>
      </c>
      <c r="D2016" s="44">
        <v>5361759355</v>
      </c>
      <c r="E2016" s="44">
        <v>303208</v>
      </c>
      <c r="F2016" s="87">
        <v>6562.71</v>
      </c>
      <c r="G2016" s="46">
        <v>46149</v>
      </c>
    </row>
    <row r="2017" spans="1:7" s="51" customFormat="1" hidden="1" x14ac:dyDescent="0.3">
      <c r="A2017" s="51" t="s">
        <v>17</v>
      </c>
      <c r="B2017" s="51" t="s">
        <v>1295</v>
      </c>
      <c r="C2017" s="51" t="s">
        <v>848</v>
      </c>
      <c r="D2017" s="51">
        <v>5527080597</v>
      </c>
      <c r="E2017" s="51">
        <v>193072</v>
      </c>
      <c r="F2017" s="68">
        <v>7210</v>
      </c>
      <c r="G2017" s="52">
        <v>46149</v>
      </c>
    </row>
    <row r="2018" spans="1:7" hidden="1" x14ac:dyDescent="0.3">
      <c r="A2018" s="44" t="s">
        <v>17</v>
      </c>
      <c r="B2018" s="44" t="s">
        <v>1295</v>
      </c>
      <c r="C2018" s="44" t="s">
        <v>848</v>
      </c>
      <c r="D2018" s="44">
        <v>5527080597</v>
      </c>
      <c r="E2018" s="44">
        <v>34568</v>
      </c>
      <c r="F2018" s="85">
        <v>1192</v>
      </c>
      <c r="G2018" s="46">
        <v>46149</v>
      </c>
    </row>
    <row r="2019" spans="1:7" s="51" customFormat="1" hidden="1" x14ac:dyDescent="0.3">
      <c r="A2019" s="44" t="s">
        <v>17</v>
      </c>
      <c r="B2019" s="44" t="s">
        <v>1295</v>
      </c>
      <c r="C2019" s="44" t="s">
        <v>848</v>
      </c>
      <c r="D2019" s="44">
        <v>5527080597</v>
      </c>
      <c r="E2019" s="44">
        <v>34568</v>
      </c>
      <c r="F2019" s="85">
        <v>1192</v>
      </c>
      <c r="G2019" s="46">
        <v>46149</v>
      </c>
    </row>
    <row r="2020" spans="1:7" hidden="1" x14ac:dyDescent="0.3">
      <c r="A2020" s="44" t="s">
        <v>17</v>
      </c>
      <c r="B2020" s="44" t="s">
        <v>1811</v>
      </c>
      <c r="C2020" s="44" t="s">
        <v>115</v>
      </c>
      <c r="D2020" s="44">
        <v>5557572636</v>
      </c>
      <c r="E2020" s="44">
        <v>303297</v>
      </c>
      <c r="F2020" s="87">
        <v>2790</v>
      </c>
      <c r="G2020" s="46">
        <v>46149</v>
      </c>
    </row>
    <row r="2021" spans="1:7" s="51" customFormat="1" hidden="1" x14ac:dyDescent="0.3">
      <c r="A2021" s="51" t="s">
        <v>17</v>
      </c>
      <c r="B2021" s="51" t="s">
        <v>894</v>
      </c>
      <c r="C2021" s="51" t="str">
        <f>IFERROR(VLOOKUP(B2021,Base2026!A:C,2,FALSE),"")</f>
        <v>JARDINES DE GUADALUPE</v>
      </c>
      <c r="D2021" s="51">
        <v>5565425223</v>
      </c>
      <c r="E2021" s="51">
        <v>356369</v>
      </c>
      <c r="F2021" s="68">
        <v>3356.72</v>
      </c>
      <c r="G2021" s="52">
        <v>46149</v>
      </c>
    </row>
    <row r="2022" spans="1:7" hidden="1" x14ac:dyDescent="0.3">
      <c r="A2022" s="51" t="s">
        <v>17</v>
      </c>
      <c r="B2022" s="51" t="s">
        <v>1811</v>
      </c>
      <c r="C2022" s="51" t="s">
        <v>115</v>
      </c>
      <c r="D2022" s="51">
        <f>IFERROR(VLOOKUP(C2022,Base2026!B:D,2,FALSE),"")</f>
        <v>5638291782</v>
      </c>
      <c r="E2022" s="51">
        <v>34554</v>
      </c>
      <c r="F2022" s="68">
        <v>68</v>
      </c>
      <c r="G2022" s="52">
        <v>46149</v>
      </c>
    </row>
    <row r="2023" spans="1:7" s="51" customFormat="1" hidden="1" x14ac:dyDescent="0.3">
      <c r="A2023" s="44" t="s">
        <v>17</v>
      </c>
      <c r="B2023" s="44" t="s">
        <v>1811</v>
      </c>
      <c r="C2023" s="44" t="s">
        <v>115</v>
      </c>
      <c r="D2023" s="44">
        <f>IFERROR(VLOOKUP(C2023,Base2026!B:D,2,FALSE),"")</f>
        <v>5638291782</v>
      </c>
      <c r="E2023" s="44">
        <v>303294</v>
      </c>
      <c r="F2023" s="87">
        <v>4586</v>
      </c>
      <c r="G2023" s="46">
        <v>46149</v>
      </c>
    </row>
    <row r="2024" spans="1:7" hidden="1" x14ac:dyDescent="0.3">
      <c r="A2024" s="51" t="s">
        <v>17</v>
      </c>
      <c r="B2024" s="51" t="s">
        <v>1811</v>
      </c>
      <c r="C2024" s="51" t="s">
        <v>115</v>
      </c>
      <c r="D2024" s="51">
        <f>IFERROR(VLOOKUP(C2024,Base2026!B:D,2,FALSE),"")</f>
        <v>5638291782</v>
      </c>
      <c r="E2024" s="51">
        <v>303296</v>
      </c>
      <c r="F2024" s="68">
        <v>3900</v>
      </c>
      <c r="G2024" s="52">
        <v>46149</v>
      </c>
    </row>
    <row r="2025" spans="1:7" s="51" customFormat="1" hidden="1" x14ac:dyDescent="0.3">
      <c r="A2025" s="44" t="s">
        <v>17</v>
      </c>
      <c r="B2025" s="44" t="s">
        <v>1811</v>
      </c>
      <c r="C2025" s="44" t="s">
        <v>115</v>
      </c>
      <c r="D2025" s="44">
        <f>IFERROR(VLOOKUP(C2025,Base2026!B:D,2,FALSE),"")</f>
        <v>5638291782</v>
      </c>
      <c r="E2025" s="44">
        <v>34556</v>
      </c>
      <c r="F2025" s="87">
        <v>196</v>
      </c>
      <c r="G2025" s="46">
        <v>46149</v>
      </c>
    </row>
    <row r="2026" spans="1:7" hidden="1" x14ac:dyDescent="0.3">
      <c r="A2026" s="51" t="s">
        <v>17</v>
      </c>
      <c r="B2026" s="51" t="s">
        <v>1811</v>
      </c>
      <c r="C2026" s="51" t="s">
        <v>115</v>
      </c>
      <c r="D2026" s="51">
        <f>IFERROR(VLOOKUP(C2026,Base2026!B:D,2,FALSE),"")</f>
        <v>5638291782</v>
      </c>
      <c r="E2026" s="51">
        <v>303295</v>
      </c>
      <c r="F2026" s="68">
        <v>1239</v>
      </c>
      <c r="G2026" s="52">
        <v>46149</v>
      </c>
    </row>
    <row r="2027" spans="1:7" s="51" customFormat="1" hidden="1" x14ac:dyDescent="0.3">
      <c r="A2027" s="44" t="s">
        <v>17</v>
      </c>
      <c r="B2027" s="44" t="s">
        <v>1811</v>
      </c>
      <c r="C2027" s="44" t="s">
        <v>115</v>
      </c>
      <c r="D2027" s="44">
        <f>IFERROR(VLOOKUP(C2027,Base2026!B:D,2,FALSE),"")</f>
        <v>5638291782</v>
      </c>
      <c r="E2027" s="44">
        <v>34553</v>
      </c>
      <c r="F2027" s="87">
        <v>222</v>
      </c>
      <c r="G2027" s="46">
        <v>46149</v>
      </c>
    </row>
    <row r="2028" spans="1:7" hidden="1" x14ac:dyDescent="0.3">
      <c r="A2028" s="51" t="s">
        <v>17</v>
      </c>
      <c r="B2028" s="51" t="s">
        <v>1811</v>
      </c>
      <c r="C2028" s="51" t="s">
        <v>115</v>
      </c>
      <c r="D2028" s="51">
        <f>IFERROR(VLOOKUP(C2028,Base2026!B:D,2,FALSE),"")</f>
        <v>5638291782</v>
      </c>
      <c r="E2028" s="51">
        <v>303299</v>
      </c>
      <c r="F2028" s="68">
        <v>8621.99</v>
      </c>
      <c r="G2028" s="52">
        <v>46149</v>
      </c>
    </row>
    <row r="2029" spans="1:7" s="51" customFormat="1" hidden="1" x14ac:dyDescent="0.3">
      <c r="A2029" s="44" t="s">
        <v>17</v>
      </c>
      <c r="B2029" s="44" t="s">
        <v>1811</v>
      </c>
      <c r="C2029" s="44" t="s">
        <v>115</v>
      </c>
      <c r="D2029" s="44">
        <f>IFERROR(VLOOKUP(C2029,Base2026!B:D,2,FALSE),"")</f>
        <v>5638291782</v>
      </c>
      <c r="E2029" s="44">
        <v>34555</v>
      </c>
      <c r="F2029" s="87">
        <v>1074</v>
      </c>
      <c r="G2029" s="46">
        <v>46149</v>
      </c>
    </row>
    <row r="2030" spans="1:7" hidden="1" x14ac:dyDescent="0.3">
      <c r="A2030" s="44" t="s">
        <v>17</v>
      </c>
      <c r="B2030" s="44" t="s">
        <v>1809</v>
      </c>
      <c r="C2030" s="44" t="s">
        <v>626</v>
      </c>
      <c r="D2030" s="44">
        <v>5658686043</v>
      </c>
      <c r="E2030" s="44">
        <v>303647</v>
      </c>
      <c r="F2030" s="87">
        <v>7710</v>
      </c>
      <c r="G2030" s="46">
        <v>46149</v>
      </c>
    </row>
    <row r="2031" spans="1:7" s="51" customFormat="1" hidden="1" x14ac:dyDescent="0.3">
      <c r="A2031" s="51" t="s">
        <v>11</v>
      </c>
      <c r="B2031" s="51" t="s">
        <v>364</v>
      </c>
      <c r="C2031" s="51" t="s">
        <v>1804</v>
      </c>
      <c r="D2031" s="51">
        <v>5540809412</v>
      </c>
      <c r="E2031" s="51">
        <v>299916</v>
      </c>
      <c r="F2031" s="68">
        <v>216760.43</v>
      </c>
      <c r="G2031" s="52">
        <v>46149</v>
      </c>
    </row>
    <row r="2032" spans="1:7" hidden="1" x14ac:dyDescent="0.3">
      <c r="A2032" s="44" t="s">
        <v>47</v>
      </c>
      <c r="B2032" s="44" t="s">
        <v>1824</v>
      </c>
      <c r="C2032" s="44" t="s">
        <v>806</v>
      </c>
      <c r="D2032" s="44">
        <v>5516443874</v>
      </c>
      <c r="E2032" s="44">
        <v>303027</v>
      </c>
      <c r="F2032" s="87">
        <v>11671.5</v>
      </c>
      <c r="G2032" s="46">
        <v>46150</v>
      </c>
    </row>
    <row r="2033" spans="1:12" s="74" customFormat="1" hidden="1" x14ac:dyDescent="0.3">
      <c r="A2033" s="74" t="s">
        <v>47</v>
      </c>
      <c r="B2033" s="74" t="s">
        <v>1817</v>
      </c>
      <c r="C2033" s="74" t="s">
        <v>456</v>
      </c>
      <c r="D2033" s="74">
        <f>IFERROR(VLOOKUP(C2033,Base2026!B:D,2,FALSE),"")</f>
        <v>5529503930</v>
      </c>
      <c r="E2033" s="74">
        <v>192292</v>
      </c>
      <c r="F2033" s="94">
        <v>16119.99</v>
      </c>
      <c r="G2033" s="75">
        <v>46150</v>
      </c>
    </row>
    <row r="2034" spans="1:12" hidden="1" x14ac:dyDescent="0.3">
      <c r="A2034" s="44" t="s">
        <v>47</v>
      </c>
      <c r="B2034" s="44" t="s">
        <v>1817</v>
      </c>
      <c r="C2034" s="44" t="s">
        <v>456</v>
      </c>
      <c r="D2034" s="44">
        <f>IFERROR(VLOOKUP(C2034,Base2026!B:D,2,FALSE),"")</f>
        <v>5529503930</v>
      </c>
      <c r="E2034" s="44">
        <v>34470</v>
      </c>
      <c r="F2034" s="87">
        <v>2082</v>
      </c>
      <c r="G2034" s="46">
        <v>46150</v>
      </c>
    </row>
    <row r="2035" spans="1:12" s="74" customFormat="1" hidden="1" x14ac:dyDescent="0.3">
      <c r="A2035" s="74" t="s">
        <v>10</v>
      </c>
      <c r="B2035" s="74" t="s">
        <v>1459</v>
      </c>
      <c r="C2035" s="74" t="s">
        <v>698</v>
      </c>
      <c r="D2035" s="74">
        <v>5516868201</v>
      </c>
      <c r="E2035" s="74">
        <v>34641</v>
      </c>
      <c r="F2035" s="94">
        <v>2385</v>
      </c>
      <c r="G2035" s="75">
        <v>46150</v>
      </c>
    </row>
    <row r="2036" spans="1:12" hidden="1" x14ac:dyDescent="0.3">
      <c r="A2036" s="44" t="s">
        <v>10</v>
      </c>
      <c r="B2036" s="44" t="s">
        <v>251</v>
      </c>
      <c r="C2036" s="44" t="s">
        <v>1020</v>
      </c>
      <c r="D2036" s="44">
        <f>IFERROR(VLOOKUP(C2036,Base2026!B:D,2,FALSE),"")</f>
        <v>5534704647</v>
      </c>
      <c r="E2036" s="44">
        <v>303001</v>
      </c>
      <c r="F2036" s="87">
        <v>16853.63</v>
      </c>
      <c r="G2036" s="46">
        <v>46150</v>
      </c>
    </row>
    <row r="2037" spans="1:12" s="74" customFormat="1" hidden="1" x14ac:dyDescent="0.3">
      <c r="A2037" s="44" t="s">
        <v>10</v>
      </c>
      <c r="B2037" s="44" t="s">
        <v>1819</v>
      </c>
      <c r="C2037" s="44" t="s">
        <v>212</v>
      </c>
      <c r="D2037" s="44">
        <v>5621560858</v>
      </c>
      <c r="E2037" s="44">
        <v>193273</v>
      </c>
      <c r="F2037" s="87">
        <v>9608.99</v>
      </c>
      <c r="G2037" s="46">
        <v>46150</v>
      </c>
    </row>
    <row r="2038" spans="1:12" hidden="1" x14ac:dyDescent="0.3">
      <c r="A2038" s="74" t="s">
        <v>10</v>
      </c>
      <c r="B2038" s="74" t="s">
        <v>1819</v>
      </c>
      <c r="C2038" s="74" t="s">
        <v>212</v>
      </c>
      <c r="D2038" s="74">
        <v>5621560858</v>
      </c>
      <c r="E2038" s="74">
        <v>34609</v>
      </c>
      <c r="F2038" s="94">
        <v>693</v>
      </c>
      <c r="G2038" s="75">
        <v>46150</v>
      </c>
    </row>
    <row r="2039" spans="1:12" s="74" customFormat="1" hidden="1" x14ac:dyDescent="0.3">
      <c r="A2039" s="74" t="s">
        <v>17</v>
      </c>
      <c r="B2039" s="74" t="s">
        <v>1825</v>
      </c>
      <c r="C2039" s="74" t="s">
        <v>152</v>
      </c>
      <c r="D2039" s="74">
        <v>5513389981</v>
      </c>
      <c r="E2039" s="74">
        <v>193526</v>
      </c>
      <c r="F2039" s="94">
        <v>3246</v>
      </c>
      <c r="G2039" s="75">
        <v>46150</v>
      </c>
      <c r="H2039" s="74" t="s">
        <v>1458</v>
      </c>
      <c r="I2039" s="74" t="s">
        <v>1827</v>
      </c>
      <c r="J2039" s="74">
        <v>2</v>
      </c>
      <c r="K2039" s="74" t="s">
        <v>1828</v>
      </c>
      <c r="L2039" s="74">
        <v>16</v>
      </c>
    </row>
    <row r="2040" spans="1:12" hidden="1" x14ac:dyDescent="0.3">
      <c r="A2040" s="44" t="s">
        <v>17</v>
      </c>
      <c r="B2040" s="44" t="s">
        <v>1818</v>
      </c>
      <c r="C2040" s="44" t="s">
        <v>68</v>
      </c>
      <c r="D2040" s="44">
        <f>IFERROR(VLOOKUP(C2040,Base2026!B:D,2,FALSE),"")</f>
        <v>5520706498</v>
      </c>
      <c r="E2040" s="44">
        <v>34540</v>
      </c>
      <c r="F2040" s="87">
        <v>1040</v>
      </c>
      <c r="G2040" s="46">
        <v>46150</v>
      </c>
    </row>
    <row r="2041" spans="1:12" s="74" customFormat="1" hidden="1" x14ac:dyDescent="0.3">
      <c r="A2041" s="74" t="s">
        <v>17</v>
      </c>
      <c r="B2041" s="74" t="s">
        <v>1818</v>
      </c>
      <c r="C2041" s="74" t="s">
        <v>68</v>
      </c>
      <c r="D2041" s="74">
        <v>5560647539</v>
      </c>
      <c r="E2041" s="74">
        <v>192870</v>
      </c>
      <c r="F2041" s="94">
        <v>7339</v>
      </c>
      <c r="G2041" s="75">
        <v>46150</v>
      </c>
    </row>
    <row r="2042" spans="1:12" hidden="1" x14ac:dyDescent="0.3">
      <c r="A2042" s="74" t="s">
        <v>17</v>
      </c>
      <c r="B2042" s="74" t="s">
        <v>1822</v>
      </c>
      <c r="C2042" s="74" t="s">
        <v>187</v>
      </c>
      <c r="D2042" s="74">
        <v>5610944519</v>
      </c>
      <c r="E2042" s="74">
        <v>356136</v>
      </c>
      <c r="F2042" s="94">
        <v>4439.99</v>
      </c>
      <c r="G2042" s="75">
        <v>46150</v>
      </c>
    </row>
    <row r="2043" spans="1:12" s="74" customFormat="1" hidden="1" x14ac:dyDescent="0.3">
      <c r="A2043" s="44" t="s">
        <v>17</v>
      </c>
      <c r="B2043" s="44" t="s">
        <v>1822</v>
      </c>
      <c r="C2043" s="44" t="s">
        <v>187</v>
      </c>
      <c r="D2043" s="44">
        <v>5610944519</v>
      </c>
      <c r="E2043" s="44">
        <v>302304</v>
      </c>
      <c r="F2043" s="87">
        <v>688</v>
      </c>
      <c r="G2043" s="46">
        <v>46150</v>
      </c>
    </row>
    <row r="2044" spans="1:12" hidden="1" x14ac:dyDescent="0.3">
      <c r="A2044" s="74" t="s">
        <v>17</v>
      </c>
      <c r="B2044" s="74" t="s">
        <v>1822</v>
      </c>
      <c r="C2044" s="74" t="s">
        <v>187</v>
      </c>
      <c r="D2044" s="74">
        <v>5610944519</v>
      </c>
      <c r="E2044" s="74">
        <v>302319</v>
      </c>
      <c r="F2044" s="94">
        <v>20</v>
      </c>
      <c r="G2044" s="75">
        <v>46150</v>
      </c>
    </row>
    <row r="2045" spans="1:12" s="74" customFormat="1" hidden="1" x14ac:dyDescent="0.3">
      <c r="A2045" s="44" t="s">
        <v>17</v>
      </c>
      <c r="B2045" s="44" t="s">
        <v>1822</v>
      </c>
      <c r="C2045" s="44" t="s">
        <v>187</v>
      </c>
      <c r="D2045" s="44">
        <v>5610944519</v>
      </c>
      <c r="E2045" s="44">
        <v>356135</v>
      </c>
      <c r="F2045" s="87">
        <v>825</v>
      </c>
      <c r="G2045" s="46">
        <v>46150</v>
      </c>
    </row>
    <row r="2046" spans="1:12" hidden="1" x14ac:dyDescent="0.3">
      <c r="A2046" s="74" t="s">
        <v>17</v>
      </c>
      <c r="B2046" s="74" t="s">
        <v>1826</v>
      </c>
      <c r="C2046" s="74" t="s">
        <v>111</v>
      </c>
      <c r="D2046" s="74">
        <v>5618290122</v>
      </c>
      <c r="E2046" s="74">
        <v>303775</v>
      </c>
      <c r="F2046" s="94">
        <v>3260</v>
      </c>
      <c r="G2046" s="75">
        <v>46150</v>
      </c>
    </row>
    <row r="2047" spans="1:12" s="74" customFormat="1" hidden="1" x14ac:dyDescent="0.3">
      <c r="A2047" s="44" t="s">
        <v>17</v>
      </c>
      <c r="B2047" s="44" t="s">
        <v>473</v>
      </c>
      <c r="C2047" s="44" t="str">
        <f>IFERROR(VLOOKUP(B2047,Base2026!A:C,2,FALSE),"")</f>
        <v>NUEVA ATZACOALCO</v>
      </c>
      <c r="D2047" s="44">
        <f>IFERROR(VLOOKUP(C2047,Base2026!B:D,2,FALSE),"")</f>
        <v>5638291782</v>
      </c>
      <c r="E2047" s="44">
        <v>356656</v>
      </c>
      <c r="F2047" s="85">
        <v>1754</v>
      </c>
      <c r="G2047" s="46">
        <v>46150</v>
      </c>
    </row>
    <row r="2048" spans="1:12" hidden="1" x14ac:dyDescent="0.3">
      <c r="A2048" s="44" t="s">
        <v>11</v>
      </c>
      <c r="B2048" s="44" t="s">
        <v>1829</v>
      </c>
      <c r="C2048" s="44" t="s">
        <v>1830</v>
      </c>
      <c r="D2048" s="44">
        <v>5527828499</v>
      </c>
      <c r="E2048" s="44">
        <v>303307</v>
      </c>
      <c r="F2048" s="87">
        <v>2009.72</v>
      </c>
      <c r="G2048" s="46">
        <v>46150</v>
      </c>
    </row>
    <row r="2049" spans="1:17" s="74" customFormat="1" hidden="1" x14ac:dyDescent="0.3">
      <c r="A2049" s="44" t="s">
        <v>11</v>
      </c>
      <c r="B2049" s="44" t="s">
        <v>314</v>
      </c>
      <c r="C2049" s="44" t="str">
        <f>IFERROR(VLOOKUP(B2049,Base2026!A:C,2,FALSE),"")</f>
        <v>JARDINES DE SANTA CLARA</v>
      </c>
      <c r="D2049" s="44">
        <v>5544844808</v>
      </c>
      <c r="E2049" s="44">
        <v>356712</v>
      </c>
      <c r="F2049" s="87">
        <v>1300</v>
      </c>
      <c r="G2049" s="46">
        <v>46150</v>
      </c>
    </row>
    <row r="2050" spans="1:17" hidden="1" x14ac:dyDescent="0.3">
      <c r="A2050" s="74" t="s">
        <v>11</v>
      </c>
      <c r="B2050" s="74" t="s">
        <v>314</v>
      </c>
      <c r="C2050" s="74" t="str">
        <f>IFERROR(VLOOKUP(B2050,Base2026!A:C,2,FALSE),"")</f>
        <v>JARDINES DE SANTA CLARA</v>
      </c>
      <c r="D2050" s="74">
        <v>5544844808</v>
      </c>
      <c r="E2050" s="74">
        <v>356317</v>
      </c>
      <c r="F2050" s="94">
        <v>3943.61</v>
      </c>
      <c r="G2050" s="75">
        <v>46150</v>
      </c>
    </row>
    <row r="2051" spans="1:17" s="74" customFormat="1" hidden="1" x14ac:dyDescent="0.3">
      <c r="A2051" s="44" t="s">
        <v>11</v>
      </c>
      <c r="B2051" s="44" t="s">
        <v>1831</v>
      </c>
      <c r="C2051" s="44" t="s">
        <v>37</v>
      </c>
      <c r="D2051" s="44">
        <v>5545059147</v>
      </c>
      <c r="E2051" s="44">
        <v>356552</v>
      </c>
      <c r="F2051" s="87">
        <v>2000</v>
      </c>
      <c r="G2051" s="46">
        <v>46150</v>
      </c>
    </row>
    <row r="2052" spans="1:17" hidden="1" x14ac:dyDescent="0.3">
      <c r="A2052" s="74" t="s">
        <v>11</v>
      </c>
      <c r="B2052" s="74" t="s">
        <v>1831</v>
      </c>
      <c r="C2052" s="74" t="s">
        <v>37</v>
      </c>
      <c r="D2052" s="74">
        <v>5545059147</v>
      </c>
      <c r="E2052" s="74">
        <v>302355</v>
      </c>
      <c r="F2052" s="94">
        <v>292</v>
      </c>
      <c r="G2052" s="75">
        <v>46150</v>
      </c>
    </row>
    <row r="2053" spans="1:17" s="74" customFormat="1" hidden="1" x14ac:dyDescent="0.3">
      <c r="A2053" s="44" t="s">
        <v>11</v>
      </c>
      <c r="B2053" s="44" t="s">
        <v>1832</v>
      </c>
      <c r="C2053" s="44" t="s">
        <v>138</v>
      </c>
      <c r="D2053" s="44">
        <v>5555035310</v>
      </c>
      <c r="E2053" s="44">
        <v>191856</v>
      </c>
      <c r="F2053" s="87">
        <v>35737.32</v>
      </c>
      <c r="G2053" s="46">
        <v>46150</v>
      </c>
    </row>
    <row r="2054" spans="1:17" hidden="1" x14ac:dyDescent="0.3">
      <c r="A2054" s="74" t="s">
        <v>11</v>
      </c>
      <c r="B2054" s="74" t="s">
        <v>1820</v>
      </c>
      <c r="C2054" s="74" t="s">
        <v>1821</v>
      </c>
      <c r="D2054" s="74">
        <v>5645349494</v>
      </c>
      <c r="E2054" s="74">
        <v>303787</v>
      </c>
      <c r="F2054" s="94">
        <v>7527.99</v>
      </c>
      <c r="G2054" s="75">
        <v>46150</v>
      </c>
    </row>
    <row r="2055" spans="1:17" s="103" customFormat="1" hidden="1" x14ac:dyDescent="0.3">
      <c r="A2055" s="103" t="s">
        <v>47</v>
      </c>
      <c r="B2055" s="103" t="s">
        <v>521</v>
      </c>
      <c r="C2055" s="103" t="s">
        <v>816</v>
      </c>
      <c r="D2055" s="103">
        <v>528013590</v>
      </c>
      <c r="E2055" s="103">
        <v>193253</v>
      </c>
      <c r="F2055" s="104">
        <v>5138</v>
      </c>
      <c r="G2055" s="105">
        <v>46151</v>
      </c>
    </row>
    <row r="2056" spans="1:17" hidden="1" x14ac:dyDescent="0.3">
      <c r="A2056" s="44" t="s">
        <v>47</v>
      </c>
      <c r="B2056" s="44" t="s">
        <v>521</v>
      </c>
      <c r="C2056" s="44" t="s">
        <v>1630</v>
      </c>
      <c r="D2056" s="44">
        <v>528013590</v>
      </c>
      <c r="E2056" s="44">
        <v>34601</v>
      </c>
      <c r="F2056" s="87">
        <v>772</v>
      </c>
      <c r="G2056" s="46">
        <v>46151</v>
      </c>
    </row>
    <row r="2057" spans="1:17" s="103" customFormat="1" hidden="1" x14ac:dyDescent="0.3">
      <c r="A2057" s="44" t="s">
        <v>47</v>
      </c>
      <c r="B2057" s="44" t="s">
        <v>1845</v>
      </c>
      <c r="C2057" s="44" t="s">
        <v>306</v>
      </c>
      <c r="D2057" s="44">
        <v>5533352197</v>
      </c>
      <c r="E2057" s="44">
        <v>302887</v>
      </c>
      <c r="F2057" s="87">
        <v>27942.95</v>
      </c>
      <c r="G2057" s="46">
        <v>46151</v>
      </c>
      <c r="H2057" s="103" t="s">
        <v>1458</v>
      </c>
      <c r="I2057" s="103" t="s">
        <v>1595</v>
      </c>
      <c r="J2057" s="103">
        <v>1</v>
      </c>
      <c r="K2057" s="103" t="s">
        <v>1835</v>
      </c>
      <c r="L2057" s="103">
        <v>1</v>
      </c>
      <c r="M2057" s="103" t="s">
        <v>1604</v>
      </c>
      <c r="N2057" s="103" t="s">
        <v>1766</v>
      </c>
      <c r="O2057" s="103">
        <v>2</v>
      </c>
      <c r="P2057" s="103" t="s">
        <v>1800</v>
      </c>
      <c r="Q2057" s="103">
        <v>4</v>
      </c>
    </row>
    <row r="2058" spans="1:17" hidden="1" x14ac:dyDescent="0.3">
      <c r="A2058" s="103" t="s">
        <v>47</v>
      </c>
      <c r="B2058" s="103" t="s">
        <v>1049</v>
      </c>
      <c r="C2058" s="103" t="s">
        <v>1846</v>
      </c>
      <c r="D2058" s="103">
        <v>5545163219</v>
      </c>
      <c r="E2058" s="103">
        <v>34492</v>
      </c>
      <c r="F2058" s="104">
        <v>682</v>
      </c>
      <c r="G2058" s="105">
        <v>46151</v>
      </c>
    </row>
    <row r="2059" spans="1:17" s="103" customFormat="1" hidden="1" x14ac:dyDescent="0.3">
      <c r="A2059" s="44" t="s">
        <v>47</v>
      </c>
      <c r="B2059" s="44" t="s">
        <v>1049</v>
      </c>
      <c r="C2059" s="44" t="s">
        <v>1846</v>
      </c>
      <c r="D2059" s="44">
        <v>5545163219</v>
      </c>
      <c r="E2059" s="44">
        <v>192546</v>
      </c>
      <c r="F2059" s="85">
        <v>6593</v>
      </c>
      <c r="G2059" s="46">
        <v>46151</v>
      </c>
    </row>
    <row r="2060" spans="1:17" hidden="1" x14ac:dyDescent="0.3">
      <c r="A2060" s="115" t="s">
        <v>47</v>
      </c>
      <c r="B2060" s="115" t="s">
        <v>1049</v>
      </c>
      <c r="C2060" s="115" t="s">
        <v>1846</v>
      </c>
      <c r="D2060" s="115">
        <v>5545163219</v>
      </c>
      <c r="E2060" s="115">
        <v>192547</v>
      </c>
      <c r="F2060" s="116">
        <v>325</v>
      </c>
      <c r="G2060" s="117">
        <v>46151</v>
      </c>
    </row>
    <row r="2061" spans="1:17" s="103" customFormat="1" hidden="1" x14ac:dyDescent="0.3">
      <c r="A2061" s="103" t="s">
        <v>10</v>
      </c>
      <c r="B2061" s="103" t="s">
        <v>1839</v>
      </c>
      <c r="C2061" s="103" t="s">
        <v>1840</v>
      </c>
      <c r="D2061" s="103">
        <v>5526854705</v>
      </c>
      <c r="E2061" s="103">
        <v>303850</v>
      </c>
      <c r="F2061" s="104">
        <v>5100</v>
      </c>
      <c r="G2061" s="105">
        <v>46151</v>
      </c>
    </row>
    <row r="2062" spans="1:17" hidden="1" x14ac:dyDescent="0.3">
      <c r="A2062" s="103" t="s">
        <v>10</v>
      </c>
      <c r="B2062" s="103" t="s">
        <v>767</v>
      </c>
      <c r="C2062" s="103" t="s">
        <v>1838</v>
      </c>
      <c r="D2062" s="103">
        <v>5554335513</v>
      </c>
      <c r="E2062" s="103">
        <v>192567</v>
      </c>
      <c r="F2062" s="104">
        <v>12213.99</v>
      </c>
      <c r="G2062" s="105">
        <v>46151</v>
      </c>
    </row>
    <row r="2063" spans="1:17" s="103" customFormat="1" hidden="1" x14ac:dyDescent="0.3">
      <c r="A2063" s="44" t="s">
        <v>10</v>
      </c>
      <c r="B2063" s="44" t="s">
        <v>767</v>
      </c>
      <c r="C2063" s="44" t="s">
        <v>1838</v>
      </c>
      <c r="D2063" s="44">
        <v>5554335513</v>
      </c>
      <c r="E2063" s="44">
        <v>34496</v>
      </c>
      <c r="F2063" s="87">
        <v>3168</v>
      </c>
      <c r="G2063" s="46">
        <v>46151</v>
      </c>
    </row>
    <row r="2064" spans="1:17" hidden="1" x14ac:dyDescent="0.3">
      <c r="A2064" s="44" t="s">
        <v>10</v>
      </c>
      <c r="B2064" s="44" t="s">
        <v>1052</v>
      </c>
      <c r="C2064" s="44" t="s">
        <v>1218</v>
      </c>
      <c r="D2064" s="44">
        <v>5561898925</v>
      </c>
      <c r="E2064" s="44">
        <v>356806</v>
      </c>
      <c r="F2064" s="87">
        <v>1190</v>
      </c>
      <c r="G2064" s="46">
        <v>46151</v>
      </c>
    </row>
    <row r="2065" spans="1:17" s="103" customFormat="1" hidden="1" x14ac:dyDescent="0.3">
      <c r="A2065" s="103" t="s">
        <v>17</v>
      </c>
      <c r="B2065" s="103" t="s">
        <v>1834</v>
      </c>
      <c r="C2065" s="103" t="s">
        <v>74</v>
      </c>
      <c r="D2065" s="103">
        <v>5528872468</v>
      </c>
      <c r="E2065" s="103">
        <v>303870</v>
      </c>
      <c r="F2065" s="104">
        <v>3914</v>
      </c>
      <c r="G2065" s="105">
        <v>46151</v>
      </c>
      <c r="H2065" s="103" t="s">
        <v>1458</v>
      </c>
      <c r="I2065" s="103" t="s">
        <v>1841</v>
      </c>
      <c r="J2065" s="103">
        <v>6</v>
      </c>
    </row>
    <row r="2066" spans="1:17" hidden="1" x14ac:dyDescent="0.3">
      <c r="A2066" s="44" t="s">
        <v>17</v>
      </c>
      <c r="B2066" s="44" t="s">
        <v>1203</v>
      </c>
      <c r="C2066" s="44" t="s">
        <v>1836</v>
      </c>
      <c r="D2066" s="44">
        <v>5543450209</v>
      </c>
      <c r="E2066" s="44">
        <v>356584</v>
      </c>
      <c r="F2066" s="87">
        <v>10575.2</v>
      </c>
      <c r="G2066" s="46">
        <v>46151</v>
      </c>
    </row>
    <row r="2067" spans="1:17" s="103" customFormat="1" hidden="1" x14ac:dyDescent="0.3">
      <c r="A2067" s="103" t="s">
        <v>17</v>
      </c>
      <c r="B2067" s="103" t="s">
        <v>1837</v>
      </c>
      <c r="C2067" s="103" t="s">
        <v>48</v>
      </c>
      <c r="D2067" s="103">
        <v>5612830956</v>
      </c>
      <c r="E2067" s="103">
        <v>303653</v>
      </c>
      <c r="F2067" s="104">
        <v>3991.99</v>
      </c>
      <c r="G2067" s="105">
        <v>46151</v>
      </c>
    </row>
    <row r="2068" spans="1:17" hidden="1" x14ac:dyDescent="0.3">
      <c r="A2068" s="44" t="s">
        <v>17</v>
      </c>
      <c r="B2068" s="44" t="s">
        <v>1308</v>
      </c>
      <c r="C2068" s="44" t="s">
        <v>1309</v>
      </c>
      <c r="D2068" s="44">
        <v>5628031904</v>
      </c>
      <c r="E2068" s="44">
        <v>356610</v>
      </c>
      <c r="F2068" s="87">
        <v>4900</v>
      </c>
      <c r="G2068" s="46">
        <v>46151</v>
      </c>
      <c r="H2068" s="44" t="s">
        <v>1458</v>
      </c>
      <c r="I2068" s="44" t="s">
        <v>1619</v>
      </c>
      <c r="J2068" s="44">
        <v>3</v>
      </c>
      <c r="K2068" s="44" t="s">
        <v>1842</v>
      </c>
      <c r="L2068" s="44">
        <v>1</v>
      </c>
      <c r="M2068" s="44" t="s">
        <v>1535</v>
      </c>
      <c r="N2068" s="44" t="s">
        <v>1538</v>
      </c>
      <c r="O2068" s="44">
        <v>1</v>
      </c>
    </row>
    <row r="2069" spans="1:17" s="103" customFormat="1" hidden="1" x14ac:dyDescent="0.3">
      <c r="A2069" s="103" t="s">
        <v>17</v>
      </c>
      <c r="B2069" s="103" t="s">
        <v>1308</v>
      </c>
      <c r="C2069" s="103" t="s">
        <v>1309</v>
      </c>
      <c r="D2069" s="103">
        <v>5628031904</v>
      </c>
      <c r="E2069" s="103">
        <v>302366</v>
      </c>
      <c r="F2069" s="104">
        <v>372</v>
      </c>
      <c r="G2069" s="105">
        <v>46151</v>
      </c>
    </row>
    <row r="2070" spans="1:17" hidden="1" x14ac:dyDescent="0.3">
      <c r="A2070" s="103" t="s">
        <v>17</v>
      </c>
      <c r="B2070" s="103" t="s">
        <v>1833</v>
      </c>
      <c r="C2070" s="103" t="s">
        <v>68</v>
      </c>
      <c r="D2070" s="103">
        <v>5632018203</v>
      </c>
      <c r="E2070" s="103">
        <v>302357</v>
      </c>
      <c r="F2070" s="104">
        <v>1228</v>
      </c>
      <c r="G2070" s="105">
        <v>46151</v>
      </c>
    </row>
    <row r="2071" spans="1:17" s="103" customFormat="1" hidden="1" x14ac:dyDescent="0.3">
      <c r="A2071" s="44" t="s">
        <v>17</v>
      </c>
      <c r="B2071" s="44" t="s">
        <v>1833</v>
      </c>
      <c r="C2071" s="44" t="s">
        <v>68</v>
      </c>
      <c r="D2071" s="44">
        <v>5632018203</v>
      </c>
      <c r="E2071" s="44">
        <v>356561</v>
      </c>
      <c r="F2071" s="87">
        <v>6543.99</v>
      </c>
      <c r="G2071" s="46">
        <v>46151</v>
      </c>
    </row>
    <row r="2072" spans="1:17" hidden="1" x14ac:dyDescent="0.3">
      <c r="A2072" s="103" t="s">
        <v>11</v>
      </c>
      <c r="B2072" s="103" t="s">
        <v>1843</v>
      </c>
      <c r="C2072" s="103" t="s">
        <v>1844</v>
      </c>
      <c r="D2072" s="103">
        <v>5514851464</v>
      </c>
      <c r="E2072" s="103">
        <v>303530</v>
      </c>
      <c r="F2072" s="104">
        <v>9600</v>
      </c>
      <c r="G2072" s="105">
        <v>46151</v>
      </c>
    </row>
    <row r="2073" spans="1:17" s="103" customFormat="1" hidden="1" x14ac:dyDescent="0.3">
      <c r="A2073" s="44" t="s">
        <v>11</v>
      </c>
      <c r="B2073" s="44" t="s">
        <v>1816</v>
      </c>
      <c r="C2073" s="44" t="s">
        <v>210</v>
      </c>
      <c r="D2073" s="44">
        <v>5532605564</v>
      </c>
      <c r="E2073" s="44">
        <v>193511</v>
      </c>
      <c r="F2073" s="87">
        <v>1222</v>
      </c>
      <c r="G2073" s="46">
        <v>46151</v>
      </c>
    </row>
    <row r="2074" spans="1:17" hidden="1" x14ac:dyDescent="0.3">
      <c r="A2074" s="44" t="s">
        <v>11</v>
      </c>
      <c r="B2074" s="44" t="s">
        <v>432</v>
      </c>
      <c r="C2074" s="44" t="s">
        <v>82</v>
      </c>
      <c r="D2074" s="44">
        <v>5614639380</v>
      </c>
      <c r="E2074" s="44">
        <v>193127</v>
      </c>
      <c r="F2074" s="87">
        <v>2038</v>
      </c>
      <c r="G2074" s="46">
        <v>46151</v>
      </c>
    </row>
    <row r="2075" spans="1:17" s="115" customFormat="1" hidden="1" x14ac:dyDescent="0.3">
      <c r="A2075" s="103" t="s">
        <v>11</v>
      </c>
      <c r="B2075" s="103" t="s">
        <v>432</v>
      </c>
      <c r="C2075" s="103" t="s">
        <v>82</v>
      </c>
      <c r="D2075" s="103">
        <v>5614639380</v>
      </c>
      <c r="E2075" s="103">
        <v>34576</v>
      </c>
      <c r="F2075" s="104">
        <v>200</v>
      </c>
      <c r="G2075" s="105">
        <v>46151</v>
      </c>
    </row>
    <row r="2076" spans="1:17" hidden="1" x14ac:dyDescent="0.3">
      <c r="A2076" s="44" t="s">
        <v>10</v>
      </c>
      <c r="B2076" s="44" t="s">
        <v>1852</v>
      </c>
      <c r="C2076" s="44" t="s">
        <v>1853</v>
      </c>
      <c r="D2076" s="44">
        <v>5524355581</v>
      </c>
      <c r="E2076" s="44">
        <v>306617</v>
      </c>
      <c r="F2076" s="87">
        <v>5480.84</v>
      </c>
      <c r="G2076" s="46">
        <v>46153</v>
      </c>
    </row>
    <row r="2077" spans="1:17" s="51" customFormat="1" hidden="1" x14ac:dyDescent="0.3">
      <c r="A2077" s="51" t="s">
        <v>10</v>
      </c>
      <c r="B2077" s="51" t="s">
        <v>1854</v>
      </c>
      <c r="C2077" s="51" t="s">
        <v>1855</v>
      </c>
      <c r="D2077" s="51">
        <v>5540676217</v>
      </c>
      <c r="E2077" s="51">
        <v>192863</v>
      </c>
      <c r="F2077" s="68">
        <v>20110.97</v>
      </c>
      <c r="G2077" s="52">
        <v>46153</v>
      </c>
      <c r="H2077" s="51" t="s">
        <v>1458</v>
      </c>
      <c r="I2077" s="51" t="s">
        <v>1646</v>
      </c>
      <c r="J2077" s="51">
        <v>2</v>
      </c>
      <c r="K2077" s="51" t="s">
        <v>1670</v>
      </c>
      <c r="L2077" s="51">
        <v>4</v>
      </c>
      <c r="M2077" s="51" t="s">
        <v>1849</v>
      </c>
      <c r="N2077" s="51" t="s">
        <v>1850</v>
      </c>
      <c r="O2077" s="51">
        <v>2</v>
      </c>
      <c r="P2077" s="51" t="s">
        <v>1491</v>
      </c>
      <c r="Q2077" s="51">
        <v>2</v>
      </c>
    </row>
    <row r="2078" spans="1:17" hidden="1" x14ac:dyDescent="0.3">
      <c r="A2078" s="44" t="s">
        <v>10</v>
      </c>
      <c r="B2078" s="44" t="s">
        <v>1854</v>
      </c>
      <c r="C2078" s="44" t="s">
        <v>1855</v>
      </c>
      <c r="D2078" s="44">
        <v>5540676217</v>
      </c>
      <c r="E2078" s="44">
        <v>34539</v>
      </c>
      <c r="F2078" s="87">
        <v>3432</v>
      </c>
      <c r="G2078" s="46">
        <v>46153</v>
      </c>
    </row>
    <row r="2079" spans="1:17" s="51" customFormat="1" hidden="1" x14ac:dyDescent="0.3">
      <c r="A2079" s="51" t="s">
        <v>17</v>
      </c>
      <c r="B2079" s="51" t="s">
        <v>1843</v>
      </c>
      <c r="C2079" s="51" t="s">
        <v>425</v>
      </c>
      <c r="D2079" s="51">
        <v>5514851464</v>
      </c>
      <c r="E2079" s="51">
        <v>303530</v>
      </c>
      <c r="F2079" s="106">
        <v>9600</v>
      </c>
      <c r="G2079" s="52">
        <v>46153</v>
      </c>
    </row>
    <row r="2080" spans="1:17" hidden="1" x14ac:dyDescent="0.3">
      <c r="A2080" s="44" t="s">
        <v>17</v>
      </c>
      <c r="B2080" s="44" t="s">
        <v>1843</v>
      </c>
      <c r="C2080" s="44" t="s">
        <v>425</v>
      </c>
      <c r="D2080" s="44">
        <v>5514851464</v>
      </c>
      <c r="E2080" s="44">
        <v>34619</v>
      </c>
      <c r="F2080" s="87">
        <v>448</v>
      </c>
      <c r="G2080" s="46">
        <v>46153</v>
      </c>
    </row>
    <row r="2081" spans="1:12" s="51" customFormat="1" hidden="1" x14ac:dyDescent="0.3">
      <c r="A2081" s="44" t="s">
        <v>17</v>
      </c>
      <c r="B2081" s="44" t="s">
        <v>1847</v>
      </c>
      <c r="C2081" s="44" t="s">
        <v>119</v>
      </c>
      <c r="D2081" s="44">
        <v>5525562517</v>
      </c>
      <c r="E2081" s="44">
        <v>356829</v>
      </c>
      <c r="F2081" s="87">
        <v>1740</v>
      </c>
      <c r="G2081" s="46">
        <v>46153</v>
      </c>
      <c r="H2081" s="51" t="s">
        <v>1851</v>
      </c>
    </row>
    <row r="2082" spans="1:12" s="47" customFormat="1" hidden="1" x14ac:dyDescent="0.3">
      <c r="A2082" s="44" t="s">
        <v>17</v>
      </c>
      <c r="B2082" s="44" t="s">
        <v>1149</v>
      </c>
      <c r="C2082" s="44" t="s">
        <v>425</v>
      </c>
      <c r="D2082" s="44">
        <v>5531994500</v>
      </c>
      <c r="E2082" s="44">
        <v>356681</v>
      </c>
      <c r="F2082" s="87">
        <v>1131</v>
      </c>
      <c r="G2082" s="46">
        <v>46153</v>
      </c>
    </row>
    <row r="2083" spans="1:12" s="42" customFormat="1" x14ac:dyDescent="0.3">
      <c r="A2083" s="51" t="s">
        <v>17</v>
      </c>
      <c r="B2083" s="51" t="s">
        <v>1848</v>
      </c>
      <c r="C2083" s="51" t="s">
        <v>74</v>
      </c>
      <c r="D2083" s="51">
        <v>5542058607</v>
      </c>
      <c r="E2083" s="51">
        <v>303879</v>
      </c>
      <c r="F2083" s="68">
        <v>9724</v>
      </c>
      <c r="G2083" s="52">
        <v>46153</v>
      </c>
    </row>
    <row r="2084" spans="1:12" hidden="1" x14ac:dyDescent="0.3">
      <c r="A2084" s="42" t="s">
        <v>11</v>
      </c>
      <c r="B2084" s="42" t="s">
        <v>1823</v>
      </c>
      <c r="C2084" s="42" t="s">
        <v>1815</v>
      </c>
      <c r="D2084" s="42">
        <v>5522204122</v>
      </c>
      <c r="E2084" s="42">
        <v>303415</v>
      </c>
      <c r="F2084" s="86">
        <v>12200</v>
      </c>
      <c r="G2084" s="52">
        <v>46153</v>
      </c>
    </row>
    <row r="2085" spans="1:12" hidden="1" x14ac:dyDescent="0.3">
      <c r="A2085" s="47" t="s">
        <v>11</v>
      </c>
      <c r="B2085" s="47" t="s">
        <v>146</v>
      </c>
      <c r="C2085" s="47" t="s">
        <v>1856</v>
      </c>
      <c r="D2085" s="47">
        <v>5571494209</v>
      </c>
      <c r="E2085" s="47">
        <v>356811</v>
      </c>
      <c r="F2085" s="70">
        <v>3756</v>
      </c>
      <c r="G2085" s="46">
        <v>46153</v>
      </c>
    </row>
    <row r="2086" spans="1:12" s="48" customFormat="1" hidden="1" x14ac:dyDescent="0.3">
      <c r="A2086" s="109" t="s">
        <v>17</v>
      </c>
      <c r="B2086" s="109" t="s">
        <v>1865</v>
      </c>
      <c r="C2086" s="109" t="s">
        <v>1866</v>
      </c>
      <c r="D2086" s="109">
        <v>5536791358</v>
      </c>
      <c r="E2086" s="109">
        <v>356665</v>
      </c>
      <c r="F2086" s="110">
        <v>854</v>
      </c>
      <c r="G2086" s="111">
        <v>46162</v>
      </c>
      <c r="H2086" s="48" t="s">
        <v>1861</v>
      </c>
    </row>
    <row r="2087" spans="1:12" hidden="1" x14ac:dyDescent="0.3">
      <c r="A2087" s="48" t="s">
        <v>47</v>
      </c>
      <c r="B2087" s="48" t="s">
        <v>1862</v>
      </c>
      <c r="C2087" s="48" t="s">
        <v>1863</v>
      </c>
      <c r="D2087" s="48">
        <v>5613221228</v>
      </c>
      <c r="E2087" s="48">
        <v>303872</v>
      </c>
      <c r="F2087" s="88">
        <v>14848</v>
      </c>
      <c r="G2087" s="50">
        <v>46154</v>
      </c>
    </row>
    <row r="2088" spans="1:12" s="48" customFormat="1" hidden="1" x14ac:dyDescent="0.3">
      <c r="A2088" s="44" t="s">
        <v>10</v>
      </c>
      <c r="B2088" s="44" t="s">
        <v>1870</v>
      </c>
      <c r="C2088" s="44" t="s">
        <v>1639</v>
      </c>
      <c r="D2088" s="44">
        <v>5512254463</v>
      </c>
      <c r="E2088" s="44">
        <v>194021</v>
      </c>
      <c r="F2088" s="87">
        <v>3120</v>
      </c>
      <c r="G2088" s="46">
        <v>46154</v>
      </c>
    </row>
    <row r="2089" spans="1:12" hidden="1" x14ac:dyDescent="0.3">
      <c r="A2089" s="44" t="s">
        <v>10</v>
      </c>
      <c r="B2089" s="44" t="s">
        <v>1492</v>
      </c>
      <c r="C2089" s="44" t="s">
        <v>1873</v>
      </c>
      <c r="D2089" s="44">
        <v>5551730314</v>
      </c>
      <c r="E2089" s="44">
        <v>193349</v>
      </c>
      <c r="F2089" s="87">
        <v>7736</v>
      </c>
      <c r="G2089" s="46">
        <v>46154</v>
      </c>
    </row>
    <row r="2090" spans="1:12" s="48" customFormat="1" hidden="1" x14ac:dyDescent="0.3">
      <c r="A2090" s="48" t="s">
        <v>10</v>
      </c>
      <c r="B2090" s="48" t="s">
        <v>1867</v>
      </c>
      <c r="C2090" s="48" t="s">
        <v>1868</v>
      </c>
      <c r="D2090" s="48">
        <v>5586896540</v>
      </c>
      <c r="E2090" s="48">
        <v>356899</v>
      </c>
      <c r="F2090" s="88">
        <v>3694</v>
      </c>
      <c r="G2090" s="50">
        <v>46154</v>
      </c>
      <c r="H2090" s="48" t="s">
        <v>1874</v>
      </c>
      <c r="J2090" s="48">
        <v>2</v>
      </c>
      <c r="K2090" s="48" t="s">
        <v>1864</v>
      </c>
      <c r="L2090" s="48">
        <v>100</v>
      </c>
    </row>
    <row r="2091" spans="1:12" hidden="1" x14ac:dyDescent="0.3">
      <c r="A2091" s="48" t="s">
        <v>10</v>
      </c>
      <c r="B2091" s="48" t="s">
        <v>1871</v>
      </c>
      <c r="C2091" s="48" t="s">
        <v>1872</v>
      </c>
      <c r="D2091" s="48">
        <v>5618521749</v>
      </c>
      <c r="E2091" s="48">
        <v>193711</v>
      </c>
      <c r="F2091" s="88">
        <v>6300</v>
      </c>
      <c r="G2091" s="50">
        <v>46154</v>
      </c>
    </row>
    <row r="2092" spans="1:12" s="48" customFormat="1" hidden="1" x14ac:dyDescent="0.3">
      <c r="A2092" s="44" t="s">
        <v>11</v>
      </c>
      <c r="B2092" s="44" t="s">
        <v>1859</v>
      </c>
      <c r="C2092" s="44" t="s">
        <v>1860</v>
      </c>
      <c r="D2092" s="44">
        <v>5510175866</v>
      </c>
      <c r="E2092" s="44">
        <v>193548</v>
      </c>
      <c r="F2092" s="87">
        <v>4825</v>
      </c>
      <c r="G2092" s="46">
        <v>46154</v>
      </c>
      <c r="H2092" s="48" t="s">
        <v>1869</v>
      </c>
    </row>
    <row r="2093" spans="1:12" hidden="1" x14ac:dyDescent="0.3">
      <c r="A2093" s="48" t="s">
        <v>11</v>
      </c>
      <c r="B2093" s="48" t="s">
        <v>1857</v>
      </c>
      <c r="C2093" s="48" t="s">
        <v>1858</v>
      </c>
      <c r="D2093" s="48">
        <v>5553322347</v>
      </c>
      <c r="E2093" s="48">
        <v>193916</v>
      </c>
      <c r="F2093" s="107">
        <v>2347</v>
      </c>
      <c r="G2093" s="50">
        <v>46154</v>
      </c>
    </row>
    <row r="2094" spans="1:12" s="48" customFormat="1" hidden="1" x14ac:dyDescent="0.3">
      <c r="A2094" s="44" t="s">
        <v>11</v>
      </c>
      <c r="B2094" s="44" t="s">
        <v>767</v>
      </c>
      <c r="C2094" s="44" t="s">
        <v>1838</v>
      </c>
      <c r="D2094" s="44">
        <v>5554335513</v>
      </c>
      <c r="E2094" s="44">
        <v>192567</v>
      </c>
      <c r="F2094" s="108">
        <v>12213</v>
      </c>
      <c r="G2094" s="53">
        <v>46154</v>
      </c>
    </row>
    <row r="2095" spans="1:12" hidden="1" x14ac:dyDescent="0.3">
      <c r="A2095" s="48" t="s">
        <v>11</v>
      </c>
      <c r="B2095" s="48" t="s">
        <v>967</v>
      </c>
      <c r="C2095" s="48" t="str">
        <f>IFERROR(VLOOKUP(B2095,Base2026!A:C,2,FALSE),"")</f>
        <v>CASAS ALEMAN</v>
      </c>
      <c r="D2095" s="48">
        <v>5565353762</v>
      </c>
      <c r="E2095" s="48">
        <v>356448</v>
      </c>
      <c r="F2095" s="88">
        <v>6002</v>
      </c>
      <c r="G2095" s="50">
        <v>46154</v>
      </c>
    </row>
    <row r="2096" spans="1:12" s="109" customFormat="1" hidden="1" x14ac:dyDescent="0.3">
      <c r="A2096" s="109" t="s">
        <v>47</v>
      </c>
      <c r="B2096" s="109" t="s">
        <v>1895</v>
      </c>
      <c r="C2096" s="109" t="s">
        <v>41</v>
      </c>
      <c r="D2096" s="109">
        <v>4425655168</v>
      </c>
      <c r="E2096" s="109">
        <v>356805</v>
      </c>
      <c r="F2096" s="110">
        <v>1719</v>
      </c>
      <c r="G2096" s="111">
        <v>46155</v>
      </c>
    </row>
    <row r="2097" spans="1:11" hidden="1" x14ac:dyDescent="0.3">
      <c r="A2097" s="44" t="s">
        <v>47</v>
      </c>
      <c r="B2097" s="44" t="s">
        <v>1894</v>
      </c>
      <c r="C2097" s="44" t="s">
        <v>306</v>
      </c>
      <c r="D2097" s="44">
        <v>5533352197</v>
      </c>
      <c r="E2097" s="44">
        <v>303630</v>
      </c>
      <c r="F2097" s="87">
        <v>11970</v>
      </c>
      <c r="G2097" s="46">
        <v>46155</v>
      </c>
    </row>
    <row r="2098" spans="1:11" s="109" customFormat="1" hidden="1" x14ac:dyDescent="0.3">
      <c r="A2098" s="44" t="s">
        <v>47</v>
      </c>
      <c r="B2098" s="44" t="s">
        <v>1896</v>
      </c>
      <c r="C2098" s="44" t="s">
        <v>1897</v>
      </c>
      <c r="D2098" s="44">
        <v>5540305931</v>
      </c>
      <c r="E2098" s="44">
        <v>303259</v>
      </c>
      <c r="F2098" s="87">
        <v>27393</v>
      </c>
      <c r="G2098" s="46">
        <v>46155</v>
      </c>
    </row>
    <row r="2099" spans="1:11" hidden="1" x14ac:dyDescent="0.3">
      <c r="A2099" s="109" t="s">
        <v>47</v>
      </c>
      <c r="B2099" s="109" t="s">
        <v>1896</v>
      </c>
      <c r="C2099" s="109" t="s">
        <v>1897</v>
      </c>
      <c r="D2099" s="109">
        <v>5540305931</v>
      </c>
      <c r="E2099" s="109">
        <v>303258</v>
      </c>
      <c r="F2099" s="110">
        <v>1560</v>
      </c>
      <c r="G2099" s="111">
        <v>46155</v>
      </c>
      <c r="H2099" s="44" t="s">
        <v>1881</v>
      </c>
    </row>
    <row r="2100" spans="1:11" s="109" customFormat="1" hidden="1" x14ac:dyDescent="0.3">
      <c r="A2100" s="44" t="s">
        <v>47</v>
      </c>
      <c r="B2100" s="44" t="s">
        <v>1896</v>
      </c>
      <c r="C2100" s="44" t="s">
        <v>1897</v>
      </c>
      <c r="D2100" s="44">
        <v>5540305931</v>
      </c>
      <c r="E2100" s="44">
        <v>303259</v>
      </c>
      <c r="F2100" s="87">
        <v>10944</v>
      </c>
      <c r="G2100" s="46">
        <v>46155</v>
      </c>
      <c r="H2100" s="109" t="s">
        <v>1891</v>
      </c>
      <c r="I2100" s="109">
        <v>8</v>
      </c>
      <c r="J2100" s="109" t="s">
        <v>1892</v>
      </c>
      <c r="K2100" s="109">
        <v>32</v>
      </c>
    </row>
    <row r="2101" spans="1:11" hidden="1" x14ac:dyDescent="0.3">
      <c r="A2101" s="109" t="s">
        <v>47</v>
      </c>
      <c r="B2101" s="109" t="s">
        <v>1544</v>
      </c>
      <c r="C2101" s="109" t="s">
        <v>1893</v>
      </c>
      <c r="D2101" s="109">
        <v>5577936861</v>
      </c>
      <c r="E2101" s="109">
        <v>356909</v>
      </c>
      <c r="F2101" s="110">
        <v>555</v>
      </c>
      <c r="G2101" s="111">
        <v>46155</v>
      </c>
    </row>
    <row r="2102" spans="1:11" hidden="1" x14ac:dyDescent="0.3">
      <c r="A2102" s="44" t="s">
        <v>47</v>
      </c>
      <c r="B2102" s="44" t="s">
        <v>121</v>
      </c>
      <c r="C2102" s="44" t="s">
        <v>1889</v>
      </c>
      <c r="D2102" s="44">
        <v>5612852406</v>
      </c>
      <c r="E2102" s="44">
        <v>355613</v>
      </c>
      <c r="F2102" s="87">
        <v>3284</v>
      </c>
      <c r="G2102" s="46">
        <v>46155</v>
      </c>
    </row>
    <row r="2103" spans="1:11" s="109" customFormat="1" hidden="1" x14ac:dyDescent="0.3">
      <c r="A2103" s="44" t="s">
        <v>47</v>
      </c>
      <c r="B2103" s="44" t="s">
        <v>121</v>
      </c>
      <c r="C2103" s="44" t="s">
        <v>1889</v>
      </c>
      <c r="D2103" s="44">
        <v>5612852406</v>
      </c>
      <c r="E2103" s="44">
        <v>192069</v>
      </c>
      <c r="F2103" s="87">
        <v>3600</v>
      </c>
      <c r="G2103" s="46">
        <v>46155</v>
      </c>
    </row>
    <row r="2104" spans="1:11" hidden="1" x14ac:dyDescent="0.3">
      <c r="A2104" s="109" t="s">
        <v>10</v>
      </c>
      <c r="B2104" s="109" t="s">
        <v>1884</v>
      </c>
      <c r="C2104" s="109" t="s">
        <v>1882</v>
      </c>
      <c r="D2104" s="109">
        <v>1444148421</v>
      </c>
      <c r="E2104" s="109">
        <v>304091</v>
      </c>
      <c r="F2104" s="110">
        <v>25848</v>
      </c>
      <c r="G2104" s="111">
        <v>46155</v>
      </c>
    </row>
    <row r="2105" spans="1:11" s="109" customFormat="1" hidden="1" x14ac:dyDescent="0.3">
      <c r="A2105" s="44" t="s">
        <v>10</v>
      </c>
      <c r="B2105" s="44" t="s">
        <v>1877</v>
      </c>
      <c r="C2105" s="44" t="s">
        <v>1860</v>
      </c>
      <c r="D2105" s="44">
        <v>5531564353</v>
      </c>
      <c r="E2105" s="44">
        <v>304063</v>
      </c>
      <c r="F2105" s="87">
        <v>17400</v>
      </c>
      <c r="G2105" s="46">
        <v>46155</v>
      </c>
      <c r="H2105" s="109" t="s">
        <v>1883</v>
      </c>
      <c r="I2105" s="109">
        <v>1</v>
      </c>
    </row>
    <row r="2106" spans="1:11" hidden="1" x14ac:dyDescent="0.3">
      <c r="A2106" s="109" t="s">
        <v>10</v>
      </c>
      <c r="B2106" s="109" t="s">
        <v>1878</v>
      </c>
      <c r="C2106" s="109" t="s">
        <v>1873</v>
      </c>
      <c r="D2106" s="109">
        <v>5532346493</v>
      </c>
      <c r="E2106" s="109">
        <v>193646</v>
      </c>
      <c r="F2106" s="110">
        <v>3260</v>
      </c>
      <c r="G2106" s="111">
        <v>46155</v>
      </c>
      <c r="H2106" s="44" t="s">
        <v>1869</v>
      </c>
      <c r="I2106" s="44">
        <v>1</v>
      </c>
    </row>
    <row r="2107" spans="1:11" hidden="1" x14ac:dyDescent="0.3">
      <c r="A2107" s="44" t="s">
        <v>10</v>
      </c>
      <c r="B2107" s="44" t="s">
        <v>1879</v>
      </c>
      <c r="C2107" s="44" t="s">
        <v>1880</v>
      </c>
      <c r="D2107" s="44">
        <v>5545286813</v>
      </c>
      <c r="E2107" s="44">
        <v>303974</v>
      </c>
      <c r="F2107" s="87">
        <v>6263</v>
      </c>
      <c r="G2107" s="46">
        <v>46155</v>
      </c>
      <c r="H2107" s="44" t="s">
        <v>1890</v>
      </c>
      <c r="I2107" s="44">
        <v>1</v>
      </c>
    </row>
    <row r="2108" spans="1:11" s="109" customFormat="1" hidden="1" x14ac:dyDescent="0.3">
      <c r="A2108" s="109" t="s">
        <v>10</v>
      </c>
      <c r="B2108" s="109" t="s">
        <v>1875</v>
      </c>
      <c r="C2108" s="109" t="s">
        <v>1876</v>
      </c>
      <c r="D2108" s="109">
        <v>5554576848</v>
      </c>
      <c r="E2108" s="109">
        <v>356718</v>
      </c>
      <c r="F2108" s="110">
        <v>575</v>
      </c>
      <c r="G2108" s="111">
        <v>46155</v>
      </c>
    </row>
    <row r="2109" spans="1:11" s="109" customFormat="1" hidden="1" x14ac:dyDescent="0.3">
      <c r="A2109" s="44" t="s">
        <v>11</v>
      </c>
      <c r="B2109" s="44" t="s">
        <v>998</v>
      </c>
      <c r="C2109" s="44" t="s">
        <v>1885</v>
      </c>
      <c r="D2109" s="44">
        <v>5518666206</v>
      </c>
      <c r="E2109" s="44">
        <v>3555865</v>
      </c>
      <c r="F2109" s="87">
        <v>43782</v>
      </c>
      <c r="G2109" s="46">
        <v>46155</v>
      </c>
      <c r="H2109" s="109" t="s">
        <v>1461</v>
      </c>
    </row>
    <row r="2110" spans="1:11" hidden="1" x14ac:dyDescent="0.3">
      <c r="A2110" s="109" t="s">
        <v>11</v>
      </c>
      <c r="B2110" s="109" t="s">
        <v>1886</v>
      </c>
      <c r="C2110" s="109" t="s">
        <v>32</v>
      </c>
      <c r="D2110" s="109">
        <v>5527842592</v>
      </c>
      <c r="E2110" s="109">
        <v>193492</v>
      </c>
      <c r="F2110" s="110">
        <v>4438</v>
      </c>
      <c r="G2110" s="111">
        <v>46155</v>
      </c>
    </row>
    <row r="2111" spans="1:11" s="109" customFormat="1" hidden="1" x14ac:dyDescent="0.3">
      <c r="A2111" s="44" t="s">
        <v>11</v>
      </c>
      <c r="B2111" s="44" t="s">
        <v>1887</v>
      </c>
      <c r="C2111" s="44" t="s">
        <v>1888</v>
      </c>
      <c r="D2111" s="44">
        <v>5542826838</v>
      </c>
      <c r="E2111" s="44">
        <v>303235</v>
      </c>
      <c r="F2111" s="87">
        <v>15386</v>
      </c>
      <c r="G2111" s="46">
        <v>46155</v>
      </c>
    </row>
    <row r="2112" spans="1:11" hidden="1" x14ac:dyDescent="0.3">
      <c r="A2112" s="109" t="s">
        <v>11</v>
      </c>
      <c r="B2112" s="109" t="s">
        <v>1754</v>
      </c>
      <c r="C2112" s="109" t="s">
        <v>425</v>
      </c>
      <c r="D2112" s="109">
        <v>5648558794</v>
      </c>
      <c r="E2112" s="109">
        <v>194123</v>
      </c>
      <c r="F2112" s="110">
        <v>2197</v>
      </c>
      <c r="G2112" s="111">
        <v>46155</v>
      </c>
    </row>
    <row r="2113" spans="1:9" s="109" customFormat="1" hidden="1" x14ac:dyDescent="0.3">
      <c r="A2113" s="76" t="s">
        <v>47</v>
      </c>
      <c r="B2113" s="76" t="s">
        <v>1907</v>
      </c>
      <c r="C2113" s="76" t="s">
        <v>1876</v>
      </c>
      <c r="D2113" s="76">
        <v>5517459767</v>
      </c>
      <c r="E2113" s="76">
        <v>356990</v>
      </c>
      <c r="F2113" s="95">
        <v>6300</v>
      </c>
      <c r="G2113" s="77">
        <v>46156</v>
      </c>
    </row>
    <row r="2114" spans="1:9" hidden="1" x14ac:dyDescent="0.3">
      <c r="A2114" s="44" t="s">
        <v>47</v>
      </c>
      <c r="B2114" s="44" t="s">
        <v>872</v>
      </c>
      <c r="C2114" s="44" t="s">
        <v>1908</v>
      </c>
      <c r="D2114" s="44">
        <v>5528812468</v>
      </c>
      <c r="E2114" s="44">
        <v>304191</v>
      </c>
      <c r="F2114" s="87">
        <v>12999</v>
      </c>
      <c r="G2114" s="53">
        <v>46156</v>
      </c>
    </row>
    <row r="2115" spans="1:9" s="76" customFormat="1" hidden="1" x14ac:dyDescent="0.3">
      <c r="A2115" s="76" t="s">
        <v>47</v>
      </c>
      <c r="B2115" s="76" t="s">
        <v>1909</v>
      </c>
      <c r="C2115" s="76" t="s">
        <v>1910</v>
      </c>
      <c r="D2115" s="76">
        <v>5536645595</v>
      </c>
      <c r="E2115" s="76">
        <v>193869</v>
      </c>
      <c r="F2115" s="95">
        <v>10145</v>
      </c>
      <c r="G2115" s="77">
        <v>46156</v>
      </c>
    </row>
    <row r="2116" spans="1:9" hidden="1" x14ac:dyDescent="0.3">
      <c r="A2116" s="109" t="s">
        <v>47</v>
      </c>
      <c r="B2116" s="109" t="s">
        <v>1544</v>
      </c>
      <c r="C2116" s="109" t="s">
        <v>1893</v>
      </c>
      <c r="D2116" s="109">
        <v>5577936861</v>
      </c>
      <c r="E2116" s="109">
        <v>356908</v>
      </c>
      <c r="F2116" s="110">
        <v>916</v>
      </c>
      <c r="G2116" s="111">
        <v>46156</v>
      </c>
    </row>
    <row r="2117" spans="1:9" s="76" customFormat="1" hidden="1" x14ac:dyDescent="0.3">
      <c r="A2117" s="76" t="s">
        <v>10</v>
      </c>
      <c r="B2117" s="76" t="s">
        <v>1915</v>
      </c>
      <c r="C2117" s="76" t="s">
        <v>115</v>
      </c>
      <c r="D2117" s="76">
        <v>5513668132</v>
      </c>
      <c r="E2117" s="76">
        <v>194289</v>
      </c>
      <c r="F2117" s="95">
        <v>1300</v>
      </c>
      <c r="G2117" s="77">
        <v>46156</v>
      </c>
    </row>
    <row r="2118" spans="1:9" hidden="1" x14ac:dyDescent="0.3">
      <c r="A2118" s="44" t="s">
        <v>10</v>
      </c>
      <c r="B2118" s="44" t="s">
        <v>1916</v>
      </c>
      <c r="C2118" s="44" t="s">
        <v>1917</v>
      </c>
      <c r="D2118" s="44">
        <v>5525066651</v>
      </c>
      <c r="E2118" s="44">
        <v>193344</v>
      </c>
      <c r="F2118" s="87">
        <v>5129</v>
      </c>
      <c r="G2118" s="46">
        <v>46156</v>
      </c>
    </row>
    <row r="2119" spans="1:9" s="76" customFormat="1" hidden="1" x14ac:dyDescent="0.3">
      <c r="A2119" s="44" t="s">
        <v>10</v>
      </c>
      <c r="B2119" s="44" t="s">
        <v>522</v>
      </c>
      <c r="C2119" s="44" t="s">
        <v>1914</v>
      </c>
      <c r="D2119" s="44">
        <v>5527577305</v>
      </c>
      <c r="E2119" s="44">
        <v>194007</v>
      </c>
      <c r="F2119" s="87">
        <v>1672</v>
      </c>
      <c r="G2119" s="46">
        <v>46156</v>
      </c>
    </row>
    <row r="2120" spans="1:9" hidden="1" x14ac:dyDescent="0.3">
      <c r="A2120" s="76" t="s">
        <v>10</v>
      </c>
      <c r="B2120" s="76" t="s">
        <v>1918</v>
      </c>
      <c r="C2120" s="76" t="s">
        <v>575</v>
      </c>
      <c r="D2120" s="76">
        <v>5530415439</v>
      </c>
      <c r="E2120" s="76">
        <v>303908</v>
      </c>
      <c r="F2120" s="95">
        <v>1228</v>
      </c>
      <c r="G2120" s="77">
        <v>46156</v>
      </c>
    </row>
    <row r="2121" spans="1:9" s="76" customFormat="1" hidden="1" x14ac:dyDescent="0.3">
      <c r="A2121" s="44" t="s">
        <v>10</v>
      </c>
      <c r="B2121" s="44" t="s">
        <v>1919</v>
      </c>
      <c r="C2121" s="44" t="s">
        <v>1920</v>
      </c>
      <c r="D2121" s="44">
        <v>5547956325</v>
      </c>
      <c r="E2121" s="44">
        <v>193508</v>
      </c>
      <c r="F2121" s="87">
        <v>8703</v>
      </c>
      <c r="G2121" s="46">
        <v>46156</v>
      </c>
    </row>
    <row r="2122" spans="1:9" hidden="1" x14ac:dyDescent="0.3">
      <c r="A2122" s="76" t="s">
        <v>10</v>
      </c>
      <c r="B2122" s="76" t="s">
        <v>1922</v>
      </c>
      <c r="C2122" s="76" t="s">
        <v>1923</v>
      </c>
      <c r="D2122" s="76">
        <v>5566973997</v>
      </c>
      <c r="E2122" s="76">
        <v>303910</v>
      </c>
      <c r="F2122" s="95">
        <v>3439</v>
      </c>
      <c r="G2122" s="77">
        <v>46156</v>
      </c>
    </row>
    <row r="2123" spans="1:9" s="76" customFormat="1" hidden="1" x14ac:dyDescent="0.3">
      <c r="A2123" s="44" t="s">
        <v>10</v>
      </c>
      <c r="B2123" s="44" t="s">
        <v>1922</v>
      </c>
      <c r="C2123" s="44" t="s">
        <v>1923</v>
      </c>
      <c r="D2123" s="44">
        <v>5566973997</v>
      </c>
      <c r="E2123" s="44">
        <v>303911</v>
      </c>
      <c r="F2123" s="87">
        <v>300</v>
      </c>
      <c r="G2123" s="53">
        <v>46156</v>
      </c>
    </row>
    <row r="2124" spans="1:9" hidden="1" x14ac:dyDescent="0.3">
      <c r="A2124" s="44" t="s">
        <v>10</v>
      </c>
      <c r="B2124" s="44" t="s">
        <v>1912</v>
      </c>
      <c r="C2124" s="44" t="s">
        <v>480</v>
      </c>
      <c r="D2124" s="44">
        <v>5579994084</v>
      </c>
      <c r="E2124" s="44">
        <v>303575</v>
      </c>
      <c r="F2124" s="87">
        <v>6269</v>
      </c>
      <c r="G2124" s="46">
        <v>46156</v>
      </c>
    </row>
    <row r="2125" spans="1:9" s="76" customFormat="1" hidden="1" x14ac:dyDescent="0.3">
      <c r="A2125" s="76" t="s">
        <v>10</v>
      </c>
      <c r="B2125" s="76" t="s">
        <v>1913</v>
      </c>
      <c r="C2125" s="76" t="s">
        <v>113</v>
      </c>
      <c r="D2125" s="76">
        <v>5667905307</v>
      </c>
      <c r="E2125" s="76">
        <v>194199</v>
      </c>
      <c r="F2125" s="95">
        <v>1914</v>
      </c>
      <c r="G2125" s="77">
        <v>46156</v>
      </c>
      <c r="H2125" s="76" t="s">
        <v>1911</v>
      </c>
      <c r="I2125" s="76">
        <v>7</v>
      </c>
    </row>
    <row r="2126" spans="1:9" hidden="1" x14ac:dyDescent="0.3">
      <c r="A2126" s="44" t="s">
        <v>17</v>
      </c>
      <c r="B2126" s="44" t="s">
        <v>872</v>
      </c>
      <c r="C2126" s="44" t="s">
        <v>74</v>
      </c>
      <c r="D2126" s="44">
        <v>5528872468</v>
      </c>
      <c r="E2126" s="44">
        <v>304190</v>
      </c>
      <c r="F2126" s="87">
        <v>9359</v>
      </c>
      <c r="G2126" s="53">
        <v>46156</v>
      </c>
    </row>
    <row r="2127" spans="1:9" s="76" customFormat="1" hidden="1" x14ac:dyDescent="0.3">
      <c r="A2127" s="76" t="s">
        <v>17</v>
      </c>
      <c r="B2127" s="76" t="s">
        <v>1899</v>
      </c>
      <c r="C2127" s="76" t="s">
        <v>1900</v>
      </c>
      <c r="D2127" s="76">
        <v>5554167223</v>
      </c>
      <c r="E2127" s="76">
        <v>303785</v>
      </c>
      <c r="F2127" s="95">
        <v>5036</v>
      </c>
      <c r="G2127" s="77">
        <v>46156</v>
      </c>
    </row>
    <row r="2128" spans="1:9" hidden="1" x14ac:dyDescent="0.3">
      <c r="A2128" s="76" t="s">
        <v>17</v>
      </c>
      <c r="B2128" s="76" t="s">
        <v>55</v>
      </c>
      <c r="C2128" s="76" t="s">
        <v>1898</v>
      </c>
      <c r="D2128" s="76">
        <v>5620807201</v>
      </c>
      <c r="E2128" s="76">
        <v>193505</v>
      </c>
      <c r="F2128" s="95">
        <v>2118</v>
      </c>
      <c r="G2128" s="77">
        <v>46156</v>
      </c>
    </row>
    <row r="2129" spans="1:10" s="76" customFormat="1" hidden="1" x14ac:dyDescent="0.3">
      <c r="A2129" s="47" t="s">
        <v>17</v>
      </c>
      <c r="B2129" s="44" t="s">
        <v>55</v>
      </c>
      <c r="C2129" s="44" t="s">
        <v>1898</v>
      </c>
      <c r="D2129" s="44">
        <v>5620807201</v>
      </c>
      <c r="E2129" s="44">
        <v>34642</v>
      </c>
      <c r="F2129" s="85">
        <v>606</v>
      </c>
      <c r="G2129" s="53">
        <v>46156</v>
      </c>
    </row>
    <row r="2130" spans="1:10" hidden="1" x14ac:dyDescent="0.3">
      <c r="A2130" s="76" t="s">
        <v>17</v>
      </c>
      <c r="B2130" s="76" t="s">
        <v>55</v>
      </c>
      <c r="C2130" s="76" t="s">
        <v>1898</v>
      </c>
      <c r="D2130" s="76">
        <v>5620807201</v>
      </c>
      <c r="E2130" s="76">
        <v>34644</v>
      </c>
      <c r="F2130" s="95">
        <v>575</v>
      </c>
      <c r="G2130" s="77">
        <v>46156</v>
      </c>
    </row>
    <row r="2131" spans="1:10" s="76" customFormat="1" hidden="1" x14ac:dyDescent="0.3">
      <c r="A2131" s="47" t="s">
        <v>17</v>
      </c>
      <c r="B2131" s="44" t="s">
        <v>55</v>
      </c>
      <c r="C2131" s="44" t="s">
        <v>1898</v>
      </c>
      <c r="D2131" s="44">
        <v>5620807201</v>
      </c>
      <c r="E2131" s="44">
        <v>193506</v>
      </c>
      <c r="F2131" s="85">
        <v>606</v>
      </c>
      <c r="G2131" s="53">
        <v>46156</v>
      </c>
    </row>
    <row r="2132" spans="1:10" hidden="1" x14ac:dyDescent="0.3">
      <c r="A2132" s="44" t="s">
        <v>11</v>
      </c>
      <c r="B2132" s="44" t="s">
        <v>998</v>
      </c>
      <c r="C2132" s="44" t="s">
        <v>1885</v>
      </c>
      <c r="D2132" s="44">
        <v>5518666206</v>
      </c>
      <c r="E2132" s="44">
        <v>356930</v>
      </c>
      <c r="F2132" s="87">
        <v>43782</v>
      </c>
      <c r="G2132" s="46">
        <v>46156</v>
      </c>
    </row>
    <row r="2133" spans="1:10" s="76" customFormat="1" hidden="1" x14ac:dyDescent="0.3">
      <c r="A2133" s="76" t="s">
        <v>11</v>
      </c>
      <c r="B2133" s="76" t="s">
        <v>1901</v>
      </c>
      <c r="C2133" s="76" t="s">
        <v>1902</v>
      </c>
      <c r="D2133" s="76">
        <v>5520809548</v>
      </c>
      <c r="E2133" s="76">
        <v>193378</v>
      </c>
      <c r="F2133" s="95">
        <v>2630</v>
      </c>
      <c r="G2133" s="77">
        <v>46156</v>
      </c>
    </row>
    <row r="2134" spans="1:10" hidden="1" x14ac:dyDescent="0.3">
      <c r="A2134" s="44" t="s">
        <v>11</v>
      </c>
      <c r="B2134" s="44" t="s">
        <v>1148</v>
      </c>
      <c r="C2134" s="44" t="s">
        <v>1906</v>
      </c>
      <c r="D2134" s="44">
        <v>5539511994</v>
      </c>
      <c r="E2134" s="44">
        <v>356783</v>
      </c>
      <c r="F2134" s="87">
        <v>4685</v>
      </c>
      <c r="G2134" s="53">
        <v>46156</v>
      </c>
    </row>
    <row r="2135" spans="1:10" s="76" customFormat="1" hidden="1" x14ac:dyDescent="0.3">
      <c r="A2135" s="76" t="s">
        <v>11</v>
      </c>
      <c r="B2135" s="76" t="s">
        <v>314</v>
      </c>
      <c r="C2135" s="76" t="s">
        <v>1905</v>
      </c>
      <c r="D2135" s="76">
        <v>5544844808</v>
      </c>
      <c r="E2135" s="76">
        <v>356711</v>
      </c>
      <c r="F2135" s="95">
        <v>5117</v>
      </c>
      <c r="G2135" s="77">
        <v>46156</v>
      </c>
    </row>
    <row r="2136" spans="1:10" hidden="1" x14ac:dyDescent="0.3">
      <c r="A2136" s="44" t="s">
        <v>11</v>
      </c>
      <c r="B2136" s="44" t="s">
        <v>1903</v>
      </c>
      <c r="C2136" s="44" t="s">
        <v>1904</v>
      </c>
      <c r="D2136" s="44">
        <v>5611799157</v>
      </c>
      <c r="E2136" s="44">
        <v>193583</v>
      </c>
      <c r="F2136" s="87">
        <v>16727</v>
      </c>
      <c r="G2136" s="53">
        <v>46156</v>
      </c>
      <c r="H2136" s="44" t="s">
        <v>1619</v>
      </c>
      <c r="I2136" s="44">
        <v>3</v>
      </c>
      <c r="J2136" s="44" t="s">
        <v>1924</v>
      </c>
    </row>
    <row r="2137" spans="1:10" s="112" customFormat="1" hidden="1" x14ac:dyDescent="0.3">
      <c r="A2137" s="112" t="s">
        <v>47</v>
      </c>
      <c r="B2137" s="112" t="s">
        <v>1935</v>
      </c>
      <c r="C2137" s="112" t="s">
        <v>1936</v>
      </c>
      <c r="D2137" s="112">
        <v>5514672368</v>
      </c>
      <c r="E2137" s="112">
        <v>194409</v>
      </c>
      <c r="F2137" s="113">
        <v>1672</v>
      </c>
      <c r="G2137" s="114">
        <v>46157</v>
      </c>
    </row>
    <row r="2138" spans="1:10" hidden="1" x14ac:dyDescent="0.3">
      <c r="A2138" s="44" t="s">
        <v>47</v>
      </c>
      <c r="B2138" s="44" t="s">
        <v>1937</v>
      </c>
      <c r="C2138" s="44" t="s">
        <v>1938</v>
      </c>
      <c r="D2138" s="44">
        <v>5515369770</v>
      </c>
      <c r="E2138" s="44">
        <v>356458</v>
      </c>
      <c r="F2138" s="87">
        <v>7946</v>
      </c>
      <c r="G2138" s="46">
        <v>46157</v>
      </c>
    </row>
    <row r="2139" spans="1:10" s="112" customFormat="1" hidden="1" x14ac:dyDescent="0.3">
      <c r="A2139" s="112" t="s">
        <v>47</v>
      </c>
      <c r="B2139" s="112" t="s">
        <v>1921</v>
      </c>
      <c r="C2139" s="112" t="s">
        <v>1939</v>
      </c>
      <c r="D2139" s="112">
        <v>5529570508</v>
      </c>
      <c r="E2139" s="112">
        <v>303718</v>
      </c>
      <c r="F2139" s="113">
        <v>8524</v>
      </c>
      <c r="G2139" s="114">
        <v>46157</v>
      </c>
    </row>
    <row r="2140" spans="1:10" hidden="1" x14ac:dyDescent="0.3">
      <c r="A2140" s="44" t="s">
        <v>47</v>
      </c>
      <c r="B2140" s="44" t="s">
        <v>1940</v>
      </c>
      <c r="C2140" s="44" t="s">
        <v>1939</v>
      </c>
      <c r="D2140" s="44">
        <v>5529570508</v>
      </c>
      <c r="E2140" s="44">
        <v>303716</v>
      </c>
      <c r="F2140" s="87">
        <v>8208</v>
      </c>
      <c r="G2140" s="46">
        <v>46157</v>
      </c>
    </row>
    <row r="2141" spans="1:10" hidden="1" x14ac:dyDescent="0.3">
      <c r="A2141" s="44" t="s">
        <v>47</v>
      </c>
      <c r="B2141" s="44" t="s">
        <v>1942</v>
      </c>
      <c r="C2141" s="44" t="s">
        <v>1943</v>
      </c>
      <c r="D2141" s="44">
        <v>5548548167</v>
      </c>
      <c r="E2141" s="44">
        <v>303818</v>
      </c>
      <c r="F2141" s="87">
        <v>16958</v>
      </c>
      <c r="G2141" s="46">
        <v>46157</v>
      </c>
    </row>
    <row r="2142" spans="1:10" s="112" customFormat="1" hidden="1" x14ac:dyDescent="0.3">
      <c r="A2142" s="112" t="s">
        <v>47</v>
      </c>
      <c r="B2142" s="112" t="s">
        <v>1941</v>
      </c>
      <c r="C2142" s="112" t="s">
        <v>390</v>
      </c>
      <c r="D2142" s="80">
        <v>5554550976</v>
      </c>
      <c r="E2142" s="112">
        <v>303701</v>
      </c>
      <c r="F2142" s="113">
        <v>6863</v>
      </c>
      <c r="G2142" s="114">
        <v>46157</v>
      </c>
    </row>
    <row r="2143" spans="1:10" hidden="1" x14ac:dyDescent="0.3">
      <c r="A2143" s="112" t="s">
        <v>10</v>
      </c>
      <c r="B2143" s="112" t="s">
        <v>1931</v>
      </c>
      <c r="C2143" s="112" t="s">
        <v>1882</v>
      </c>
      <c r="D2143" s="112">
        <v>4444148421</v>
      </c>
      <c r="E2143" s="112">
        <v>304286</v>
      </c>
      <c r="F2143" s="113">
        <v>5412</v>
      </c>
      <c r="G2143" s="114">
        <v>46157</v>
      </c>
    </row>
    <row r="2144" spans="1:10" s="112" customFormat="1" hidden="1" x14ac:dyDescent="0.3">
      <c r="A2144" s="112" t="s">
        <v>10</v>
      </c>
      <c r="B2144" s="112" t="s">
        <v>1930</v>
      </c>
      <c r="C2144" s="112" t="s">
        <v>1074</v>
      </c>
      <c r="D2144" s="112">
        <v>5522488458</v>
      </c>
      <c r="E2144" s="112">
        <v>194180</v>
      </c>
      <c r="F2144" s="113">
        <v>3231</v>
      </c>
      <c r="G2144" s="114">
        <v>46157</v>
      </c>
    </row>
    <row r="2145" spans="1:7" hidden="1" x14ac:dyDescent="0.3">
      <c r="A2145" s="44" t="s">
        <v>10</v>
      </c>
      <c r="B2145" s="44" t="s">
        <v>1928</v>
      </c>
      <c r="C2145" s="44" t="s">
        <v>1929</v>
      </c>
      <c r="D2145" s="44">
        <v>5526588877</v>
      </c>
      <c r="E2145" s="44">
        <v>193482</v>
      </c>
      <c r="F2145" s="85">
        <v>8303</v>
      </c>
      <c r="G2145" s="46">
        <v>46157</v>
      </c>
    </row>
    <row r="2146" spans="1:7" s="112" customFormat="1" hidden="1" x14ac:dyDescent="0.3">
      <c r="A2146" s="44" t="s">
        <v>10</v>
      </c>
      <c r="B2146" s="44" t="s">
        <v>1926</v>
      </c>
      <c r="C2146" s="44" t="s">
        <v>1927</v>
      </c>
      <c r="D2146" s="44">
        <v>5527073914</v>
      </c>
      <c r="E2146" s="44">
        <v>304085</v>
      </c>
      <c r="F2146" s="87">
        <v>267</v>
      </c>
      <c r="G2146" s="46">
        <v>46157</v>
      </c>
    </row>
    <row r="2147" spans="1:7" hidden="1" x14ac:dyDescent="0.3">
      <c r="A2147" s="112" t="s">
        <v>10</v>
      </c>
      <c r="B2147" s="112" t="s">
        <v>1926</v>
      </c>
      <c r="C2147" s="112" t="s">
        <v>1927</v>
      </c>
      <c r="D2147" s="112">
        <v>5527073914</v>
      </c>
      <c r="E2147" s="112">
        <v>304086</v>
      </c>
      <c r="F2147" s="113">
        <v>179</v>
      </c>
      <c r="G2147" s="114">
        <v>46157</v>
      </c>
    </row>
    <row r="2148" spans="1:7" s="112" customFormat="1" hidden="1" x14ac:dyDescent="0.3">
      <c r="A2148" s="44" t="s">
        <v>10</v>
      </c>
      <c r="B2148" s="44" t="s">
        <v>1926</v>
      </c>
      <c r="C2148" s="44" t="s">
        <v>1927</v>
      </c>
      <c r="D2148" s="44">
        <v>5527073914</v>
      </c>
      <c r="E2148" s="44">
        <v>304087</v>
      </c>
      <c r="F2148" s="87">
        <v>1813</v>
      </c>
      <c r="G2148" s="46">
        <v>46157</v>
      </c>
    </row>
    <row r="2149" spans="1:7" hidden="1" x14ac:dyDescent="0.3">
      <c r="A2149" s="112" t="s">
        <v>10</v>
      </c>
      <c r="B2149" s="112" t="s">
        <v>1925</v>
      </c>
      <c r="C2149" s="112" t="s">
        <v>41</v>
      </c>
      <c r="D2149" s="112">
        <v>5535537817</v>
      </c>
      <c r="E2149" s="112">
        <v>303537</v>
      </c>
      <c r="F2149" s="113">
        <v>984</v>
      </c>
      <c r="G2149" s="114">
        <v>46157</v>
      </c>
    </row>
    <row r="2150" spans="1:7" s="112" customFormat="1" hidden="1" x14ac:dyDescent="0.3">
      <c r="A2150" s="44" t="s">
        <v>10</v>
      </c>
      <c r="B2150" s="44" t="s">
        <v>1513</v>
      </c>
      <c r="C2150" s="44" t="s">
        <v>480</v>
      </c>
      <c r="D2150" s="44">
        <v>5579994084</v>
      </c>
      <c r="E2150" s="44">
        <v>303972</v>
      </c>
      <c r="F2150" s="87">
        <v>5337</v>
      </c>
      <c r="G2150" s="46">
        <v>46157</v>
      </c>
    </row>
    <row r="2151" spans="1:7" hidden="1" x14ac:dyDescent="0.3">
      <c r="A2151" s="112" t="s">
        <v>890</v>
      </c>
      <c r="B2151" s="112" t="s">
        <v>1934</v>
      </c>
      <c r="C2151" s="112" t="s">
        <v>712</v>
      </c>
      <c r="D2151" s="112">
        <v>5512911823</v>
      </c>
      <c r="E2151" s="112">
        <v>304245</v>
      </c>
      <c r="F2151" s="113">
        <v>2415</v>
      </c>
      <c r="G2151" s="114">
        <v>46157</v>
      </c>
    </row>
    <row r="2152" spans="1:7" s="112" customFormat="1" hidden="1" x14ac:dyDescent="0.3">
      <c r="A2152" s="44" t="s">
        <v>890</v>
      </c>
      <c r="B2152" s="44" t="s">
        <v>1954</v>
      </c>
      <c r="C2152" s="44" t="s">
        <v>1955</v>
      </c>
      <c r="D2152" s="44">
        <v>5527664072</v>
      </c>
      <c r="E2152" s="112">
        <v>304245</v>
      </c>
      <c r="F2152" s="85">
        <v>2057</v>
      </c>
      <c r="G2152" s="46">
        <v>46157</v>
      </c>
    </row>
    <row r="2153" spans="1:7" hidden="1" x14ac:dyDescent="0.3">
      <c r="A2153" s="44" t="s">
        <v>890</v>
      </c>
      <c r="B2153" s="44" t="s">
        <v>1932</v>
      </c>
      <c r="C2153" s="44" t="s">
        <v>1933</v>
      </c>
      <c r="D2153" s="44">
        <v>5621416797</v>
      </c>
      <c r="E2153" s="44">
        <v>193772</v>
      </c>
      <c r="F2153" s="87">
        <v>5839</v>
      </c>
      <c r="G2153" s="46">
        <v>46157</v>
      </c>
    </row>
    <row r="2154" spans="1:7" s="112" customFormat="1" hidden="1" x14ac:dyDescent="0.3">
      <c r="A2154" s="112" t="s">
        <v>11</v>
      </c>
      <c r="B2154" s="112" t="s">
        <v>1944</v>
      </c>
      <c r="C2154" s="112" t="s">
        <v>14</v>
      </c>
      <c r="D2154" s="112">
        <v>5522688188</v>
      </c>
      <c r="E2154" s="112">
        <v>303729</v>
      </c>
      <c r="F2154" s="113">
        <v>10064</v>
      </c>
      <c r="G2154" s="114">
        <v>46157</v>
      </c>
    </row>
    <row r="2155" spans="1:7" hidden="1" x14ac:dyDescent="0.3">
      <c r="A2155" s="44" t="s">
        <v>11</v>
      </c>
      <c r="B2155" s="44" t="s">
        <v>1944</v>
      </c>
      <c r="C2155" s="44" t="s">
        <v>14</v>
      </c>
      <c r="D2155" s="44">
        <v>5522688188</v>
      </c>
      <c r="E2155" s="44">
        <v>303771</v>
      </c>
      <c r="F2155" s="87">
        <v>8463</v>
      </c>
      <c r="G2155" s="46">
        <v>46157</v>
      </c>
    </row>
    <row r="2156" spans="1:7" s="112" customFormat="1" hidden="1" x14ac:dyDescent="0.3">
      <c r="A2156" s="112" t="s">
        <v>11</v>
      </c>
      <c r="B2156" s="112" t="s">
        <v>1951</v>
      </c>
      <c r="C2156" s="112" t="s">
        <v>138</v>
      </c>
      <c r="D2156" s="112">
        <v>5528100644</v>
      </c>
      <c r="E2156" s="112">
        <v>304181</v>
      </c>
      <c r="F2156" s="113">
        <v>2600</v>
      </c>
      <c r="G2156" s="114">
        <v>46157</v>
      </c>
    </row>
    <row r="2157" spans="1:7" hidden="1" x14ac:dyDescent="0.3">
      <c r="A2157" s="44" t="s">
        <v>11</v>
      </c>
      <c r="B2157" s="44" t="s">
        <v>1887</v>
      </c>
      <c r="C2157" s="44" t="s">
        <v>1950</v>
      </c>
      <c r="D2157" s="44">
        <v>5542826838</v>
      </c>
      <c r="E2157" s="44">
        <v>303536</v>
      </c>
      <c r="F2157" s="87">
        <v>10706</v>
      </c>
      <c r="G2157" s="46">
        <v>46157</v>
      </c>
    </row>
    <row r="2158" spans="1:7" s="112" customFormat="1" hidden="1" x14ac:dyDescent="0.3">
      <c r="A2158" s="112" t="s">
        <v>11</v>
      </c>
      <c r="B2158" s="112" t="s">
        <v>1949</v>
      </c>
      <c r="C2158" s="112" t="s">
        <v>1948</v>
      </c>
      <c r="D2158" s="112">
        <v>5544844808</v>
      </c>
      <c r="E2158" s="112">
        <v>194003</v>
      </c>
      <c r="F2158" s="113">
        <v>3506</v>
      </c>
      <c r="G2158" s="114">
        <v>46157</v>
      </c>
    </row>
    <row r="2159" spans="1:7" hidden="1" x14ac:dyDescent="0.3">
      <c r="A2159" s="44" t="s">
        <v>11</v>
      </c>
      <c r="B2159" s="44" t="s">
        <v>1952</v>
      </c>
      <c r="C2159" s="44" t="s">
        <v>1953</v>
      </c>
      <c r="D2159" s="44">
        <v>5582860407</v>
      </c>
      <c r="E2159" s="44">
        <v>303655</v>
      </c>
      <c r="F2159" s="87">
        <v>10748</v>
      </c>
      <c r="G2159" s="46">
        <v>46157</v>
      </c>
    </row>
    <row r="2160" spans="1:7" s="112" customFormat="1" hidden="1" x14ac:dyDescent="0.3">
      <c r="A2160" s="44" t="s">
        <v>11</v>
      </c>
      <c r="B2160" s="44" t="s">
        <v>1946</v>
      </c>
      <c r="C2160" s="44" t="s">
        <v>1947</v>
      </c>
      <c r="D2160" s="44">
        <v>5613772897</v>
      </c>
      <c r="E2160" s="44">
        <v>356977</v>
      </c>
      <c r="F2160" s="87">
        <v>2000</v>
      </c>
      <c r="G2160" s="46">
        <v>46157</v>
      </c>
    </row>
    <row r="2161" spans="1:9" hidden="1" x14ac:dyDescent="0.3">
      <c r="A2161" s="112" t="s">
        <v>11</v>
      </c>
      <c r="B2161" s="112" t="s">
        <v>1945</v>
      </c>
      <c r="C2161" s="112" t="s">
        <v>1939</v>
      </c>
      <c r="D2161" s="112">
        <v>7205463980</v>
      </c>
      <c r="E2161" s="112">
        <v>303862</v>
      </c>
      <c r="F2161" s="113">
        <v>3458</v>
      </c>
      <c r="G2161" s="114">
        <v>46157</v>
      </c>
    </row>
    <row r="2162" spans="1:9" s="60" customFormat="1" hidden="1" x14ac:dyDescent="0.3">
      <c r="A2162" s="44" t="s">
        <v>47</v>
      </c>
      <c r="B2162" s="44" t="s">
        <v>1969</v>
      </c>
      <c r="C2162" s="44" t="s">
        <v>1970</v>
      </c>
      <c r="D2162" s="44">
        <v>5541796866</v>
      </c>
      <c r="E2162" s="44">
        <v>304088</v>
      </c>
      <c r="F2162" s="87">
        <v>1583</v>
      </c>
      <c r="G2162" s="46">
        <v>46158</v>
      </c>
    </row>
    <row r="2163" spans="1:9" hidden="1" x14ac:dyDescent="0.3">
      <c r="A2163" s="60" t="s">
        <v>47</v>
      </c>
      <c r="B2163" s="60" t="s">
        <v>1967</v>
      </c>
      <c r="C2163" s="60" t="s">
        <v>1968</v>
      </c>
      <c r="D2163" s="60">
        <v>5596905099</v>
      </c>
      <c r="E2163" s="60">
        <v>194476</v>
      </c>
      <c r="F2163" s="79">
        <v>3486</v>
      </c>
      <c r="G2163" s="69">
        <v>46158</v>
      </c>
    </row>
    <row r="2164" spans="1:9" s="60" customFormat="1" hidden="1" x14ac:dyDescent="0.3">
      <c r="A2164" s="60" t="s">
        <v>10</v>
      </c>
      <c r="B2164" s="60" t="s">
        <v>1613</v>
      </c>
      <c r="C2164" s="60" t="s">
        <v>1974</v>
      </c>
      <c r="D2164" s="60">
        <v>5538004798</v>
      </c>
      <c r="E2164" s="60">
        <v>356894</v>
      </c>
      <c r="F2164" s="79">
        <v>8394</v>
      </c>
      <c r="G2164" s="69">
        <v>46158</v>
      </c>
    </row>
    <row r="2165" spans="1:9" hidden="1" x14ac:dyDescent="0.3">
      <c r="A2165" s="44" t="s">
        <v>10</v>
      </c>
      <c r="B2165" s="44" t="s">
        <v>1613</v>
      </c>
      <c r="C2165" s="44" t="s">
        <v>1974</v>
      </c>
      <c r="D2165" s="44">
        <v>5538004798</v>
      </c>
      <c r="E2165" s="44">
        <v>356895</v>
      </c>
      <c r="F2165" s="85">
        <v>280</v>
      </c>
      <c r="G2165" s="46">
        <v>46158</v>
      </c>
    </row>
    <row r="2166" spans="1:9" s="60" customFormat="1" hidden="1" x14ac:dyDescent="0.3">
      <c r="A2166" s="44" t="s">
        <v>10</v>
      </c>
      <c r="B2166" s="44" t="s">
        <v>1971</v>
      </c>
      <c r="C2166" s="44" t="s">
        <v>795</v>
      </c>
      <c r="D2166" s="44">
        <v>5549226461</v>
      </c>
      <c r="E2166" s="44">
        <v>303835</v>
      </c>
      <c r="F2166" s="85">
        <v>6496</v>
      </c>
      <c r="G2166" s="46">
        <v>46158</v>
      </c>
    </row>
    <row r="2167" spans="1:9" hidden="1" x14ac:dyDescent="0.3">
      <c r="A2167" s="60" t="s">
        <v>10</v>
      </c>
      <c r="B2167" s="60" t="s">
        <v>1960</v>
      </c>
      <c r="C2167" s="60" t="s">
        <v>1961</v>
      </c>
      <c r="D2167" s="60">
        <v>5633190736</v>
      </c>
      <c r="E2167" s="60">
        <v>194493</v>
      </c>
      <c r="F2167" s="79">
        <v>7350</v>
      </c>
      <c r="G2167" s="69">
        <v>46158</v>
      </c>
    </row>
    <row r="2168" spans="1:9" s="60" customFormat="1" hidden="1" x14ac:dyDescent="0.3">
      <c r="A2168" s="60" t="s">
        <v>890</v>
      </c>
      <c r="B2168" s="60" t="s">
        <v>1956</v>
      </c>
      <c r="C2168" s="60" t="s">
        <v>1957</v>
      </c>
      <c r="D2168" s="60">
        <v>5526754082</v>
      </c>
      <c r="E2168" s="60">
        <v>357088</v>
      </c>
      <c r="F2168" s="79">
        <v>1495</v>
      </c>
      <c r="G2168" s="69">
        <v>46158</v>
      </c>
    </row>
    <row r="2169" spans="1:9" hidden="1" x14ac:dyDescent="0.3">
      <c r="A2169" s="44" t="s">
        <v>890</v>
      </c>
      <c r="B2169" s="44" t="s">
        <v>1958</v>
      </c>
      <c r="C2169" s="44" t="s">
        <v>1959</v>
      </c>
      <c r="D2169" s="44">
        <v>5640045103</v>
      </c>
      <c r="E2169" s="44">
        <v>193871</v>
      </c>
      <c r="F2169" s="87">
        <v>5779</v>
      </c>
      <c r="G2169" s="46">
        <v>46158</v>
      </c>
      <c r="H2169" s="44" t="s">
        <v>1883</v>
      </c>
      <c r="I2169" s="44">
        <v>4</v>
      </c>
    </row>
    <row r="2170" spans="1:9" s="60" customFormat="1" hidden="1" x14ac:dyDescent="0.3">
      <c r="A2170" s="44" t="s">
        <v>264</v>
      </c>
      <c r="B2170" s="44" t="s">
        <v>1965</v>
      </c>
      <c r="C2170" s="44" t="s">
        <v>1966</v>
      </c>
      <c r="D2170" s="44">
        <v>5616665361</v>
      </c>
      <c r="E2170" s="44">
        <v>194410</v>
      </c>
      <c r="F2170" s="87">
        <v>3260</v>
      </c>
      <c r="G2170" s="46">
        <v>46158</v>
      </c>
    </row>
    <row r="2171" spans="1:9" hidden="1" x14ac:dyDescent="0.3">
      <c r="A2171" s="60" t="s">
        <v>264</v>
      </c>
      <c r="B2171" s="60" t="s">
        <v>1972</v>
      </c>
      <c r="C2171" s="60" t="s">
        <v>1973</v>
      </c>
      <c r="D2171" s="60">
        <v>5617501876</v>
      </c>
      <c r="E2171" s="60">
        <v>193994</v>
      </c>
      <c r="F2171" s="79">
        <v>7275</v>
      </c>
      <c r="G2171" s="69">
        <v>46158</v>
      </c>
    </row>
    <row r="2172" spans="1:9" s="42" customFormat="1" hidden="1" x14ac:dyDescent="0.3">
      <c r="A2172" s="44" t="s">
        <v>47</v>
      </c>
      <c r="B2172" s="44" t="s">
        <v>1907</v>
      </c>
      <c r="C2172" s="44" t="s">
        <v>1876</v>
      </c>
      <c r="D2172" s="44">
        <v>5533199476</v>
      </c>
      <c r="E2172" s="44">
        <v>304325</v>
      </c>
      <c r="F2172" s="87">
        <v>13500</v>
      </c>
      <c r="G2172" s="46">
        <v>46160</v>
      </c>
    </row>
    <row r="2173" spans="1:9" hidden="1" x14ac:dyDescent="0.3">
      <c r="A2173" s="44" t="s">
        <v>10</v>
      </c>
      <c r="B2173" s="44" t="s">
        <v>1976</v>
      </c>
      <c r="C2173" s="44" t="s">
        <v>1977</v>
      </c>
      <c r="D2173" s="44">
        <v>5528186245</v>
      </c>
      <c r="E2173" s="44">
        <v>356904</v>
      </c>
      <c r="F2173" s="87">
        <v>8038</v>
      </c>
      <c r="G2173" s="46">
        <v>46160</v>
      </c>
    </row>
    <row r="2174" spans="1:9" s="42" customFormat="1" hidden="1" x14ac:dyDescent="0.3">
      <c r="A2174" s="42" t="s">
        <v>10</v>
      </c>
      <c r="B2174" s="42" t="s">
        <v>1976</v>
      </c>
      <c r="C2174" s="42" t="s">
        <v>1977</v>
      </c>
      <c r="D2174" s="42">
        <v>5528186245</v>
      </c>
      <c r="E2174" s="42">
        <v>356906</v>
      </c>
      <c r="F2174" s="86">
        <v>2756</v>
      </c>
      <c r="G2174" s="43">
        <v>46160</v>
      </c>
    </row>
    <row r="2175" spans="1:9" hidden="1" x14ac:dyDescent="0.3">
      <c r="A2175" s="44" t="s">
        <v>10</v>
      </c>
      <c r="B2175" s="44" t="s">
        <v>1976</v>
      </c>
      <c r="C2175" s="44" t="s">
        <v>1977</v>
      </c>
      <c r="D2175" s="44">
        <v>5528186245</v>
      </c>
      <c r="E2175" s="44">
        <v>356905</v>
      </c>
      <c r="F2175" s="87">
        <v>1984</v>
      </c>
      <c r="G2175" s="46">
        <v>46160</v>
      </c>
    </row>
    <row r="2176" spans="1:9" s="42" customFormat="1" hidden="1" x14ac:dyDescent="0.3">
      <c r="A2176" s="42" t="s">
        <v>10</v>
      </c>
      <c r="B2176" s="42" t="s">
        <v>1787</v>
      </c>
      <c r="C2176" s="42" t="s">
        <v>1970</v>
      </c>
      <c r="D2176" s="42">
        <v>5545758293</v>
      </c>
      <c r="E2176" s="42">
        <v>303739</v>
      </c>
      <c r="F2176" s="86">
        <v>1526</v>
      </c>
      <c r="G2176" s="43">
        <v>46160</v>
      </c>
    </row>
    <row r="2177" spans="1:9" hidden="1" x14ac:dyDescent="0.3">
      <c r="A2177" s="42" t="s">
        <v>10</v>
      </c>
      <c r="B2177" s="42" t="s">
        <v>1978</v>
      </c>
      <c r="C2177" s="42" t="s">
        <v>1979</v>
      </c>
      <c r="D2177" s="42">
        <v>5545758293</v>
      </c>
      <c r="E2177" s="42">
        <v>304444</v>
      </c>
      <c r="F2177" s="86">
        <v>2708</v>
      </c>
      <c r="G2177" s="43">
        <v>46160</v>
      </c>
      <c r="H2177" s="44" t="s">
        <v>1869</v>
      </c>
      <c r="I2177" s="44" t="s">
        <v>1982</v>
      </c>
    </row>
    <row r="2178" spans="1:9" s="42" customFormat="1" hidden="1" x14ac:dyDescent="0.3">
      <c r="A2178" s="42" t="s">
        <v>10</v>
      </c>
      <c r="B2178" s="42" t="s">
        <v>1252</v>
      </c>
      <c r="C2178" s="42" t="s">
        <v>1983</v>
      </c>
      <c r="D2178" s="42">
        <v>5623649966</v>
      </c>
      <c r="E2178" s="42">
        <v>194597</v>
      </c>
      <c r="F2178" s="86">
        <v>2600</v>
      </c>
      <c r="G2178" s="43">
        <v>46160</v>
      </c>
    </row>
    <row r="2179" spans="1:9" hidden="1" x14ac:dyDescent="0.3">
      <c r="A2179" s="44" t="s">
        <v>10</v>
      </c>
      <c r="B2179" s="44" t="s">
        <v>1980</v>
      </c>
      <c r="C2179" s="44" t="s">
        <v>1981</v>
      </c>
      <c r="D2179" s="44">
        <v>5632685547</v>
      </c>
      <c r="E2179" s="44">
        <v>194708</v>
      </c>
      <c r="F2179" s="87">
        <v>2347</v>
      </c>
      <c r="G2179" s="46">
        <v>46160</v>
      </c>
    </row>
    <row r="2180" spans="1:9" s="42" customFormat="1" hidden="1" x14ac:dyDescent="0.3">
      <c r="A2180" s="44" t="s">
        <v>890</v>
      </c>
      <c r="B2180" s="44" t="s">
        <v>1995</v>
      </c>
      <c r="C2180" s="44" t="s">
        <v>1996</v>
      </c>
      <c r="D2180" s="44">
        <v>5517957453</v>
      </c>
      <c r="E2180" s="44">
        <v>356965</v>
      </c>
      <c r="F2180" s="87">
        <v>2604</v>
      </c>
      <c r="G2180" s="46">
        <v>46160</v>
      </c>
      <c r="H2180" s="42" t="s">
        <v>1461</v>
      </c>
    </row>
    <row r="2181" spans="1:9" hidden="1" x14ac:dyDescent="0.3">
      <c r="A2181" s="42" t="s">
        <v>890</v>
      </c>
      <c r="B2181" s="42" t="s">
        <v>1993</v>
      </c>
      <c r="C2181" s="42" t="s">
        <v>1994</v>
      </c>
      <c r="D2181" s="42">
        <v>5526987342</v>
      </c>
      <c r="E2181" s="42">
        <v>194649</v>
      </c>
      <c r="F2181" s="86">
        <v>6354</v>
      </c>
      <c r="G2181" s="43">
        <v>46160</v>
      </c>
    </row>
    <row r="2182" spans="1:9" s="42" customFormat="1" hidden="1" x14ac:dyDescent="0.3">
      <c r="A2182" s="42" t="s">
        <v>890</v>
      </c>
      <c r="B2182" s="42" t="s">
        <v>1990</v>
      </c>
      <c r="C2182" s="42" t="s">
        <v>555</v>
      </c>
      <c r="D2182" s="42">
        <v>5528502753</v>
      </c>
      <c r="E2182" s="42">
        <v>356919</v>
      </c>
      <c r="F2182" s="86">
        <v>9285</v>
      </c>
      <c r="G2182" s="43">
        <v>46160</v>
      </c>
    </row>
    <row r="2183" spans="1:9" hidden="1" x14ac:dyDescent="0.3">
      <c r="A2183" s="44" t="s">
        <v>890</v>
      </c>
      <c r="B2183" s="44" t="s">
        <v>1962</v>
      </c>
      <c r="C2183" s="44" t="s">
        <v>1860</v>
      </c>
      <c r="D2183" s="44">
        <v>5532507885</v>
      </c>
      <c r="E2183" s="44">
        <v>304052</v>
      </c>
      <c r="F2183" s="87">
        <v>4786</v>
      </c>
      <c r="G2183" s="46">
        <v>46160</v>
      </c>
    </row>
    <row r="2184" spans="1:9" s="42" customFormat="1" hidden="1" x14ac:dyDescent="0.3">
      <c r="A2184" s="42" t="s">
        <v>890</v>
      </c>
      <c r="B2184" s="42" t="s">
        <v>1997</v>
      </c>
      <c r="C2184" s="42" t="s">
        <v>259</v>
      </c>
      <c r="D2184" s="42">
        <v>5540443958</v>
      </c>
      <c r="E2184" s="42">
        <v>304257</v>
      </c>
      <c r="F2184" s="86">
        <v>14159</v>
      </c>
      <c r="G2184" s="43">
        <v>46160</v>
      </c>
    </row>
    <row r="2185" spans="1:9" hidden="1" x14ac:dyDescent="0.3">
      <c r="A2185" s="44" t="s">
        <v>890</v>
      </c>
      <c r="B2185" s="44" t="s">
        <v>1992</v>
      </c>
      <c r="C2185" s="44" t="s">
        <v>279</v>
      </c>
      <c r="D2185" s="44">
        <v>5610186288</v>
      </c>
      <c r="E2185" s="44">
        <v>194196</v>
      </c>
      <c r="F2185" s="87">
        <v>6894</v>
      </c>
      <c r="G2185" s="46">
        <v>46160</v>
      </c>
    </row>
    <row r="2186" spans="1:9" s="42" customFormat="1" hidden="1" x14ac:dyDescent="0.3">
      <c r="A2186" s="42" t="s">
        <v>890</v>
      </c>
      <c r="B2186" s="42" t="s">
        <v>523</v>
      </c>
      <c r="C2186" s="42" t="s">
        <v>1991</v>
      </c>
      <c r="D2186" s="42">
        <v>5613536877</v>
      </c>
      <c r="E2186" s="42">
        <v>194679</v>
      </c>
      <c r="F2186" s="86">
        <v>2320</v>
      </c>
      <c r="G2186" s="43">
        <v>46160</v>
      </c>
    </row>
    <row r="2187" spans="1:9" hidden="1" x14ac:dyDescent="0.3">
      <c r="A2187" s="44" t="s">
        <v>11</v>
      </c>
      <c r="B2187" s="44" t="s">
        <v>1963</v>
      </c>
      <c r="C2187" s="44" t="s">
        <v>1964</v>
      </c>
      <c r="D2187" s="44">
        <v>5520266060</v>
      </c>
      <c r="E2187" s="44">
        <v>357030</v>
      </c>
      <c r="F2187" s="87">
        <v>9850</v>
      </c>
      <c r="G2187" s="46">
        <v>46160</v>
      </c>
    </row>
    <row r="2188" spans="1:9" s="42" customFormat="1" hidden="1" x14ac:dyDescent="0.3">
      <c r="A2188" s="42" t="s">
        <v>11</v>
      </c>
      <c r="B2188" s="42" t="s">
        <v>1963</v>
      </c>
      <c r="C2188" s="42" t="s">
        <v>1964</v>
      </c>
      <c r="D2188" s="42">
        <v>5520266060</v>
      </c>
      <c r="E2188" s="42">
        <v>357028</v>
      </c>
      <c r="F2188" s="86">
        <v>449</v>
      </c>
      <c r="G2188" s="43">
        <v>46160</v>
      </c>
    </row>
    <row r="2189" spans="1:9" hidden="1" x14ac:dyDescent="0.3">
      <c r="A2189" s="44" t="s">
        <v>11</v>
      </c>
      <c r="B2189" s="42" t="s">
        <v>1963</v>
      </c>
      <c r="C2189" s="44" t="s">
        <v>1986</v>
      </c>
      <c r="D2189" s="44">
        <v>5533062846</v>
      </c>
      <c r="E2189" s="44">
        <v>194542</v>
      </c>
      <c r="F2189" s="87">
        <v>3250</v>
      </c>
      <c r="G2189" s="46">
        <v>46160</v>
      </c>
    </row>
    <row r="2190" spans="1:9" s="42" customFormat="1" hidden="1" x14ac:dyDescent="0.3">
      <c r="A2190" s="42" t="s">
        <v>11</v>
      </c>
      <c r="B2190" s="42" t="s">
        <v>1963</v>
      </c>
      <c r="C2190" s="42" t="s">
        <v>1986</v>
      </c>
      <c r="D2190" s="42">
        <v>5533062846</v>
      </c>
      <c r="E2190" s="42">
        <v>194549</v>
      </c>
      <c r="F2190" s="86">
        <v>2600</v>
      </c>
      <c r="G2190" s="43">
        <v>46160</v>
      </c>
    </row>
    <row r="2191" spans="1:9" hidden="1" x14ac:dyDescent="0.3">
      <c r="A2191" s="44" t="s">
        <v>11</v>
      </c>
      <c r="B2191" s="42" t="s">
        <v>1963</v>
      </c>
      <c r="C2191" s="44" t="s">
        <v>1986</v>
      </c>
      <c r="D2191" s="44">
        <v>5533062846</v>
      </c>
      <c r="E2191" s="44">
        <v>194543</v>
      </c>
      <c r="F2191" s="87">
        <v>1950</v>
      </c>
      <c r="G2191" s="46">
        <v>46160</v>
      </c>
    </row>
    <row r="2192" spans="1:9" s="42" customFormat="1" hidden="1" x14ac:dyDescent="0.3">
      <c r="A2192" s="42" t="s">
        <v>11</v>
      </c>
      <c r="B2192" s="42" t="s">
        <v>249</v>
      </c>
      <c r="C2192" s="42" t="s">
        <v>1989</v>
      </c>
      <c r="D2192" s="42">
        <v>5535334019</v>
      </c>
      <c r="E2192" s="42">
        <v>193810</v>
      </c>
      <c r="F2192" s="86">
        <v>6844</v>
      </c>
      <c r="G2192" s="43">
        <v>46160</v>
      </c>
    </row>
    <row r="2193" spans="1:8" hidden="1" x14ac:dyDescent="0.3">
      <c r="A2193" s="44" t="s">
        <v>11</v>
      </c>
      <c r="B2193" s="44" t="s">
        <v>1984</v>
      </c>
      <c r="C2193" s="44" t="s">
        <v>1985</v>
      </c>
      <c r="D2193" s="44">
        <v>5536807808</v>
      </c>
      <c r="E2193" s="44">
        <v>357059</v>
      </c>
      <c r="F2193" s="87">
        <v>1010</v>
      </c>
      <c r="G2193" s="46">
        <v>46160</v>
      </c>
    </row>
    <row r="2194" spans="1:8" s="42" customFormat="1" hidden="1" x14ac:dyDescent="0.3">
      <c r="A2194" s="42" t="s">
        <v>11</v>
      </c>
      <c r="B2194" s="42" t="s">
        <v>1984</v>
      </c>
      <c r="C2194" s="42" t="s">
        <v>1985</v>
      </c>
      <c r="D2194" s="42">
        <v>5536807808</v>
      </c>
      <c r="E2194" s="42">
        <v>357053</v>
      </c>
      <c r="F2194" s="86">
        <v>50</v>
      </c>
      <c r="G2194" s="43">
        <v>46160</v>
      </c>
      <c r="H2194" s="42" t="s">
        <v>1869</v>
      </c>
    </row>
    <row r="2195" spans="1:8" hidden="1" x14ac:dyDescent="0.3">
      <c r="A2195" s="44" t="s">
        <v>11</v>
      </c>
      <c r="B2195" s="44" t="s">
        <v>1988</v>
      </c>
      <c r="C2195" s="44" t="s">
        <v>285</v>
      </c>
      <c r="D2195" s="44">
        <v>5541136613</v>
      </c>
      <c r="E2195" s="44">
        <v>194424</v>
      </c>
      <c r="F2195" s="87">
        <v>3515</v>
      </c>
      <c r="G2195" s="46">
        <v>46160</v>
      </c>
    </row>
    <row r="2196" spans="1:8" s="42" customFormat="1" hidden="1" x14ac:dyDescent="0.3">
      <c r="A2196" s="42" t="s">
        <v>11</v>
      </c>
      <c r="B2196" s="42" t="s">
        <v>1987</v>
      </c>
      <c r="C2196" s="42" t="s">
        <v>1476</v>
      </c>
      <c r="D2196" s="42">
        <v>5610906097</v>
      </c>
      <c r="E2196" s="42">
        <v>194342</v>
      </c>
      <c r="F2196" s="86">
        <v>2100</v>
      </c>
      <c r="G2196" s="43">
        <v>46160</v>
      </c>
    </row>
    <row r="2197" spans="1:8" hidden="1" x14ac:dyDescent="0.3">
      <c r="A2197" s="76" t="s">
        <v>47</v>
      </c>
      <c r="B2197" s="76" t="s">
        <v>1775</v>
      </c>
      <c r="C2197" s="76" t="s">
        <v>2033</v>
      </c>
      <c r="D2197" s="76">
        <v>5593048375</v>
      </c>
      <c r="E2197" s="76">
        <v>194804</v>
      </c>
      <c r="F2197" s="95">
        <v>7426</v>
      </c>
      <c r="G2197" s="77">
        <v>46161</v>
      </c>
    </row>
    <row r="2198" spans="1:8" s="76" customFormat="1" hidden="1" x14ac:dyDescent="0.3">
      <c r="A2198" s="76" t="s">
        <v>10</v>
      </c>
      <c r="B2198" s="76" t="s">
        <v>2020</v>
      </c>
      <c r="C2198" s="76" t="s">
        <v>2021</v>
      </c>
      <c r="D2198" s="76">
        <v>556919915</v>
      </c>
      <c r="E2198" s="76">
        <v>303826</v>
      </c>
      <c r="F2198" s="95">
        <v>47097</v>
      </c>
      <c r="G2198" s="77">
        <v>46161</v>
      </c>
    </row>
    <row r="2199" spans="1:8" hidden="1" x14ac:dyDescent="0.3">
      <c r="A2199" s="76" t="s">
        <v>10</v>
      </c>
      <c r="B2199" s="76" t="s">
        <v>2018</v>
      </c>
      <c r="C2199" s="76" t="s">
        <v>153</v>
      </c>
      <c r="D2199" s="76">
        <v>5526762020</v>
      </c>
      <c r="E2199" s="76">
        <v>194751</v>
      </c>
      <c r="F2199" s="95">
        <v>2100</v>
      </c>
      <c r="G2199" s="77">
        <v>46161</v>
      </c>
    </row>
    <row r="2200" spans="1:8" s="76" customFormat="1" hidden="1" x14ac:dyDescent="0.3">
      <c r="A2200" s="44" t="s">
        <v>10</v>
      </c>
      <c r="B2200" s="44" t="s">
        <v>136</v>
      </c>
      <c r="C2200" s="44" t="s">
        <v>2017</v>
      </c>
      <c r="D2200" s="44">
        <v>5550543681</v>
      </c>
      <c r="E2200" s="44">
        <v>357140</v>
      </c>
      <c r="F2200" s="87">
        <v>5235</v>
      </c>
      <c r="G2200" s="46">
        <v>46161</v>
      </c>
    </row>
    <row r="2201" spans="1:8" hidden="1" x14ac:dyDescent="0.3">
      <c r="A2201" s="44" t="s">
        <v>10</v>
      </c>
      <c r="B2201" s="44" t="s">
        <v>2019</v>
      </c>
      <c r="C2201" s="44" t="s">
        <v>41</v>
      </c>
      <c r="D2201" s="44">
        <v>5568530740</v>
      </c>
      <c r="E2201" s="44">
        <v>194767</v>
      </c>
      <c r="F2201" s="87">
        <v>3756</v>
      </c>
      <c r="G2201" s="46">
        <v>46161</v>
      </c>
    </row>
    <row r="2202" spans="1:8" s="76" customFormat="1" hidden="1" x14ac:dyDescent="0.3">
      <c r="A2202" s="44" t="s">
        <v>17</v>
      </c>
      <c r="B2202" s="44" t="s">
        <v>2024</v>
      </c>
      <c r="C2202" s="44" t="s">
        <v>800</v>
      </c>
      <c r="D2202" s="44">
        <v>5520860462</v>
      </c>
      <c r="E2202" s="44">
        <v>304438</v>
      </c>
      <c r="F2202" s="87">
        <v>7049</v>
      </c>
      <c r="G2202" s="46">
        <v>46161</v>
      </c>
    </row>
    <row r="2203" spans="1:8" hidden="1" x14ac:dyDescent="0.3">
      <c r="A2203" s="76" t="s">
        <v>17</v>
      </c>
      <c r="B2203" s="76" t="s">
        <v>767</v>
      </c>
      <c r="C2203" s="76" t="s">
        <v>2023</v>
      </c>
      <c r="D2203" s="76">
        <v>5527649832</v>
      </c>
      <c r="E2203" s="76">
        <v>356893</v>
      </c>
      <c r="F2203" s="95">
        <v>10647</v>
      </c>
      <c r="G2203" s="77">
        <v>46161</v>
      </c>
    </row>
    <row r="2204" spans="1:8" s="76" customFormat="1" hidden="1" x14ac:dyDescent="0.3">
      <c r="A2204" s="76" t="s">
        <v>17</v>
      </c>
      <c r="B2204" s="76" t="s">
        <v>2025</v>
      </c>
      <c r="C2204" s="76" t="s">
        <v>2026</v>
      </c>
      <c r="D2204" s="76">
        <v>5529896715</v>
      </c>
      <c r="E2204" s="76">
        <v>194095</v>
      </c>
      <c r="F2204" s="95">
        <v>4760</v>
      </c>
      <c r="G2204" s="77">
        <v>46161</v>
      </c>
    </row>
    <row r="2205" spans="1:8" hidden="1" x14ac:dyDescent="0.3">
      <c r="A2205" s="44" t="s">
        <v>17</v>
      </c>
      <c r="B2205" s="44" t="s">
        <v>2022</v>
      </c>
      <c r="C2205" s="44" t="s">
        <v>2023</v>
      </c>
      <c r="D2205" s="44">
        <v>5554335513</v>
      </c>
      <c r="E2205" s="44">
        <v>193553</v>
      </c>
      <c r="F2205" s="87">
        <v>8553</v>
      </c>
      <c r="G2205" s="46">
        <v>46161</v>
      </c>
    </row>
    <row r="2206" spans="1:8" s="76" customFormat="1" hidden="1" x14ac:dyDescent="0.3">
      <c r="A2206" s="76" t="s">
        <v>264</v>
      </c>
      <c r="B2206" s="76" t="s">
        <v>2029</v>
      </c>
      <c r="C2206" s="76" t="s">
        <v>2030</v>
      </c>
      <c r="D2206" s="76">
        <v>5521745267</v>
      </c>
      <c r="E2206" s="76">
        <v>194091</v>
      </c>
      <c r="F2206" s="95">
        <v>13088</v>
      </c>
      <c r="G2206" s="77">
        <v>46161</v>
      </c>
    </row>
    <row r="2207" spans="1:8" hidden="1" x14ac:dyDescent="0.3">
      <c r="A2207" s="44" t="s">
        <v>264</v>
      </c>
      <c r="B2207" s="44" t="s">
        <v>2029</v>
      </c>
      <c r="C2207" s="44" t="s">
        <v>2030</v>
      </c>
      <c r="D2207" s="44">
        <v>5521745267</v>
      </c>
      <c r="E2207" s="44">
        <v>356924</v>
      </c>
      <c r="F2207" s="87">
        <v>582</v>
      </c>
      <c r="G2207" s="46">
        <v>46161</v>
      </c>
      <c r="H2207" s="44" t="s">
        <v>2031</v>
      </c>
    </row>
    <row r="2208" spans="1:8" s="76" customFormat="1" hidden="1" x14ac:dyDescent="0.3">
      <c r="A2208" s="76" t="s">
        <v>264</v>
      </c>
      <c r="B2208" s="76" t="s">
        <v>2029</v>
      </c>
      <c r="C2208" s="76" t="s">
        <v>2030</v>
      </c>
      <c r="D2208" s="76">
        <v>5521745267</v>
      </c>
      <c r="E2208" s="76">
        <v>194103</v>
      </c>
      <c r="F2208" s="95">
        <v>1602</v>
      </c>
      <c r="G2208" s="77">
        <v>46161</v>
      </c>
    </row>
    <row r="2209" spans="1:7" hidden="1" x14ac:dyDescent="0.3">
      <c r="A2209" s="44" t="s">
        <v>264</v>
      </c>
      <c r="B2209" s="44" t="s">
        <v>2027</v>
      </c>
      <c r="C2209" s="44" t="s">
        <v>2028</v>
      </c>
      <c r="D2209" s="44">
        <v>5521747838</v>
      </c>
      <c r="E2209" s="44">
        <v>194844</v>
      </c>
      <c r="F2209" s="87">
        <v>3850</v>
      </c>
      <c r="G2209" s="46">
        <v>46161</v>
      </c>
    </row>
    <row r="2210" spans="1:7" s="76" customFormat="1" hidden="1" x14ac:dyDescent="0.3">
      <c r="A2210" s="44" t="s">
        <v>264</v>
      </c>
      <c r="B2210" s="44" t="s">
        <v>2032</v>
      </c>
      <c r="C2210" s="44" t="s">
        <v>1947</v>
      </c>
      <c r="D2210" s="44">
        <v>5531994500</v>
      </c>
      <c r="E2210" s="44">
        <v>194568</v>
      </c>
      <c r="F2210" s="87">
        <v>5589</v>
      </c>
      <c r="G2210" s="46">
        <v>46161</v>
      </c>
    </row>
    <row r="2211" spans="1:7" hidden="1" x14ac:dyDescent="0.3">
      <c r="A2211" s="44" t="s">
        <v>11</v>
      </c>
      <c r="B2211" s="44" t="s">
        <v>2080</v>
      </c>
      <c r="C2211" s="44" t="s">
        <v>2081</v>
      </c>
      <c r="D2211" s="44">
        <v>5528872468</v>
      </c>
      <c r="E2211" s="44">
        <v>304456</v>
      </c>
      <c r="F2211" s="87">
        <v>2396</v>
      </c>
      <c r="G2211" s="46">
        <v>46162</v>
      </c>
    </row>
    <row r="2212" spans="1:7" s="109" customFormat="1" hidden="1" x14ac:dyDescent="0.3">
      <c r="A2212" s="109" t="s">
        <v>11</v>
      </c>
      <c r="B2212" s="109" t="s">
        <v>146</v>
      </c>
      <c r="C2212" s="109" t="s">
        <v>2082</v>
      </c>
      <c r="D2212" s="109">
        <v>5545047409</v>
      </c>
      <c r="E2212" s="109">
        <v>194918</v>
      </c>
      <c r="F2212" s="110">
        <v>5200</v>
      </c>
      <c r="G2212" s="111">
        <v>46162</v>
      </c>
    </row>
    <row r="2213" spans="1:7" hidden="1" x14ac:dyDescent="0.3">
      <c r="A2213" s="44" t="s">
        <v>11</v>
      </c>
      <c r="B2213" s="44" t="s">
        <v>2083</v>
      </c>
      <c r="C2213" s="44" t="s">
        <v>2084</v>
      </c>
      <c r="D2213" s="44">
        <v>5521060826</v>
      </c>
      <c r="E2213" s="44">
        <v>304545</v>
      </c>
      <c r="F2213" s="87">
        <v>2510</v>
      </c>
      <c r="G2213" s="46">
        <v>46162</v>
      </c>
    </row>
    <row r="2214" spans="1:7" s="109" customFormat="1" hidden="1" x14ac:dyDescent="0.3">
      <c r="A2214" s="109" t="s">
        <v>17</v>
      </c>
      <c r="B2214" s="109" t="s">
        <v>2085</v>
      </c>
      <c r="C2214" s="109" t="s">
        <v>2086</v>
      </c>
      <c r="D2214" s="109">
        <v>5532772035</v>
      </c>
      <c r="E2214" s="109">
        <v>194949</v>
      </c>
      <c r="F2214" s="110">
        <v>400</v>
      </c>
      <c r="G2214" s="111">
        <v>46162</v>
      </c>
    </row>
    <row r="2215" spans="1:7" hidden="1" x14ac:dyDescent="0.3">
      <c r="A2215" s="44" t="s">
        <v>17</v>
      </c>
      <c r="B2215" s="44" t="s">
        <v>2085</v>
      </c>
      <c r="C2215" s="44" t="s">
        <v>2086</v>
      </c>
      <c r="D2215" s="109">
        <v>5532772035</v>
      </c>
      <c r="E2215" s="44">
        <v>194526</v>
      </c>
      <c r="F2215" s="87">
        <v>6340</v>
      </c>
      <c r="G2215" s="46">
        <v>46162</v>
      </c>
    </row>
    <row r="2216" spans="1:7" s="109" customFormat="1" hidden="1" x14ac:dyDescent="0.3">
      <c r="A2216" s="109" t="s">
        <v>17</v>
      </c>
      <c r="B2216" s="109" t="s">
        <v>2087</v>
      </c>
      <c r="C2216" s="109" t="s">
        <v>2088</v>
      </c>
      <c r="D2216" s="109">
        <v>5659164290</v>
      </c>
      <c r="E2216" s="109">
        <v>356932</v>
      </c>
      <c r="F2216" s="110">
        <v>1344</v>
      </c>
      <c r="G2216" s="111">
        <v>46162</v>
      </c>
    </row>
    <row r="2217" spans="1:7" hidden="1" x14ac:dyDescent="0.3">
      <c r="A2217" s="44" t="s">
        <v>17</v>
      </c>
      <c r="B2217" s="44" t="s">
        <v>1736</v>
      </c>
      <c r="C2217" s="44" t="s">
        <v>2088</v>
      </c>
      <c r="D2217" s="44">
        <v>5591940032</v>
      </c>
      <c r="E2217" s="44">
        <v>303669</v>
      </c>
      <c r="F2217" s="87">
        <v>14250</v>
      </c>
      <c r="G2217" s="46">
        <v>46162</v>
      </c>
    </row>
    <row r="2218" spans="1:7" s="109" customFormat="1" hidden="1" x14ac:dyDescent="0.3">
      <c r="A2218" s="109" t="s">
        <v>17</v>
      </c>
      <c r="B2218" s="109" t="s">
        <v>1736</v>
      </c>
      <c r="C2218" s="109" t="s">
        <v>2088</v>
      </c>
      <c r="D2218" s="109">
        <v>5591940032</v>
      </c>
      <c r="E2218" s="109">
        <v>303668</v>
      </c>
      <c r="F2218" s="110">
        <v>934</v>
      </c>
      <c r="G2218" s="111">
        <v>46162</v>
      </c>
    </row>
    <row r="2219" spans="1:7" hidden="1" x14ac:dyDescent="0.3">
      <c r="A2219" s="44" t="s">
        <v>890</v>
      </c>
      <c r="B2219" s="44" t="s">
        <v>1865</v>
      </c>
      <c r="C2219" s="44" t="s">
        <v>2178</v>
      </c>
      <c r="D2219" s="44">
        <v>5536791358</v>
      </c>
      <c r="E2219" s="44">
        <v>304423</v>
      </c>
      <c r="F2219" s="87">
        <v>13581</v>
      </c>
      <c r="G2219" s="46">
        <v>46167</v>
      </c>
    </row>
    <row r="2220" spans="1:7" s="109" customFormat="1" hidden="1" x14ac:dyDescent="0.3">
      <c r="A2220" s="115" t="s">
        <v>890</v>
      </c>
      <c r="B2220" s="115" t="s">
        <v>1865</v>
      </c>
      <c r="C2220" s="115" t="s">
        <v>2178</v>
      </c>
      <c r="D2220" s="115">
        <v>5536791358</v>
      </c>
      <c r="E2220" s="115">
        <v>304414</v>
      </c>
      <c r="F2220" s="116">
        <v>749</v>
      </c>
      <c r="G2220" s="117">
        <v>46167</v>
      </c>
    </row>
    <row r="2221" spans="1:7" hidden="1" x14ac:dyDescent="0.3">
      <c r="A2221" s="44" t="s">
        <v>955</v>
      </c>
      <c r="B2221" s="44" t="s">
        <v>2089</v>
      </c>
      <c r="C2221" s="44" t="s">
        <v>2090</v>
      </c>
      <c r="D2221" s="44">
        <v>5563020807</v>
      </c>
      <c r="E2221" s="44">
        <v>304618</v>
      </c>
      <c r="F2221" s="87">
        <v>5502</v>
      </c>
      <c r="G2221" s="46">
        <v>46162</v>
      </c>
    </row>
    <row r="2222" spans="1:7" s="109" customFormat="1" hidden="1" x14ac:dyDescent="0.3">
      <c r="A2222" s="109" t="s">
        <v>955</v>
      </c>
      <c r="B2222" s="109" t="s">
        <v>2089</v>
      </c>
      <c r="C2222" s="109" t="s">
        <v>2090</v>
      </c>
      <c r="D2222" s="109">
        <v>5563020807</v>
      </c>
      <c r="E2222" s="109">
        <v>357297</v>
      </c>
      <c r="F2222" s="110">
        <v>3014</v>
      </c>
      <c r="G2222" s="111">
        <v>46162</v>
      </c>
    </row>
    <row r="2223" spans="1:7" hidden="1" x14ac:dyDescent="0.3">
      <c r="A2223" s="44" t="s">
        <v>955</v>
      </c>
      <c r="B2223" s="44" t="s">
        <v>529</v>
      </c>
      <c r="C2223" s="44" t="s">
        <v>514</v>
      </c>
      <c r="D2223" s="44">
        <v>5526662811</v>
      </c>
      <c r="E2223" s="44">
        <v>566690</v>
      </c>
      <c r="F2223" s="87">
        <v>9937</v>
      </c>
      <c r="G2223" s="46">
        <v>46162</v>
      </c>
    </row>
    <row r="2224" spans="1:7" s="109" customFormat="1" hidden="1" x14ac:dyDescent="0.3">
      <c r="A2224" s="109" t="s">
        <v>955</v>
      </c>
      <c r="B2224" s="109" t="s">
        <v>529</v>
      </c>
      <c r="C2224" s="109" t="s">
        <v>514</v>
      </c>
      <c r="D2224" s="109">
        <v>5526662811</v>
      </c>
      <c r="E2224" s="109">
        <v>193522</v>
      </c>
      <c r="F2224" s="110">
        <v>1894</v>
      </c>
      <c r="G2224" s="111">
        <v>46162</v>
      </c>
    </row>
    <row r="2225" spans="1:8" hidden="1" x14ac:dyDescent="0.3">
      <c r="A2225" s="44" t="s">
        <v>955</v>
      </c>
      <c r="B2225" s="44" t="s">
        <v>2091</v>
      </c>
      <c r="C2225" s="44" t="s">
        <v>58</v>
      </c>
      <c r="D2225" s="51">
        <v>5523769704</v>
      </c>
      <c r="E2225" s="44">
        <v>304411</v>
      </c>
      <c r="F2225" s="87">
        <v>562</v>
      </c>
      <c r="G2225" s="46">
        <v>46162</v>
      </c>
    </row>
    <row r="2226" spans="1:8" hidden="1" x14ac:dyDescent="0.3">
      <c r="A2226" s="44" t="s">
        <v>955</v>
      </c>
      <c r="B2226" s="44" t="s">
        <v>2091</v>
      </c>
      <c r="C2226" s="44" t="s">
        <v>58</v>
      </c>
      <c r="D2226" s="51">
        <v>5523769704</v>
      </c>
      <c r="E2226" s="44">
        <v>304140</v>
      </c>
      <c r="F2226" s="87">
        <v>2242</v>
      </c>
      <c r="G2226" s="46">
        <v>46162</v>
      </c>
    </row>
    <row r="2227" spans="1:8" s="109" customFormat="1" hidden="1" x14ac:dyDescent="0.3">
      <c r="A2227" s="109" t="s">
        <v>955</v>
      </c>
      <c r="B2227" s="109" t="s">
        <v>2091</v>
      </c>
      <c r="C2227" s="109" t="s">
        <v>58</v>
      </c>
      <c r="D2227" s="51">
        <v>5523769704</v>
      </c>
      <c r="E2227" s="109">
        <v>304139</v>
      </c>
      <c r="F2227" s="110">
        <v>2466</v>
      </c>
      <c r="G2227" s="111">
        <v>46162</v>
      </c>
      <c r="H2227" s="109" t="s">
        <v>2094</v>
      </c>
    </row>
    <row r="2228" spans="1:8" hidden="1" x14ac:dyDescent="0.3">
      <c r="A2228" s="44" t="s">
        <v>955</v>
      </c>
      <c r="B2228" s="44" t="s">
        <v>2092</v>
      </c>
      <c r="C2228" s="44" t="s">
        <v>2093</v>
      </c>
      <c r="D2228" s="44">
        <v>5561315019</v>
      </c>
      <c r="E2228" s="44">
        <v>194942</v>
      </c>
      <c r="F2228" s="87">
        <v>624</v>
      </c>
      <c r="G2228" s="46">
        <v>46162</v>
      </c>
    </row>
    <row r="2229" spans="1:8" s="109" customFormat="1" hidden="1" x14ac:dyDescent="0.3">
      <c r="A2229" s="109" t="s">
        <v>955</v>
      </c>
      <c r="B2229" s="109" t="s">
        <v>2092</v>
      </c>
      <c r="C2229" s="109" t="s">
        <v>2093</v>
      </c>
      <c r="D2229" s="109">
        <v>5561315019</v>
      </c>
      <c r="E2229" s="109">
        <v>34884</v>
      </c>
      <c r="F2229" s="110">
        <v>186</v>
      </c>
      <c r="G2229" s="46">
        <v>46162</v>
      </c>
    </row>
    <row r="2230" spans="1:8" hidden="1" x14ac:dyDescent="0.3">
      <c r="A2230" s="44" t="s">
        <v>10</v>
      </c>
      <c r="B2230" s="44" t="s">
        <v>2095</v>
      </c>
      <c r="C2230" s="44" t="s">
        <v>2096</v>
      </c>
      <c r="D2230" s="44">
        <v>5579179859</v>
      </c>
      <c r="E2230" s="44">
        <v>194871</v>
      </c>
      <c r="F2230" s="87">
        <v>8276</v>
      </c>
      <c r="G2230" s="46">
        <v>46162</v>
      </c>
    </row>
    <row r="2231" spans="1:8" s="109" customFormat="1" hidden="1" x14ac:dyDescent="0.3">
      <c r="A2231" s="109" t="s">
        <v>10</v>
      </c>
      <c r="B2231" s="109" t="s">
        <v>2097</v>
      </c>
      <c r="C2231" s="109" t="s">
        <v>41</v>
      </c>
      <c r="D2231" s="109">
        <v>5569331404</v>
      </c>
      <c r="E2231" s="109">
        <v>194837</v>
      </c>
      <c r="F2231" s="110">
        <v>1109</v>
      </c>
      <c r="G2231" s="46">
        <v>46162</v>
      </c>
    </row>
    <row r="2232" spans="1:8" hidden="1" x14ac:dyDescent="0.3">
      <c r="A2232" s="44" t="s">
        <v>10</v>
      </c>
      <c r="B2232" s="44" t="s">
        <v>2097</v>
      </c>
      <c r="C2232" s="44" t="s">
        <v>41</v>
      </c>
      <c r="D2232" s="44">
        <v>5569331404</v>
      </c>
      <c r="E2232" s="44">
        <v>194838</v>
      </c>
      <c r="F2232" s="87">
        <v>2442</v>
      </c>
      <c r="G2232" s="46">
        <v>46162</v>
      </c>
    </row>
    <row r="2233" spans="1:8" s="109" customFormat="1" hidden="1" x14ac:dyDescent="0.3">
      <c r="A2233" s="109" t="s">
        <v>10</v>
      </c>
      <c r="B2233" s="109" t="s">
        <v>2098</v>
      </c>
      <c r="C2233" s="109" t="s">
        <v>2099</v>
      </c>
      <c r="D2233" s="109">
        <v>5526854705</v>
      </c>
      <c r="E2233" s="109">
        <v>304619</v>
      </c>
      <c r="F2233" s="110">
        <v>4835</v>
      </c>
      <c r="G2233" s="46">
        <v>46162</v>
      </c>
    </row>
    <row r="2234" spans="1:8" hidden="1" x14ac:dyDescent="0.3">
      <c r="A2234" s="44" t="s">
        <v>10</v>
      </c>
      <c r="B2234" s="44" t="s">
        <v>2100</v>
      </c>
      <c r="C2234" s="44" t="s">
        <v>2101</v>
      </c>
      <c r="D2234" s="44">
        <v>5585924806</v>
      </c>
      <c r="E2234" s="44">
        <v>357272</v>
      </c>
      <c r="F2234" s="87">
        <v>3820</v>
      </c>
      <c r="G2234" s="46">
        <v>46162</v>
      </c>
    </row>
    <row r="2235" spans="1:8" s="109" customFormat="1" hidden="1" x14ac:dyDescent="0.3">
      <c r="A2235" s="109" t="s">
        <v>10</v>
      </c>
      <c r="B2235" s="109" t="s">
        <v>2102</v>
      </c>
      <c r="C2235" s="109" t="s">
        <v>2103</v>
      </c>
      <c r="D2235" s="109">
        <v>5546376429</v>
      </c>
      <c r="E2235" s="109">
        <v>304611</v>
      </c>
      <c r="F2235" s="110">
        <v>12820</v>
      </c>
      <c r="G2235" s="46">
        <v>46162</v>
      </c>
    </row>
    <row r="2236" spans="1:8" hidden="1" x14ac:dyDescent="0.3">
      <c r="A2236" s="44" t="s">
        <v>10</v>
      </c>
      <c r="B2236" s="44" t="s">
        <v>2104</v>
      </c>
      <c r="C2236" s="44" t="s">
        <v>763</v>
      </c>
      <c r="D2236" s="44">
        <v>5542988358</v>
      </c>
      <c r="E2236" s="44">
        <v>194197</v>
      </c>
      <c r="F2236" s="87">
        <v>1448</v>
      </c>
      <c r="G2236" s="46">
        <v>46163</v>
      </c>
    </row>
    <row r="2237" spans="1:8" s="83" customFormat="1" hidden="1" x14ac:dyDescent="0.3">
      <c r="A2237" s="83" t="s">
        <v>11</v>
      </c>
      <c r="B2237" s="83" t="s">
        <v>998</v>
      </c>
      <c r="C2237" s="83" t="s">
        <v>2105</v>
      </c>
      <c r="D2237" s="83">
        <v>5518666206</v>
      </c>
      <c r="E2237" s="83">
        <v>356862</v>
      </c>
      <c r="F2237" s="97">
        <v>4900</v>
      </c>
      <c r="G2237" s="84">
        <v>46163</v>
      </c>
    </row>
    <row r="2238" spans="1:8" hidden="1" x14ac:dyDescent="0.3">
      <c r="A2238" s="44" t="s">
        <v>11</v>
      </c>
      <c r="B2238" s="44" t="s">
        <v>998</v>
      </c>
      <c r="C2238" s="44" t="s">
        <v>2105</v>
      </c>
      <c r="D2238" s="44">
        <v>5518666206</v>
      </c>
      <c r="E2238" s="44">
        <v>193615</v>
      </c>
      <c r="F2238" s="87">
        <v>3420</v>
      </c>
      <c r="G2238" s="46">
        <v>46163</v>
      </c>
    </row>
    <row r="2239" spans="1:8" s="83" customFormat="1" hidden="1" x14ac:dyDescent="0.3">
      <c r="A2239" s="83" t="s">
        <v>11</v>
      </c>
      <c r="B2239" s="83" t="s">
        <v>998</v>
      </c>
      <c r="C2239" s="83" t="s">
        <v>2105</v>
      </c>
      <c r="D2239" s="83">
        <v>5518666206</v>
      </c>
      <c r="E2239" s="83">
        <v>193208</v>
      </c>
      <c r="F2239" s="97">
        <v>51948</v>
      </c>
      <c r="G2239" s="84">
        <v>46163</v>
      </c>
    </row>
    <row r="2240" spans="1:8" hidden="1" x14ac:dyDescent="0.3">
      <c r="A2240" s="44" t="s">
        <v>10</v>
      </c>
      <c r="B2240" s="44" t="s">
        <v>2106</v>
      </c>
      <c r="C2240" s="44" t="s">
        <v>2107</v>
      </c>
      <c r="D2240" s="44">
        <v>5538827672</v>
      </c>
      <c r="E2240" s="44">
        <v>194699</v>
      </c>
      <c r="F2240" s="87">
        <v>7200</v>
      </c>
      <c r="G2240" s="46">
        <v>46163</v>
      </c>
    </row>
    <row r="2241" spans="1:9" s="83" customFormat="1" hidden="1" x14ac:dyDescent="0.3">
      <c r="A2241" s="83" t="s">
        <v>10</v>
      </c>
      <c r="B2241" s="83" t="s">
        <v>1984</v>
      </c>
      <c r="C2241" s="83" t="s">
        <v>1985</v>
      </c>
      <c r="D2241" s="83">
        <v>5536807808</v>
      </c>
      <c r="E2241" s="83">
        <v>194777</v>
      </c>
      <c r="F2241" s="97">
        <v>1616</v>
      </c>
      <c r="G2241" s="84">
        <v>46163</v>
      </c>
    </row>
    <row r="2242" spans="1:9" hidden="1" x14ac:dyDescent="0.3">
      <c r="A2242" s="44" t="s">
        <v>10</v>
      </c>
      <c r="B2242" s="44" t="s">
        <v>1984</v>
      </c>
      <c r="C2242" s="44" t="s">
        <v>1985</v>
      </c>
      <c r="D2242" s="44">
        <v>5536807808</v>
      </c>
      <c r="E2242" s="44">
        <v>357162</v>
      </c>
      <c r="F2242" s="87">
        <v>1128</v>
      </c>
      <c r="G2242" s="46">
        <v>46163</v>
      </c>
      <c r="H2242" s="44" t="s">
        <v>2108</v>
      </c>
    </row>
    <row r="2243" spans="1:9" s="83" customFormat="1" hidden="1" x14ac:dyDescent="0.3">
      <c r="A2243" s="83" t="s">
        <v>10</v>
      </c>
      <c r="B2243" s="83" t="s">
        <v>2109</v>
      </c>
      <c r="C2243" s="83" t="s">
        <v>2110</v>
      </c>
      <c r="D2243" s="83">
        <v>5566241545</v>
      </c>
      <c r="E2243" s="83">
        <v>195129</v>
      </c>
      <c r="F2243" s="97">
        <v>2496</v>
      </c>
      <c r="G2243" s="84">
        <v>46163</v>
      </c>
    </row>
    <row r="2244" spans="1:9" hidden="1" x14ac:dyDescent="0.3">
      <c r="A2244" s="44" t="s">
        <v>10</v>
      </c>
      <c r="B2244" s="44" t="s">
        <v>1544</v>
      </c>
      <c r="C2244" s="44" t="s">
        <v>1893</v>
      </c>
      <c r="D2244" s="44">
        <v>5577936861</v>
      </c>
      <c r="E2244" s="44">
        <v>195111</v>
      </c>
      <c r="F2244" s="87">
        <v>6975</v>
      </c>
      <c r="G2244" s="46">
        <v>46163</v>
      </c>
    </row>
    <row r="2245" spans="1:9" s="83" customFormat="1" hidden="1" x14ac:dyDescent="0.3">
      <c r="A2245" s="83" t="s">
        <v>10</v>
      </c>
      <c r="B2245" s="83" t="s">
        <v>2111</v>
      </c>
      <c r="C2245" s="83" t="s">
        <v>2096</v>
      </c>
      <c r="D2245" s="83">
        <v>5579179859</v>
      </c>
      <c r="E2245" s="83">
        <v>194458</v>
      </c>
      <c r="F2245" s="97">
        <v>2801</v>
      </c>
      <c r="G2245" s="84">
        <v>46163</v>
      </c>
    </row>
    <row r="2246" spans="1:9" hidden="1" x14ac:dyDescent="0.3">
      <c r="A2246" s="44" t="s">
        <v>10</v>
      </c>
      <c r="B2246" s="44" t="s">
        <v>2111</v>
      </c>
      <c r="C2246" s="44" t="s">
        <v>2096</v>
      </c>
      <c r="D2246" s="44">
        <v>5579179859</v>
      </c>
      <c r="E2246" s="44">
        <v>194459</v>
      </c>
      <c r="F2246" s="87">
        <v>350</v>
      </c>
      <c r="G2246" s="46">
        <v>46163</v>
      </c>
      <c r="H2246" s="137" t="s">
        <v>2112</v>
      </c>
      <c r="I2246" s="136"/>
    </row>
    <row r="2247" spans="1:9" s="83" customFormat="1" hidden="1" x14ac:dyDescent="0.3">
      <c r="A2247" s="83" t="s">
        <v>10</v>
      </c>
      <c r="B2247" s="83" t="s">
        <v>2113</v>
      </c>
      <c r="C2247" s="83" t="s">
        <v>41</v>
      </c>
      <c r="D2247" s="83">
        <v>5639776529</v>
      </c>
      <c r="E2247" s="83">
        <v>194397</v>
      </c>
      <c r="F2247" s="97">
        <v>10201</v>
      </c>
      <c r="G2247" s="84">
        <v>46163</v>
      </c>
    </row>
    <row r="2248" spans="1:9" hidden="1" x14ac:dyDescent="0.3">
      <c r="A2248" s="44" t="s">
        <v>17</v>
      </c>
      <c r="B2248" s="44" t="s">
        <v>836</v>
      </c>
      <c r="C2248" s="44" t="s">
        <v>2114</v>
      </c>
      <c r="D2248" s="44">
        <v>5529849094</v>
      </c>
      <c r="E2248" s="44">
        <v>304564</v>
      </c>
      <c r="F2248" s="87">
        <v>1994</v>
      </c>
      <c r="G2248" s="46">
        <v>46163</v>
      </c>
    </row>
    <row r="2249" spans="1:9" s="83" customFormat="1" hidden="1" x14ac:dyDescent="0.3">
      <c r="A2249" s="83" t="s">
        <v>17</v>
      </c>
      <c r="B2249" s="83" t="s">
        <v>836</v>
      </c>
      <c r="C2249" s="83" t="s">
        <v>2114</v>
      </c>
      <c r="D2249" s="83">
        <v>5529849094</v>
      </c>
      <c r="E2249" s="83">
        <v>357235</v>
      </c>
      <c r="F2249" s="97">
        <v>287</v>
      </c>
      <c r="G2249" s="84">
        <v>46163</v>
      </c>
      <c r="H2249" s="138" t="s">
        <v>2115</v>
      </c>
      <c r="I2249" s="139"/>
    </row>
    <row r="2250" spans="1:9" hidden="1" x14ac:dyDescent="0.3">
      <c r="A2250" s="44" t="s">
        <v>17</v>
      </c>
      <c r="B2250" s="44" t="s">
        <v>2116</v>
      </c>
      <c r="C2250" s="44" t="s">
        <v>375</v>
      </c>
      <c r="D2250" s="44">
        <v>5566101784</v>
      </c>
      <c r="E2250" s="44">
        <v>357340</v>
      </c>
      <c r="F2250" s="87">
        <v>1785</v>
      </c>
      <c r="G2250" s="46">
        <v>46163</v>
      </c>
    </row>
    <row r="2251" spans="1:9" s="83" customFormat="1" hidden="1" x14ac:dyDescent="0.3">
      <c r="A2251" s="83" t="s">
        <v>17</v>
      </c>
      <c r="B2251" s="83" t="s">
        <v>2117</v>
      </c>
      <c r="C2251" s="83" t="s">
        <v>2118</v>
      </c>
      <c r="D2251" s="83">
        <v>5518548421</v>
      </c>
      <c r="E2251" s="83">
        <v>195076</v>
      </c>
      <c r="F2251" s="97">
        <v>6850</v>
      </c>
      <c r="G2251" s="84">
        <v>46163</v>
      </c>
    </row>
    <row r="2252" spans="1:9" hidden="1" x14ac:dyDescent="0.3">
      <c r="A2252" s="44" t="s">
        <v>17</v>
      </c>
      <c r="B2252" s="44" t="s">
        <v>158</v>
      </c>
      <c r="C2252" s="44" t="s">
        <v>2119</v>
      </c>
      <c r="D2252" s="44">
        <v>5570826626</v>
      </c>
      <c r="E2252" s="44">
        <v>304125</v>
      </c>
      <c r="F2252" s="87">
        <v>11812</v>
      </c>
      <c r="G2252" s="46">
        <v>46163</v>
      </c>
    </row>
    <row r="2253" spans="1:9" s="83" customFormat="1" hidden="1" x14ac:dyDescent="0.3">
      <c r="A2253" s="83" t="s">
        <v>17</v>
      </c>
      <c r="B2253" s="83" t="s">
        <v>2120</v>
      </c>
      <c r="C2253" s="83" t="s">
        <v>115</v>
      </c>
      <c r="D2253" s="83">
        <v>5557572636</v>
      </c>
      <c r="E2253" s="83">
        <v>304501</v>
      </c>
      <c r="F2253" s="97">
        <v>3611</v>
      </c>
      <c r="G2253" s="84">
        <v>46163</v>
      </c>
    </row>
    <row r="2254" spans="1:9" hidden="1" x14ac:dyDescent="0.3">
      <c r="A2254" s="44" t="s">
        <v>17</v>
      </c>
      <c r="B2254" s="44" t="s">
        <v>2120</v>
      </c>
      <c r="C2254" s="44" t="s">
        <v>115</v>
      </c>
      <c r="D2254" s="44">
        <v>5557572636</v>
      </c>
      <c r="E2254" s="44">
        <v>304502</v>
      </c>
      <c r="F2254" s="87">
        <v>4806</v>
      </c>
      <c r="G2254" s="46">
        <v>46163</v>
      </c>
    </row>
    <row r="2255" spans="1:9" s="83" customFormat="1" hidden="1" x14ac:dyDescent="0.3">
      <c r="A2255" s="83" t="s">
        <v>17</v>
      </c>
      <c r="B2255" s="83" t="s">
        <v>2121</v>
      </c>
      <c r="C2255" s="83" t="s">
        <v>2122</v>
      </c>
      <c r="D2255" s="83">
        <v>5511246408</v>
      </c>
      <c r="E2255" s="83">
        <v>356967</v>
      </c>
      <c r="F2255" s="97">
        <v>5340</v>
      </c>
      <c r="G2255" s="84">
        <v>46163</v>
      </c>
    </row>
    <row r="2256" spans="1:9" hidden="1" x14ac:dyDescent="0.3">
      <c r="A2256" s="44" t="s">
        <v>47</v>
      </c>
      <c r="B2256" s="44" t="s">
        <v>2123</v>
      </c>
      <c r="C2256" s="44" t="s">
        <v>32</v>
      </c>
      <c r="D2256" s="44">
        <v>5548294247</v>
      </c>
      <c r="E2256" s="44">
        <v>357352</v>
      </c>
      <c r="F2256" s="87">
        <v>1308</v>
      </c>
      <c r="G2256" s="46">
        <v>46163</v>
      </c>
    </row>
    <row r="2257" spans="1:7" s="83" customFormat="1" hidden="1" x14ac:dyDescent="0.3">
      <c r="A2257" s="83" t="s">
        <v>47</v>
      </c>
      <c r="B2257" s="83" t="s">
        <v>2124</v>
      </c>
      <c r="C2257" s="83" t="s">
        <v>259</v>
      </c>
      <c r="D2257" s="83">
        <v>5540443958</v>
      </c>
      <c r="E2257" s="83">
        <v>304627</v>
      </c>
      <c r="F2257" s="97">
        <v>7640</v>
      </c>
      <c r="G2257" s="84">
        <v>46163</v>
      </c>
    </row>
    <row r="2258" spans="1:7" hidden="1" x14ac:dyDescent="0.3">
      <c r="A2258" s="44" t="s">
        <v>47</v>
      </c>
      <c r="B2258" s="44" t="s">
        <v>2125</v>
      </c>
      <c r="C2258" s="44" t="s">
        <v>2126</v>
      </c>
      <c r="D2258" s="44">
        <v>5523345831</v>
      </c>
      <c r="E2258" s="44">
        <v>304429</v>
      </c>
      <c r="F2258" s="87">
        <v>7150</v>
      </c>
      <c r="G2258" s="46">
        <v>46163</v>
      </c>
    </row>
    <row r="2259" spans="1:7" s="83" customFormat="1" hidden="1" x14ac:dyDescent="0.3">
      <c r="A2259" s="83" t="s">
        <v>47</v>
      </c>
      <c r="B2259" s="83" t="s">
        <v>2127</v>
      </c>
      <c r="C2259" s="83" t="s">
        <v>84</v>
      </c>
      <c r="D2259" s="83">
        <v>5530807721</v>
      </c>
      <c r="E2259" s="83">
        <v>194905</v>
      </c>
      <c r="F2259" s="97">
        <v>650</v>
      </c>
      <c r="G2259" s="84">
        <v>46163</v>
      </c>
    </row>
    <row r="2260" spans="1:7" hidden="1" x14ac:dyDescent="0.3">
      <c r="A2260" s="44" t="s">
        <v>47</v>
      </c>
      <c r="B2260" s="44" t="s">
        <v>2128</v>
      </c>
      <c r="C2260" s="44" t="s">
        <v>2129</v>
      </c>
      <c r="D2260" s="44">
        <v>5627979651</v>
      </c>
      <c r="E2260" s="44">
        <v>194958</v>
      </c>
      <c r="F2260" s="87">
        <v>208</v>
      </c>
      <c r="G2260" s="46">
        <v>46163</v>
      </c>
    </row>
    <row r="2261" spans="1:7" s="83" customFormat="1" hidden="1" x14ac:dyDescent="0.3">
      <c r="A2261" s="83" t="s">
        <v>47</v>
      </c>
      <c r="B2261" s="83" t="s">
        <v>2130</v>
      </c>
      <c r="C2261" s="83" t="s">
        <v>2129</v>
      </c>
      <c r="D2261" s="83">
        <v>5562863565</v>
      </c>
      <c r="E2261" s="83">
        <v>194238</v>
      </c>
      <c r="F2261" s="97">
        <v>1916</v>
      </c>
      <c r="G2261" s="84">
        <v>46163</v>
      </c>
    </row>
    <row r="2262" spans="1:7" hidden="1" x14ac:dyDescent="0.3">
      <c r="A2262" s="44" t="s">
        <v>47</v>
      </c>
      <c r="B2262" s="44" t="s">
        <v>1308</v>
      </c>
      <c r="C2262" s="44" t="s">
        <v>1309</v>
      </c>
      <c r="D2262" s="44">
        <v>5628031904</v>
      </c>
      <c r="E2262" s="44">
        <v>357197</v>
      </c>
      <c r="F2262" s="87">
        <v>1210</v>
      </c>
      <c r="G2262" s="46">
        <v>46163</v>
      </c>
    </row>
    <row r="2263" spans="1:7" s="80" customFormat="1" hidden="1" x14ac:dyDescent="0.3">
      <c r="A2263" s="80" t="s">
        <v>17</v>
      </c>
      <c r="B2263" s="80" t="s">
        <v>970</v>
      </c>
      <c r="C2263" s="80" t="s">
        <v>478</v>
      </c>
      <c r="D2263" s="80">
        <v>5547857530</v>
      </c>
      <c r="E2263" s="80">
        <v>195067</v>
      </c>
      <c r="F2263" s="96">
        <v>665</v>
      </c>
      <c r="G2263" s="81">
        <v>46164</v>
      </c>
    </row>
    <row r="2264" spans="1:7" hidden="1" x14ac:dyDescent="0.3">
      <c r="A2264" s="44" t="s">
        <v>890</v>
      </c>
      <c r="B2264" s="44" t="s">
        <v>2135</v>
      </c>
      <c r="C2264" s="44" t="s">
        <v>897</v>
      </c>
      <c r="D2264" s="44">
        <v>5529210394</v>
      </c>
      <c r="E2264" s="44">
        <v>195151</v>
      </c>
      <c r="F2264" s="87">
        <v>521</v>
      </c>
      <c r="G2264" s="46">
        <v>46164</v>
      </c>
    </row>
    <row r="2265" spans="1:7" s="80" customFormat="1" hidden="1" x14ac:dyDescent="0.3">
      <c r="A2265" s="80" t="s">
        <v>890</v>
      </c>
      <c r="B2265" s="80" t="s">
        <v>2136</v>
      </c>
      <c r="C2265" s="80" t="s">
        <v>2137</v>
      </c>
      <c r="D2265" s="80">
        <v>5612609168</v>
      </c>
      <c r="E2265" s="80">
        <v>195038</v>
      </c>
      <c r="F2265" s="96">
        <v>5570</v>
      </c>
      <c r="G2265" s="81">
        <v>46164</v>
      </c>
    </row>
    <row r="2266" spans="1:7" hidden="1" x14ac:dyDescent="0.3">
      <c r="A2266" s="44" t="s">
        <v>890</v>
      </c>
      <c r="B2266" s="44" t="s">
        <v>2138</v>
      </c>
      <c r="C2266" s="44" t="s">
        <v>1947</v>
      </c>
      <c r="D2266" s="44">
        <v>5521264726</v>
      </c>
      <c r="E2266" s="44">
        <v>357394</v>
      </c>
      <c r="F2266" s="87">
        <v>3655</v>
      </c>
      <c r="G2266" s="46">
        <v>46164</v>
      </c>
    </row>
    <row r="2267" spans="1:7" s="80" customFormat="1" hidden="1" x14ac:dyDescent="0.3">
      <c r="A2267" s="80" t="s">
        <v>2156</v>
      </c>
      <c r="B2267" s="80" t="s">
        <v>2139</v>
      </c>
      <c r="C2267" s="80" t="s">
        <v>2140</v>
      </c>
      <c r="D2267" s="80">
        <v>5540809421</v>
      </c>
      <c r="E2267" s="80">
        <v>302830</v>
      </c>
      <c r="F2267" s="96">
        <v>45710</v>
      </c>
      <c r="G2267" s="81">
        <v>46164</v>
      </c>
    </row>
    <row r="2268" spans="1:7" hidden="1" x14ac:dyDescent="0.3">
      <c r="A2268" s="44" t="s">
        <v>2156</v>
      </c>
      <c r="B2268" s="44" t="s">
        <v>2139</v>
      </c>
      <c r="C2268" s="44" t="s">
        <v>2140</v>
      </c>
      <c r="D2268" s="44">
        <v>5540809421</v>
      </c>
      <c r="E2268" s="44">
        <v>302829</v>
      </c>
      <c r="F2268" s="87">
        <v>11435</v>
      </c>
      <c r="G2268" s="46">
        <v>46164</v>
      </c>
    </row>
    <row r="2269" spans="1:7" s="80" customFormat="1" hidden="1" x14ac:dyDescent="0.3">
      <c r="A2269" s="80" t="s">
        <v>2156</v>
      </c>
      <c r="B2269" s="80" t="s">
        <v>2139</v>
      </c>
      <c r="C2269" s="80" t="s">
        <v>2140</v>
      </c>
      <c r="D2269" s="80">
        <v>5540809421</v>
      </c>
      <c r="E2269" s="80">
        <v>304047</v>
      </c>
      <c r="F2269" s="96">
        <v>12399</v>
      </c>
      <c r="G2269" s="81">
        <v>46164</v>
      </c>
    </row>
    <row r="2270" spans="1:7" hidden="1" x14ac:dyDescent="0.3">
      <c r="A2270" s="44" t="s">
        <v>2141</v>
      </c>
      <c r="B2270" s="44" t="s">
        <v>2142</v>
      </c>
      <c r="C2270" s="44" t="s">
        <v>1957</v>
      </c>
      <c r="D2270" s="44">
        <v>5544697895</v>
      </c>
      <c r="E2270" s="44">
        <v>357031</v>
      </c>
      <c r="F2270" s="87">
        <v>4001</v>
      </c>
      <c r="G2270" s="46">
        <v>46164</v>
      </c>
    </row>
    <row r="2271" spans="1:7" s="80" customFormat="1" hidden="1" x14ac:dyDescent="0.3">
      <c r="A2271" s="80" t="s">
        <v>2141</v>
      </c>
      <c r="B2271" s="80" t="s">
        <v>1951</v>
      </c>
      <c r="C2271" s="80" t="s">
        <v>1860</v>
      </c>
      <c r="D2271" s="80">
        <v>5510771418</v>
      </c>
      <c r="E2271" s="80">
        <v>194799</v>
      </c>
      <c r="F2271" s="96">
        <v>7946</v>
      </c>
      <c r="G2271" s="81">
        <v>46164</v>
      </c>
    </row>
    <row r="2272" spans="1:7" hidden="1" x14ac:dyDescent="0.3">
      <c r="A2272" s="44" t="s">
        <v>2141</v>
      </c>
      <c r="B2272" s="44" t="s">
        <v>2143</v>
      </c>
      <c r="C2272" s="44" t="s">
        <v>2144</v>
      </c>
      <c r="D2272" s="44">
        <v>5526236766</v>
      </c>
      <c r="E2272" s="44">
        <v>195189</v>
      </c>
      <c r="F2272" s="87">
        <v>4920</v>
      </c>
      <c r="G2272" s="46">
        <v>46164</v>
      </c>
    </row>
    <row r="2273" spans="1:7" s="80" customFormat="1" hidden="1" x14ac:dyDescent="0.3">
      <c r="A2273" s="80" t="s">
        <v>2141</v>
      </c>
      <c r="B2273" s="80" t="s">
        <v>2145</v>
      </c>
      <c r="C2273" s="80" t="s">
        <v>822</v>
      </c>
      <c r="D2273" s="80">
        <v>5551784708</v>
      </c>
      <c r="E2273" s="80">
        <v>304505</v>
      </c>
      <c r="F2273" s="96">
        <v>3276</v>
      </c>
      <c r="G2273" s="81">
        <v>46164</v>
      </c>
    </row>
    <row r="2274" spans="1:7" hidden="1" x14ac:dyDescent="0.3">
      <c r="A2274" s="44" t="s">
        <v>17</v>
      </c>
      <c r="B2274" s="44" t="s">
        <v>2146</v>
      </c>
      <c r="C2274" s="44" t="s">
        <v>1873</v>
      </c>
      <c r="D2274" s="44">
        <v>5532346493</v>
      </c>
      <c r="E2274" s="44">
        <v>305780</v>
      </c>
      <c r="F2274" s="87">
        <v>2117</v>
      </c>
      <c r="G2274" s="46">
        <v>46164</v>
      </c>
    </row>
    <row r="2275" spans="1:7" s="80" customFormat="1" hidden="1" x14ac:dyDescent="0.3">
      <c r="A2275" s="80" t="s">
        <v>17</v>
      </c>
      <c r="B2275" s="80" t="s">
        <v>2147</v>
      </c>
      <c r="C2275" s="80" t="s">
        <v>2148</v>
      </c>
      <c r="D2275" s="80">
        <v>5579302170</v>
      </c>
      <c r="E2275" s="80">
        <v>193535</v>
      </c>
      <c r="F2275" s="96">
        <v>16920</v>
      </c>
      <c r="G2275" s="81">
        <v>46164</v>
      </c>
    </row>
    <row r="2276" spans="1:7" hidden="1" x14ac:dyDescent="0.3">
      <c r="A2276" s="44" t="s">
        <v>17</v>
      </c>
      <c r="B2276" s="44" t="s">
        <v>1833</v>
      </c>
      <c r="C2276" s="44" t="s">
        <v>2149</v>
      </c>
      <c r="D2276" s="44">
        <v>5632018203</v>
      </c>
      <c r="E2276" s="44">
        <v>356938</v>
      </c>
      <c r="F2276" s="87">
        <v>11647</v>
      </c>
      <c r="G2276" s="46">
        <v>46164</v>
      </c>
    </row>
    <row r="2277" spans="1:7" s="80" customFormat="1" hidden="1" x14ac:dyDescent="0.3">
      <c r="A2277" s="80" t="s">
        <v>17</v>
      </c>
      <c r="B2277" s="80" t="s">
        <v>2150</v>
      </c>
      <c r="C2277" s="80" t="s">
        <v>2151</v>
      </c>
      <c r="D2277" s="80">
        <v>5539114957</v>
      </c>
      <c r="E2277" s="80">
        <v>304666</v>
      </c>
      <c r="F2277" s="96">
        <v>1346</v>
      </c>
      <c r="G2277" s="81">
        <v>46164</v>
      </c>
    </row>
    <row r="2278" spans="1:7" hidden="1" x14ac:dyDescent="0.3">
      <c r="A2278" s="44" t="s">
        <v>17</v>
      </c>
      <c r="B2278" s="44" t="s">
        <v>2150</v>
      </c>
      <c r="C2278" s="44" t="s">
        <v>2151</v>
      </c>
      <c r="D2278" s="44">
        <v>5539114957</v>
      </c>
      <c r="E2278" s="44">
        <v>304667</v>
      </c>
      <c r="F2278" s="87">
        <v>480</v>
      </c>
      <c r="G2278" s="46">
        <v>46164</v>
      </c>
    </row>
    <row r="2279" spans="1:7" s="80" customFormat="1" hidden="1" x14ac:dyDescent="0.3">
      <c r="A2279" s="80" t="s">
        <v>17</v>
      </c>
      <c r="B2279" s="80" t="s">
        <v>872</v>
      </c>
      <c r="C2279" s="80" t="s">
        <v>259</v>
      </c>
      <c r="D2279" s="80">
        <v>5528872468</v>
      </c>
      <c r="E2279" s="80">
        <v>304575</v>
      </c>
      <c r="F2279" s="96">
        <v>2213</v>
      </c>
      <c r="G2279" s="81">
        <v>46164</v>
      </c>
    </row>
    <row r="2280" spans="1:7" hidden="1" x14ac:dyDescent="0.3">
      <c r="A2280" s="44" t="s">
        <v>17</v>
      </c>
      <c r="B2280" s="44" t="s">
        <v>2152</v>
      </c>
      <c r="C2280" s="44" t="s">
        <v>2153</v>
      </c>
      <c r="D2280" s="44">
        <v>5562306618</v>
      </c>
      <c r="E2280" s="44">
        <v>195231</v>
      </c>
      <c r="F2280" s="87">
        <v>4694</v>
      </c>
      <c r="G2280" s="46">
        <v>46164</v>
      </c>
    </row>
    <row r="2281" spans="1:7" s="80" customFormat="1" hidden="1" x14ac:dyDescent="0.3">
      <c r="A2281" s="80" t="s">
        <v>17</v>
      </c>
      <c r="B2281" s="80" t="s">
        <v>2154</v>
      </c>
      <c r="C2281" s="80" t="s">
        <v>2155</v>
      </c>
      <c r="D2281" s="80">
        <v>5616004972</v>
      </c>
      <c r="E2281" s="80">
        <v>304721</v>
      </c>
      <c r="F2281" s="96">
        <v>24613</v>
      </c>
      <c r="G2281" s="81">
        <v>46164</v>
      </c>
    </row>
    <row r="2282" spans="1:7" hidden="1" x14ac:dyDescent="0.3">
      <c r="A2282" s="44" t="s">
        <v>890</v>
      </c>
      <c r="B2282" s="44" t="s">
        <v>2157</v>
      </c>
      <c r="C2282" s="44" t="s">
        <v>2158</v>
      </c>
      <c r="D2282" s="44">
        <v>5667905507</v>
      </c>
      <c r="E2282" s="44">
        <v>195285</v>
      </c>
      <c r="F2282" s="87">
        <v>1397</v>
      </c>
      <c r="G2282" s="46">
        <v>46165</v>
      </c>
    </row>
    <row r="2283" spans="1:7" s="48" customFormat="1" hidden="1" x14ac:dyDescent="0.3">
      <c r="A2283" s="48" t="s">
        <v>890</v>
      </c>
      <c r="B2283" s="48" t="s">
        <v>2159</v>
      </c>
      <c r="C2283" s="48" t="s">
        <v>2160</v>
      </c>
      <c r="D2283" s="48">
        <v>5548909301</v>
      </c>
      <c r="E2283" s="48">
        <v>195253</v>
      </c>
      <c r="F2283" s="88">
        <v>1374</v>
      </c>
      <c r="G2283" s="50">
        <v>46165</v>
      </c>
    </row>
    <row r="2284" spans="1:7" hidden="1" x14ac:dyDescent="0.3">
      <c r="A2284" s="44" t="s">
        <v>890</v>
      </c>
      <c r="B2284" s="44" t="s">
        <v>2161</v>
      </c>
      <c r="C2284" s="44" t="s">
        <v>2162</v>
      </c>
      <c r="D2284" s="44">
        <v>5539486141</v>
      </c>
      <c r="E2284" s="44">
        <v>304854</v>
      </c>
      <c r="F2284" s="87">
        <v>602</v>
      </c>
      <c r="G2284" s="46">
        <v>46165</v>
      </c>
    </row>
    <row r="2285" spans="1:7" s="48" customFormat="1" hidden="1" x14ac:dyDescent="0.3">
      <c r="A2285" s="48" t="s">
        <v>890</v>
      </c>
      <c r="B2285" s="48" t="s">
        <v>2163</v>
      </c>
      <c r="C2285" s="48" t="s">
        <v>1784</v>
      </c>
      <c r="D2285" s="48">
        <v>5563173397</v>
      </c>
      <c r="E2285" s="48">
        <v>357147</v>
      </c>
      <c r="F2285" s="88">
        <v>1449</v>
      </c>
      <c r="G2285" s="50">
        <v>46165</v>
      </c>
    </row>
    <row r="2286" spans="1:7" hidden="1" x14ac:dyDescent="0.3">
      <c r="A2286" s="44" t="s">
        <v>890</v>
      </c>
      <c r="B2286" s="44" t="s">
        <v>2164</v>
      </c>
      <c r="C2286" s="44" t="s">
        <v>1939</v>
      </c>
      <c r="D2286" s="44">
        <v>5515183791</v>
      </c>
      <c r="E2286" s="44">
        <v>194636</v>
      </c>
      <c r="F2286" s="87">
        <v>2184</v>
      </c>
      <c r="G2286" s="46">
        <v>46165</v>
      </c>
    </row>
    <row r="2287" spans="1:7" s="48" customFormat="1" hidden="1" x14ac:dyDescent="0.3">
      <c r="A2287" s="48" t="s">
        <v>890</v>
      </c>
      <c r="B2287" s="48" t="s">
        <v>314</v>
      </c>
      <c r="C2287" s="48" t="s">
        <v>43</v>
      </c>
      <c r="D2287" s="48">
        <v>5544844808</v>
      </c>
      <c r="E2287" s="48">
        <v>304826</v>
      </c>
      <c r="F2287" s="88">
        <v>800</v>
      </c>
      <c r="G2287" s="50">
        <v>46165</v>
      </c>
    </row>
    <row r="2288" spans="1:7" hidden="1" x14ac:dyDescent="0.3">
      <c r="A2288" s="44" t="s">
        <v>955</v>
      </c>
      <c r="B2288" s="44" t="s">
        <v>2165</v>
      </c>
      <c r="C2288" s="44" t="s">
        <v>1379</v>
      </c>
      <c r="D2288" s="44">
        <v>5521179158</v>
      </c>
      <c r="E2288" s="44">
        <v>194707</v>
      </c>
      <c r="F2288" s="87">
        <v>4203</v>
      </c>
      <c r="G2288" s="46">
        <v>46165</v>
      </c>
    </row>
    <row r="2289" spans="1:7" s="48" customFormat="1" hidden="1" x14ac:dyDescent="0.3">
      <c r="A2289" s="48" t="s">
        <v>955</v>
      </c>
      <c r="B2289" s="48" t="s">
        <v>2166</v>
      </c>
      <c r="C2289" s="48" t="s">
        <v>138</v>
      </c>
      <c r="D2289" s="48">
        <v>5535353344</v>
      </c>
      <c r="E2289" s="48">
        <v>194434</v>
      </c>
      <c r="F2289" s="88">
        <v>8288</v>
      </c>
      <c r="G2289" s="50">
        <v>46165</v>
      </c>
    </row>
    <row r="2290" spans="1:7" hidden="1" x14ac:dyDescent="0.3">
      <c r="A2290" s="44" t="s">
        <v>955</v>
      </c>
      <c r="B2290" s="44" t="s">
        <v>1886</v>
      </c>
      <c r="C2290" s="44" t="s">
        <v>478</v>
      </c>
      <c r="D2290" s="44">
        <v>5527842592</v>
      </c>
      <c r="E2290" s="44">
        <v>357176</v>
      </c>
      <c r="F2290" s="87">
        <v>11644</v>
      </c>
      <c r="G2290" s="46">
        <v>46165</v>
      </c>
    </row>
    <row r="2291" spans="1:7" s="48" customFormat="1" hidden="1" x14ac:dyDescent="0.3">
      <c r="A2291" s="48" t="s">
        <v>955</v>
      </c>
      <c r="B2291" s="48" t="s">
        <v>1886</v>
      </c>
      <c r="C2291" s="48" t="s">
        <v>478</v>
      </c>
      <c r="D2291" s="48">
        <v>5527842592</v>
      </c>
      <c r="E2291" s="48">
        <v>195223</v>
      </c>
      <c r="F2291" s="88">
        <v>650</v>
      </c>
      <c r="G2291" s="50">
        <v>46165</v>
      </c>
    </row>
    <row r="2292" spans="1:7" hidden="1" x14ac:dyDescent="0.3">
      <c r="A2292" s="44" t="s">
        <v>10</v>
      </c>
      <c r="B2292" s="44" t="s">
        <v>2167</v>
      </c>
      <c r="C2292" s="44" t="s">
        <v>2021</v>
      </c>
      <c r="D2292" s="44" t="s">
        <v>146</v>
      </c>
      <c r="E2292" s="44">
        <v>357466</v>
      </c>
      <c r="F2292" s="87">
        <v>10520</v>
      </c>
      <c r="G2292" s="46">
        <v>46165</v>
      </c>
    </row>
    <row r="2293" spans="1:7" s="48" customFormat="1" hidden="1" x14ac:dyDescent="0.3">
      <c r="A2293" s="48" t="s">
        <v>10</v>
      </c>
      <c r="B2293" s="48" t="s">
        <v>1303</v>
      </c>
      <c r="C2293" s="48" t="s">
        <v>1304</v>
      </c>
      <c r="D2293" s="48">
        <v>5554572412</v>
      </c>
      <c r="E2293" s="48">
        <v>304281</v>
      </c>
      <c r="F2293" s="88">
        <v>1840</v>
      </c>
      <c r="G2293" s="50">
        <v>46165</v>
      </c>
    </row>
    <row r="2294" spans="1:7" hidden="1" x14ac:dyDescent="0.3">
      <c r="A2294" s="44" t="s">
        <v>10</v>
      </c>
      <c r="B2294" s="44" t="s">
        <v>1303</v>
      </c>
      <c r="C2294" s="44" t="s">
        <v>1304</v>
      </c>
      <c r="D2294" s="44">
        <v>5554572412</v>
      </c>
      <c r="E2294" s="44">
        <v>304280</v>
      </c>
      <c r="F2294" s="87">
        <v>4834</v>
      </c>
      <c r="G2294" s="46">
        <v>46165</v>
      </c>
    </row>
    <row r="2295" spans="1:7" s="48" customFormat="1" hidden="1" x14ac:dyDescent="0.3">
      <c r="A2295" s="48" t="s">
        <v>10</v>
      </c>
      <c r="B2295" s="48" t="s">
        <v>61</v>
      </c>
      <c r="C2295" s="48" t="s">
        <v>1968</v>
      </c>
      <c r="D2295" s="48">
        <v>5596905099</v>
      </c>
      <c r="E2295" s="48">
        <v>194476</v>
      </c>
      <c r="F2295" s="88">
        <v>3486</v>
      </c>
      <c r="G2295" s="50">
        <v>46165</v>
      </c>
    </row>
    <row r="2296" spans="1:7" hidden="1" x14ac:dyDescent="0.3">
      <c r="A2296" s="44" t="s">
        <v>10</v>
      </c>
      <c r="B2296" s="44" t="s">
        <v>523</v>
      </c>
      <c r="C2296" s="44" t="s">
        <v>203</v>
      </c>
      <c r="D2296" s="44">
        <v>5613536877</v>
      </c>
      <c r="E2296" s="44">
        <v>357570</v>
      </c>
      <c r="F2296" s="87">
        <v>4970</v>
      </c>
      <c r="G2296" s="46">
        <v>46167</v>
      </c>
    </row>
    <row r="2297" spans="1:7" s="115" customFormat="1" hidden="1" x14ac:dyDescent="0.3">
      <c r="A2297" s="115" t="s">
        <v>10</v>
      </c>
      <c r="B2297" s="115" t="s">
        <v>523</v>
      </c>
      <c r="C2297" s="115" t="s">
        <v>2179</v>
      </c>
      <c r="D2297" s="115">
        <v>5613536877</v>
      </c>
      <c r="E2297" s="115">
        <v>195411</v>
      </c>
      <c r="F2297" s="116">
        <v>1275</v>
      </c>
      <c r="G2297" s="117">
        <v>46167</v>
      </c>
    </row>
    <row r="2298" spans="1:7" hidden="1" x14ac:dyDescent="0.3">
      <c r="A2298" s="44" t="s">
        <v>10</v>
      </c>
      <c r="B2298" s="44" t="s">
        <v>2168</v>
      </c>
      <c r="C2298" s="44" t="s">
        <v>1200</v>
      </c>
      <c r="D2298" s="44">
        <v>5532163333</v>
      </c>
      <c r="E2298" s="44">
        <v>357447</v>
      </c>
      <c r="F2298" s="87">
        <v>149</v>
      </c>
      <c r="G2298" s="46">
        <v>46167</v>
      </c>
    </row>
    <row r="2299" spans="1:7" s="115" customFormat="1" hidden="1" x14ac:dyDescent="0.3">
      <c r="A2299" s="115" t="s">
        <v>10</v>
      </c>
      <c r="B2299" s="115" t="s">
        <v>1462</v>
      </c>
      <c r="C2299" s="115" t="s">
        <v>115</v>
      </c>
      <c r="D2299" s="115">
        <v>5541113329</v>
      </c>
      <c r="E2299" s="115">
        <v>357212</v>
      </c>
      <c r="F2299" s="116">
        <v>4650</v>
      </c>
      <c r="G2299" s="117">
        <v>46167</v>
      </c>
    </row>
    <row r="2300" spans="1:7" hidden="1" x14ac:dyDescent="0.3">
      <c r="A2300" s="44" t="s">
        <v>10</v>
      </c>
      <c r="B2300" s="44" t="s">
        <v>2169</v>
      </c>
      <c r="C2300" s="44" t="s">
        <v>2170</v>
      </c>
      <c r="D2300" s="44">
        <v>5570182437</v>
      </c>
      <c r="E2300" s="44">
        <v>357080</v>
      </c>
      <c r="F2300" s="87">
        <v>5908</v>
      </c>
      <c r="G2300" s="46">
        <v>46167</v>
      </c>
    </row>
    <row r="2301" spans="1:7" s="115" customFormat="1" hidden="1" x14ac:dyDescent="0.3">
      <c r="A2301" s="115" t="s">
        <v>10</v>
      </c>
      <c r="B2301" s="115" t="s">
        <v>2171</v>
      </c>
      <c r="C2301" s="115" t="s">
        <v>2148</v>
      </c>
      <c r="D2301" s="115">
        <v>5579302170</v>
      </c>
      <c r="E2301" s="115">
        <v>193535</v>
      </c>
      <c r="F2301" s="116">
        <v>16921</v>
      </c>
      <c r="G2301" s="117">
        <v>46167</v>
      </c>
    </row>
    <row r="2302" spans="1:7" hidden="1" x14ac:dyDescent="0.3">
      <c r="A2302" s="44" t="s">
        <v>890</v>
      </c>
      <c r="B2302" s="44" t="s">
        <v>1956</v>
      </c>
      <c r="C2302" s="44" t="s">
        <v>2172</v>
      </c>
      <c r="D2302" s="44">
        <v>5526754082</v>
      </c>
      <c r="E2302" s="44">
        <v>195373</v>
      </c>
      <c r="F2302" s="87">
        <v>284</v>
      </c>
      <c r="G2302" s="46">
        <v>46167</v>
      </c>
    </row>
    <row r="2303" spans="1:7" s="115" customFormat="1" hidden="1" x14ac:dyDescent="0.3">
      <c r="A2303" s="115" t="s">
        <v>890</v>
      </c>
      <c r="B2303" s="115" t="s">
        <v>2173</v>
      </c>
      <c r="C2303" s="115" t="s">
        <v>2174</v>
      </c>
      <c r="D2303" s="115">
        <v>5659164290</v>
      </c>
      <c r="E2303" s="115">
        <v>194731</v>
      </c>
      <c r="F2303" s="116">
        <v>3228</v>
      </c>
      <c r="G2303" s="117">
        <v>46167</v>
      </c>
    </row>
    <row r="2304" spans="1:7" hidden="1" x14ac:dyDescent="0.3">
      <c r="A2304" s="44" t="s">
        <v>890</v>
      </c>
      <c r="B2304" s="44" t="s">
        <v>2175</v>
      </c>
      <c r="C2304" s="44" t="s">
        <v>2176</v>
      </c>
      <c r="D2304" s="44">
        <v>5564371624</v>
      </c>
      <c r="E2304" s="44">
        <v>357078</v>
      </c>
      <c r="F2304" s="87">
        <v>4450</v>
      </c>
      <c r="G2304" s="46">
        <v>46167</v>
      </c>
    </row>
    <row r="2305" spans="1:7" s="115" customFormat="1" hidden="1" x14ac:dyDescent="0.3">
      <c r="A2305" s="115" t="s">
        <v>890</v>
      </c>
      <c r="B2305" s="115" t="s">
        <v>2177</v>
      </c>
      <c r="C2305" s="115" t="s">
        <v>1893</v>
      </c>
      <c r="D2305" s="115">
        <v>5555057914</v>
      </c>
      <c r="E2305" s="115">
        <v>194999</v>
      </c>
      <c r="F2305" s="116">
        <v>9204</v>
      </c>
      <c r="G2305" s="117">
        <v>46167</v>
      </c>
    </row>
    <row r="2306" spans="1:7" hidden="1" x14ac:dyDescent="0.3">
      <c r="A2306" s="48" t="s">
        <v>890</v>
      </c>
      <c r="B2306" s="48" t="s">
        <v>1865</v>
      </c>
      <c r="C2306" s="48" t="s">
        <v>1866</v>
      </c>
      <c r="D2306" s="48">
        <v>5536791358</v>
      </c>
      <c r="E2306" s="48">
        <v>305681</v>
      </c>
      <c r="F2306" s="88">
        <v>19083</v>
      </c>
      <c r="G2306" s="50">
        <v>46184</v>
      </c>
    </row>
    <row r="2307" spans="1:7" s="115" customFormat="1" hidden="1" x14ac:dyDescent="0.3">
      <c r="A2307" s="44" t="s">
        <v>10</v>
      </c>
      <c r="B2307" s="44" t="s">
        <v>1341</v>
      </c>
      <c r="C2307" s="44" t="s">
        <v>56</v>
      </c>
      <c r="D2307" s="44">
        <v>5536791358</v>
      </c>
      <c r="E2307" s="44">
        <v>300264</v>
      </c>
      <c r="F2307" s="87">
        <v>11311.72</v>
      </c>
      <c r="G2307" s="46">
        <v>46104</v>
      </c>
    </row>
    <row r="2308" spans="1:7" hidden="1" x14ac:dyDescent="0.3">
      <c r="A2308" s="44" t="s">
        <v>11</v>
      </c>
      <c r="B2308" s="44" t="s">
        <v>2180</v>
      </c>
      <c r="C2308" s="44" t="s">
        <v>1902</v>
      </c>
      <c r="D2308" s="44">
        <v>5514851554</v>
      </c>
      <c r="E2308" s="44">
        <v>194544</v>
      </c>
      <c r="F2308" s="87">
        <v>7976</v>
      </c>
      <c r="G2308" s="46">
        <v>46167</v>
      </c>
    </row>
    <row r="2309" spans="1:7" s="115" customFormat="1" x14ac:dyDescent="0.3">
      <c r="A2309" s="115" t="s">
        <v>11</v>
      </c>
      <c r="B2309" s="115" t="s">
        <v>2181</v>
      </c>
      <c r="C2309" s="115" t="s">
        <v>2182</v>
      </c>
      <c r="D2309" s="115">
        <v>5551905191</v>
      </c>
      <c r="E2309" s="115">
        <v>304462</v>
      </c>
      <c r="F2309" s="116">
        <v>9152</v>
      </c>
      <c r="G2309" s="117">
        <v>46167</v>
      </c>
    </row>
    <row r="2310" spans="1:7" hidden="1" x14ac:dyDescent="0.3">
      <c r="A2310" s="44" t="s">
        <v>11</v>
      </c>
      <c r="B2310" s="44" t="s">
        <v>1952</v>
      </c>
      <c r="C2310" s="44" t="s">
        <v>2183</v>
      </c>
      <c r="D2310" s="44">
        <v>5582860407</v>
      </c>
      <c r="E2310" s="44">
        <v>304450</v>
      </c>
      <c r="F2310" s="87">
        <v>6405</v>
      </c>
      <c r="G2310" s="46">
        <v>46167</v>
      </c>
    </row>
    <row r="2311" spans="1:7" s="115" customFormat="1" hidden="1" x14ac:dyDescent="0.3">
      <c r="A2311" s="115" t="s">
        <v>11</v>
      </c>
      <c r="B2311" s="115" t="s">
        <v>1952</v>
      </c>
      <c r="C2311" s="115" t="s">
        <v>2183</v>
      </c>
      <c r="D2311" s="115">
        <v>5582860407</v>
      </c>
      <c r="E2311" s="115">
        <v>304522</v>
      </c>
      <c r="F2311" s="116">
        <v>2955</v>
      </c>
      <c r="G2311" s="117">
        <v>46167</v>
      </c>
    </row>
    <row r="2312" spans="1:7" hidden="1" x14ac:dyDescent="0.3">
      <c r="A2312" s="44" t="s">
        <v>955</v>
      </c>
      <c r="B2312" s="44" t="s">
        <v>2184</v>
      </c>
      <c r="C2312" s="44" t="s">
        <v>2185</v>
      </c>
      <c r="D2312" s="44">
        <v>5569318105</v>
      </c>
      <c r="E2312" s="44">
        <v>304766</v>
      </c>
      <c r="F2312" s="87">
        <v>2064</v>
      </c>
      <c r="G2312" s="46">
        <v>46167</v>
      </c>
    </row>
    <row r="2313" spans="1:7" s="115" customFormat="1" hidden="1" x14ac:dyDescent="0.3">
      <c r="A2313" s="115" t="s">
        <v>955</v>
      </c>
      <c r="B2313" s="115" t="s">
        <v>2184</v>
      </c>
      <c r="C2313" s="115" t="s">
        <v>2185</v>
      </c>
      <c r="D2313" s="115">
        <v>5569318105</v>
      </c>
      <c r="E2313" s="115">
        <v>304043</v>
      </c>
      <c r="F2313" s="116">
        <v>4999</v>
      </c>
      <c r="G2313" s="117">
        <v>46167</v>
      </c>
    </row>
    <row r="2314" spans="1:7" hidden="1" x14ac:dyDescent="0.3">
      <c r="A2314" s="44" t="s">
        <v>955</v>
      </c>
      <c r="B2314" s="44" t="s">
        <v>2184</v>
      </c>
      <c r="C2314" s="44" t="s">
        <v>2185</v>
      </c>
      <c r="D2314" s="44">
        <v>5569318105</v>
      </c>
      <c r="E2314" s="44">
        <v>304304</v>
      </c>
      <c r="F2314" s="87">
        <v>10491</v>
      </c>
      <c r="G2314" s="46">
        <v>46167</v>
      </c>
    </row>
    <row r="2315" spans="1:7" s="115" customFormat="1" hidden="1" x14ac:dyDescent="0.3">
      <c r="A2315" s="115" t="s">
        <v>955</v>
      </c>
      <c r="B2315" s="115" t="s">
        <v>2184</v>
      </c>
      <c r="C2315" s="115" t="s">
        <v>2185</v>
      </c>
      <c r="D2315" s="115">
        <v>5569318105</v>
      </c>
      <c r="E2315" s="115">
        <v>304400</v>
      </c>
      <c r="F2315" s="116">
        <v>1998</v>
      </c>
      <c r="G2315" s="117">
        <v>46167</v>
      </c>
    </row>
    <row r="2316" spans="1:7" hidden="1" x14ac:dyDescent="0.3">
      <c r="A2316" s="44" t="s">
        <v>955</v>
      </c>
      <c r="B2316" s="44" t="s">
        <v>2184</v>
      </c>
      <c r="C2316" s="44" t="s">
        <v>2185</v>
      </c>
      <c r="D2316" s="44">
        <v>5569318105</v>
      </c>
      <c r="E2316" s="44">
        <v>304543</v>
      </c>
      <c r="F2316" s="87">
        <v>680</v>
      </c>
      <c r="G2316" s="46">
        <v>46167</v>
      </c>
    </row>
    <row r="2317" spans="1:7" s="115" customFormat="1" hidden="1" x14ac:dyDescent="0.3">
      <c r="A2317" s="115" t="s">
        <v>955</v>
      </c>
      <c r="B2317" s="115" t="s">
        <v>249</v>
      </c>
      <c r="C2317" s="115" t="s">
        <v>393</v>
      </c>
      <c r="D2317" s="115">
        <v>5535334019</v>
      </c>
      <c r="E2317" s="115">
        <v>357381</v>
      </c>
      <c r="F2317" s="116">
        <v>595</v>
      </c>
      <c r="G2317" s="117">
        <v>46167</v>
      </c>
    </row>
    <row r="2318" spans="1:7" hidden="1" x14ac:dyDescent="0.3">
      <c r="A2318" s="44" t="s">
        <v>955</v>
      </c>
      <c r="B2318" s="44" t="s">
        <v>249</v>
      </c>
      <c r="C2318" s="44" t="s">
        <v>393</v>
      </c>
      <c r="D2318" s="44">
        <v>5535334019</v>
      </c>
      <c r="E2318" s="44">
        <v>193809</v>
      </c>
      <c r="F2318" s="87">
        <v>12001</v>
      </c>
      <c r="G2318" s="46">
        <v>46167</v>
      </c>
    </row>
    <row r="2319" spans="1:7" s="115" customFormat="1" hidden="1" x14ac:dyDescent="0.3">
      <c r="A2319" s="115" t="s">
        <v>955</v>
      </c>
      <c r="B2319" s="115" t="s">
        <v>2091</v>
      </c>
      <c r="C2319" s="115" t="s">
        <v>58</v>
      </c>
      <c r="D2319" s="115">
        <v>5523769704</v>
      </c>
      <c r="E2319" s="115">
        <v>304452</v>
      </c>
      <c r="F2319" s="116">
        <v>1984</v>
      </c>
      <c r="G2319" s="117">
        <v>46167</v>
      </c>
    </row>
    <row r="2320" spans="1:7" hidden="1" x14ac:dyDescent="0.3">
      <c r="A2320" s="44" t="s">
        <v>955</v>
      </c>
      <c r="B2320" s="44" t="s">
        <v>2091</v>
      </c>
      <c r="C2320" s="44" t="s">
        <v>58</v>
      </c>
      <c r="D2320" s="44">
        <v>5523769704</v>
      </c>
      <c r="E2320" s="44">
        <v>304451</v>
      </c>
      <c r="F2320" s="87">
        <v>4321</v>
      </c>
      <c r="G2320" s="46">
        <v>46167</v>
      </c>
    </row>
    <row r="2321" spans="1:7" s="42" customFormat="1" hidden="1" x14ac:dyDescent="0.3">
      <c r="A2321" s="42" t="s">
        <v>2141</v>
      </c>
      <c r="B2321" s="42" t="s">
        <v>958</v>
      </c>
      <c r="C2321" s="42" t="s">
        <v>152</v>
      </c>
      <c r="D2321" s="42">
        <v>5515072209</v>
      </c>
      <c r="E2321" s="42">
        <v>357286</v>
      </c>
      <c r="F2321" s="86">
        <v>1594</v>
      </c>
      <c r="G2321" s="43">
        <v>46168</v>
      </c>
    </row>
    <row r="2322" spans="1:7" hidden="1" x14ac:dyDescent="0.3">
      <c r="A2322" s="44" t="s">
        <v>2141</v>
      </c>
      <c r="B2322" s="44" t="s">
        <v>958</v>
      </c>
      <c r="C2322" s="44" t="s">
        <v>152</v>
      </c>
      <c r="D2322" s="44">
        <v>5515072209</v>
      </c>
      <c r="E2322" s="44">
        <v>357284</v>
      </c>
      <c r="F2322" s="87">
        <v>2347</v>
      </c>
      <c r="G2322" s="46">
        <v>46168</v>
      </c>
    </row>
    <row r="2323" spans="1:7" s="42" customFormat="1" hidden="1" x14ac:dyDescent="0.3">
      <c r="A2323" s="42" t="s">
        <v>2141</v>
      </c>
      <c r="B2323" s="42" t="s">
        <v>2186</v>
      </c>
      <c r="C2323" s="42" t="s">
        <v>2187</v>
      </c>
      <c r="D2323" s="42">
        <v>5520457110</v>
      </c>
      <c r="E2323" s="42">
        <v>357223</v>
      </c>
      <c r="F2323" s="86">
        <v>3055</v>
      </c>
      <c r="G2323" s="43">
        <v>46168</v>
      </c>
    </row>
    <row r="2324" spans="1:7" hidden="1" x14ac:dyDescent="0.3">
      <c r="A2324" s="44" t="s">
        <v>2141</v>
      </c>
      <c r="B2324" s="44" t="s">
        <v>1376</v>
      </c>
      <c r="C2324" s="44" t="s">
        <v>474</v>
      </c>
      <c r="D2324" s="44">
        <v>5527372432</v>
      </c>
      <c r="E2324" s="44">
        <v>304479</v>
      </c>
      <c r="F2324" s="85">
        <v>14751</v>
      </c>
      <c r="G2324" s="46">
        <v>46168</v>
      </c>
    </row>
    <row r="2325" spans="1:7" s="42" customFormat="1" hidden="1" x14ac:dyDescent="0.3">
      <c r="A2325" s="42" t="s">
        <v>890</v>
      </c>
      <c r="B2325" s="42" t="s">
        <v>1937</v>
      </c>
      <c r="C2325" s="42" t="s">
        <v>1938</v>
      </c>
      <c r="D2325" s="42">
        <v>5515369770</v>
      </c>
      <c r="E2325" s="42">
        <v>357003</v>
      </c>
      <c r="F2325" s="86">
        <v>10000</v>
      </c>
      <c r="G2325" s="43">
        <v>46168</v>
      </c>
    </row>
    <row r="2326" spans="1:7" hidden="1" x14ac:dyDescent="0.3">
      <c r="A2326" s="44" t="s">
        <v>890</v>
      </c>
      <c r="B2326" s="44" t="s">
        <v>432</v>
      </c>
      <c r="C2326" s="44" t="s">
        <v>82</v>
      </c>
      <c r="D2326" s="44">
        <v>5514639380</v>
      </c>
      <c r="E2326" s="44">
        <v>194642</v>
      </c>
      <c r="F2326" s="85">
        <v>7287</v>
      </c>
      <c r="G2326" s="46">
        <v>46168</v>
      </c>
    </row>
    <row r="2327" spans="1:7" s="42" customFormat="1" hidden="1" x14ac:dyDescent="0.3">
      <c r="A2327" s="42" t="s">
        <v>890</v>
      </c>
      <c r="B2327" s="42" t="s">
        <v>2188</v>
      </c>
      <c r="C2327" s="42" t="s">
        <v>285</v>
      </c>
      <c r="D2327" s="42">
        <v>5573263874</v>
      </c>
      <c r="E2327" s="42">
        <v>195152</v>
      </c>
      <c r="F2327" s="86">
        <v>1305</v>
      </c>
      <c r="G2327" s="43">
        <v>46168</v>
      </c>
    </row>
    <row r="2328" spans="1:7" hidden="1" x14ac:dyDescent="0.3">
      <c r="A2328" s="44" t="s">
        <v>890</v>
      </c>
      <c r="B2328" s="44" t="s">
        <v>146</v>
      </c>
      <c r="C2328" s="44" t="s">
        <v>32</v>
      </c>
      <c r="D2328" s="44">
        <v>5548294247</v>
      </c>
      <c r="E2328" s="44">
        <v>195441</v>
      </c>
      <c r="F2328" s="85">
        <v>117</v>
      </c>
      <c r="G2328" s="46">
        <v>46168</v>
      </c>
    </row>
    <row r="2329" spans="1:7" s="42" customFormat="1" hidden="1" x14ac:dyDescent="0.3">
      <c r="A2329" s="42" t="s">
        <v>890</v>
      </c>
      <c r="B2329" s="42" t="s">
        <v>516</v>
      </c>
      <c r="C2329" s="42" t="s">
        <v>16</v>
      </c>
      <c r="D2329" s="42">
        <v>5514614910</v>
      </c>
      <c r="E2329" s="42">
        <v>194449</v>
      </c>
      <c r="F2329" s="86">
        <v>15564</v>
      </c>
      <c r="G2329" s="43">
        <v>46168</v>
      </c>
    </row>
    <row r="2330" spans="1:7" hidden="1" x14ac:dyDescent="0.3">
      <c r="A2330" s="44" t="s">
        <v>890</v>
      </c>
      <c r="B2330" s="44" t="s">
        <v>516</v>
      </c>
      <c r="C2330" s="44" t="s">
        <v>16</v>
      </c>
      <c r="D2330" s="44">
        <v>5514614910</v>
      </c>
      <c r="E2330" s="44">
        <v>194446</v>
      </c>
      <c r="F2330" s="85">
        <v>11628</v>
      </c>
      <c r="G2330" s="46">
        <v>46168</v>
      </c>
    </row>
    <row r="2331" spans="1:7" s="42" customFormat="1" hidden="1" x14ac:dyDescent="0.3">
      <c r="A2331" s="42" t="s">
        <v>955</v>
      </c>
      <c r="B2331" s="42" t="s">
        <v>2177</v>
      </c>
      <c r="C2331" s="42" t="s">
        <v>1893</v>
      </c>
      <c r="D2331" s="42">
        <v>5555057914</v>
      </c>
      <c r="E2331" s="42">
        <v>194999</v>
      </c>
      <c r="F2331" s="86">
        <v>9204</v>
      </c>
      <c r="G2331" s="43">
        <v>46168</v>
      </c>
    </row>
    <row r="2332" spans="1:7" hidden="1" x14ac:dyDescent="0.3">
      <c r="A2332" s="44" t="s">
        <v>955</v>
      </c>
      <c r="B2332" s="44" t="s">
        <v>2189</v>
      </c>
      <c r="C2332" s="44" t="s">
        <v>2096</v>
      </c>
      <c r="D2332" s="44">
        <v>5540305931</v>
      </c>
      <c r="E2332" s="44">
        <v>304547</v>
      </c>
      <c r="F2332" s="85">
        <v>29064</v>
      </c>
      <c r="G2332" s="46">
        <v>46168</v>
      </c>
    </row>
    <row r="2333" spans="1:7" s="42" customFormat="1" hidden="1" x14ac:dyDescent="0.3">
      <c r="A2333" s="42" t="s">
        <v>955</v>
      </c>
      <c r="B2333" s="42" t="s">
        <v>2189</v>
      </c>
      <c r="C2333" s="42" t="s">
        <v>2096</v>
      </c>
      <c r="D2333" s="42">
        <v>5540305931</v>
      </c>
      <c r="E2333" s="42">
        <v>304548</v>
      </c>
      <c r="F2333" s="86">
        <v>947</v>
      </c>
      <c r="G2333" s="43">
        <v>46168</v>
      </c>
    </row>
    <row r="2334" spans="1:7" hidden="1" x14ac:dyDescent="0.3">
      <c r="A2334" s="44" t="s">
        <v>11</v>
      </c>
      <c r="B2334" s="44" t="s">
        <v>1854</v>
      </c>
      <c r="C2334" s="44" t="s">
        <v>2190</v>
      </c>
      <c r="D2334" s="44">
        <v>5525582081</v>
      </c>
      <c r="E2334" s="44">
        <v>357657</v>
      </c>
      <c r="F2334" s="87">
        <v>3204</v>
      </c>
      <c r="G2334" s="46">
        <v>46168</v>
      </c>
    </row>
    <row r="2335" spans="1:7" s="42" customFormat="1" hidden="1" x14ac:dyDescent="0.3">
      <c r="A2335" s="42" t="s">
        <v>11</v>
      </c>
      <c r="B2335" s="42" t="s">
        <v>2180</v>
      </c>
      <c r="C2335" s="42" t="s">
        <v>1902</v>
      </c>
      <c r="D2335" s="42">
        <v>5514851554</v>
      </c>
      <c r="E2335" s="42">
        <v>194805</v>
      </c>
      <c r="F2335" s="86">
        <v>2195</v>
      </c>
      <c r="G2335" s="43">
        <v>46168</v>
      </c>
    </row>
    <row r="2336" spans="1:7" hidden="1" x14ac:dyDescent="0.3">
      <c r="A2336" s="44" t="s">
        <v>11</v>
      </c>
      <c r="B2336" s="44" t="s">
        <v>2180</v>
      </c>
      <c r="C2336" s="44" t="s">
        <v>1902</v>
      </c>
      <c r="D2336" s="44">
        <v>5514851554</v>
      </c>
      <c r="E2336" s="44">
        <v>194806</v>
      </c>
      <c r="F2336" s="87">
        <v>5845</v>
      </c>
      <c r="G2336" s="46">
        <v>46168</v>
      </c>
    </row>
    <row r="2337" spans="1:11" s="42" customFormat="1" x14ac:dyDescent="0.3">
      <c r="A2337" s="42" t="s">
        <v>11</v>
      </c>
      <c r="B2337" s="42" t="s">
        <v>528</v>
      </c>
      <c r="C2337" s="42" t="s">
        <v>2191</v>
      </c>
      <c r="D2337" s="42">
        <v>5551905191</v>
      </c>
      <c r="E2337" s="42">
        <v>303874</v>
      </c>
      <c r="F2337" s="86">
        <v>32267</v>
      </c>
      <c r="G2337" s="43">
        <v>46168</v>
      </c>
    </row>
    <row r="2338" spans="1:11" hidden="1" x14ac:dyDescent="0.3">
      <c r="A2338" s="44" t="s">
        <v>11</v>
      </c>
      <c r="B2338" s="44" t="s">
        <v>2192</v>
      </c>
      <c r="C2338" s="44" t="s">
        <v>383</v>
      </c>
      <c r="D2338" s="44">
        <v>5611765145</v>
      </c>
      <c r="E2338" s="44">
        <v>304959</v>
      </c>
      <c r="F2338" s="87">
        <v>1116</v>
      </c>
      <c r="G2338" s="46">
        <v>46168</v>
      </c>
    </row>
    <row r="2339" spans="1:11" s="42" customFormat="1" hidden="1" x14ac:dyDescent="0.3">
      <c r="A2339" s="42" t="s">
        <v>11</v>
      </c>
      <c r="B2339" s="42" t="s">
        <v>2192</v>
      </c>
      <c r="C2339" s="42" t="s">
        <v>383</v>
      </c>
      <c r="D2339" s="42">
        <v>5611765145</v>
      </c>
      <c r="E2339" s="42">
        <v>304985</v>
      </c>
      <c r="F2339" s="86">
        <v>15527</v>
      </c>
      <c r="G2339" s="43">
        <v>46168</v>
      </c>
      <c r="H2339" s="42" t="s">
        <v>2112</v>
      </c>
    </row>
    <row r="2340" spans="1:11" hidden="1" x14ac:dyDescent="0.3">
      <c r="A2340" s="44" t="s">
        <v>955</v>
      </c>
      <c r="B2340" s="44" t="s">
        <v>2193</v>
      </c>
      <c r="C2340" s="44" t="s">
        <v>2194</v>
      </c>
      <c r="D2340" s="44">
        <v>5548617128</v>
      </c>
      <c r="E2340" s="44">
        <v>357693</v>
      </c>
      <c r="F2340" s="87">
        <v>6401</v>
      </c>
      <c r="G2340" s="46">
        <v>46169</v>
      </c>
    </row>
    <row r="2341" spans="1:11" s="109" customFormat="1" hidden="1" x14ac:dyDescent="0.3">
      <c r="A2341" s="109" t="s">
        <v>955</v>
      </c>
      <c r="B2341" s="109" t="s">
        <v>2195</v>
      </c>
      <c r="C2341" s="109" t="s">
        <v>1860</v>
      </c>
      <c r="D2341" s="109">
        <v>5516860073</v>
      </c>
      <c r="E2341" s="109">
        <v>304842</v>
      </c>
      <c r="F2341" s="110">
        <v>9900</v>
      </c>
      <c r="G2341" s="111">
        <v>46169</v>
      </c>
      <c r="H2341" s="109">
        <v>5530291505</v>
      </c>
    </row>
    <row r="2342" spans="1:11" hidden="1" x14ac:dyDescent="0.3">
      <c r="A2342" s="44" t="s">
        <v>955</v>
      </c>
      <c r="B2342" s="44" t="s">
        <v>964</v>
      </c>
      <c r="C2342" s="44" t="s">
        <v>2196</v>
      </c>
      <c r="D2342" s="44">
        <v>2206119277</v>
      </c>
      <c r="E2342" s="44">
        <v>304561</v>
      </c>
      <c r="F2342" s="87">
        <v>1963</v>
      </c>
      <c r="G2342" s="46">
        <v>46169</v>
      </c>
    </row>
    <row r="2343" spans="1:11" s="109" customFormat="1" hidden="1" x14ac:dyDescent="0.3">
      <c r="A2343" s="109" t="s">
        <v>890</v>
      </c>
      <c r="B2343" s="109" t="s">
        <v>2197</v>
      </c>
      <c r="C2343" s="109" t="s">
        <v>2198</v>
      </c>
      <c r="D2343" s="109">
        <v>5525635631</v>
      </c>
      <c r="E2343" s="109">
        <v>357683</v>
      </c>
      <c r="F2343" s="110">
        <v>2600</v>
      </c>
      <c r="G2343" s="111">
        <v>46169</v>
      </c>
      <c r="H2343" s="109">
        <v>5519637053</v>
      </c>
    </row>
    <row r="2344" spans="1:11" hidden="1" x14ac:dyDescent="0.3">
      <c r="A2344" s="44" t="s">
        <v>890</v>
      </c>
      <c r="B2344" s="44" t="s">
        <v>539</v>
      </c>
      <c r="C2344" s="44" t="s">
        <v>540</v>
      </c>
      <c r="D2344" s="44">
        <v>5561088792</v>
      </c>
      <c r="E2344" s="44">
        <v>357491</v>
      </c>
      <c r="F2344" s="87">
        <v>4677</v>
      </c>
      <c r="G2344" s="46">
        <v>46169</v>
      </c>
    </row>
    <row r="2345" spans="1:11" s="109" customFormat="1" hidden="1" x14ac:dyDescent="0.3">
      <c r="A2345" s="109" t="s">
        <v>890</v>
      </c>
      <c r="B2345" s="109" t="s">
        <v>2199</v>
      </c>
      <c r="C2345" s="109" t="s">
        <v>2211</v>
      </c>
      <c r="D2345" s="109">
        <v>5523892142</v>
      </c>
      <c r="E2345" s="109">
        <v>194962</v>
      </c>
      <c r="F2345" s="110">
        <v>13443</v>
      </c>
      <c r="G2345" s="111">
        <v>46169</v>
      </c>
    </row>
    <row r="2346" spans="1:11" hidden="1" x14ac:dyDescent="0.3">
      <c r="A2346" s="44" t="s">
        <v>890</v>
      </c>
      <c r="B2346" s="44" t="s">
        <v>1822</v>
      </c>
      <c r="C2346" s="44" t="s">
        <v>2114</v>
      </c>
      <c r="D2346" s="44">
        <v>5610944519</v>
      </c>
      <c r="E2346" s="44">
        <v>195150</v>
      </c>
      <c r="F2346" s="87">
        <v>3278</v>
      </c>
      <c r="G2346" s="46">
        <v>46169</v>
      </c>
    </row>
    <row r="2347" spans="1:11" s="109" customFormat="1" hidden="1" x14ac:dyDescent="0.3">
      <c r="A2347" s="109" t="s">
        <v>10</v>
      </c>
      <c r="B2347" s="109" t="s">
        <v>2200</v>
      </c>
      <c r="C2347" s="109" t="s">
        <v>2201</v>
      </c>
      <c r="D2347" s="109">
        <v>5522494839</v>
      </c>
      <c r="E2347" s="109">
        <v>191756</v>
      </c>
      <c r="F2347" s="110">
        <v>11386</v>
      </c>
      <c r="G2347" s="111">
        <v>46169</v>
      </c>
      <c r="H2347" s="109">
        <v>5550974039</v>
      </c>
      <c r="I2347" s="109" t="s">
        <v>2202</v>
      </c>
      <c r="K2347" s="109" t="s">
        <v>2203</v>
      </c>
    </row>
    <row r="2348" spans="1:11" hidden="1" x14ac:dyDescent="0.3">
      <c r="A2348" s="44" t="s">
        <v>10</v>
      </c>
      <c r="B2348" s="44" t="s">
        <v>2204</v>
      </c>
      <c r="C2348" s="44" t="s">
        <v>2212</v>
      </c>
      <c r="D2348" s="44">
        <v>5610954082</v>
      </c>
      <c r="E2348" s="44">
        <v>304939</v>
      </c>
      <c r="F2348" s="87">
        <v>11848</v>
      </c>
      <c r="G2348" s="46">
        <v>46169</v>
      </c>
    </row>
    <row r="2349" spans="1:11" s="109" customFormat="1" hidden="1" x14ac:dyDescent="0.3">
      <c r="A2349" s="109" t="s">
        <v>10</v>
      </c>
      <c r="B2349" s="111" t="s">
        <v>2205</v>
      </c>
      <c r="C2349" s="109" t="s">
        <v>1968</v>
      </c>
      <c r="D2349" s="109">
        <v>5564812484</v>
      </c>
      <c r="E2349" s="109">
        <v>305081</v>
      </c>
      <c r="F2349" s="110">
        <v>3420</v>
      </c>
      <c r="G2349" s="111">
        <v>46169</v>
      </c>
    </row>
    <row r="2350" spans="1:11" hidden="1" x14ac:dyDescent="0.3">
      <c r="A2350" s="44" t="s">
        <v>10</v>
      </c>
      <c r="B2350" s="44" t="s">
        <v>2206</v>
      </c>
      <c r="C2350" s="44" t="s">
        <v>2129</v>
      </c>
      <c r="D2350" s="44">
        <v>5514795402</v>
      </c>
      <c r="E2350" s="44">
        <v>357659</v>
      </c>
      <c r="F2350" s="87">
        <v>1614</v>
      </c>
      <c r="G2350" s="46">
        <v>46169</v>
      </c>
    </row>
    <row r="2351" spans="1:11" s="109" customFormat="1" hidden="1" x14ac:dyDescent="0.3">
      <c r="A2351" s="109" t="s">
        <v>10</v>
      </c>
      <c r="B2351" s="109" t="s">
        <v>2207</v>
      </c>
      <c r="C2351" s="109" t="s">
        <v>2126</v>
      </c>
      <c r="D2351" s="109">
        <v>5611893754</v>
      </c>
      <c r="E2351" s="109">
        <v>357534</v>
      </c>
      <c r="F2351" s="110">
        <v>869</v>
      </c>
      <c r="G2351" s="111">
        <v>46169</v>
      </c>
    </row>
    <row r="2352" spans="1:11" hidden="1" x14ac:dyDescent="0.3">
      <c r="A2352" s="44" t="s">
        <v>11</v>
      </c>
      <c r="B2352" s="44" t="s">
        <v>516</v>
      </c>
      <c r="C2352" s="44" t="s">
        <v>16</v>
      </c>
      <c r="D2352" s="44">
        <v>5514614910</v>
      </c>
      <c r="E2352" s="44">
        <v>357250</v>
      </c>
      <c r="F2352" s="87">
        <v>2847</v>
      </c>
      <c r="G2352" s="46">
        <v>46169</v>
      </c>
    </row>
    <row r="2353" spans="1:8" s="109" customFormat="1" hidden="1" x14ac:dyDescent="0.3">
      <c r="A2353" s="109" t="s">
        <v>11</v>
      </c>
      <c r="B2353" s="109" t="s">
        <v>2208</v>
      </c>
      <c r="C2353" s="109" t="s">
        <v>2209</v>
      </c>
      <c r="D2353" s="109">
        <v>5546469991</v>
      </c>
      <c r="E2353" s="109">
        <v>357296</v>
      </c>
      <c r="F2353" s="110">
        <v>12026</v>
      </c>
      <c r="G2353" s="111">
        <v>46169</v>
      </c>
    </row>
    <row r="2354" spans="1:8" hidden="1" x14ac:dyDescent="0.3">
      <c r="A2354" s="44" t="s">
        <v>11</v>
      </c>
      <c r="B2354" s="44" t="s">
        <v>2210</v>
      </c>
      <c r="C2354" s="44" t="s">
        <v>1953</v>
      </c>
      <c r="D2354" s="44">
        <v>5582860407</v>
      </c>
      <c r="E2354" s="44">
        <v>304288</v>
      </c>
      <c r="F2354" s="85">
        <v>2759</v>
      </c>
      <c r="G2354" s="46">
        <v>46169</v>
      </c>
    </row>
    <row r="2355" spans="1:8" s="109" customFormat="1" hidden="1" x14ac:dyDescent="0.3">
      <c r="A2355" s="109" t="s">
        <v>11</v>
      </c>
      <c r="B2355" s="109" t="s">
        <v>2210</v>
      </c>
      <c r="C2355" s="109" t="s">
        <v>1953</v>
      </c>
      <c r="D2355" s="109">
        <v>5582860407</v>
      </c>
      <c r="E2355" s="109">
        <v>304287</v>
      </c>
      <c r="F2355" s="110">
        <v>4376</v>
      </c>
      <c r="G2355" s="111">
        <v>46169</v>
      </c>
    </row>
    <row r="2356" spans="1:8" hidden="1" x14ac:dyDescent="0.3">
      <c r="A2356" s="44" t="s">
        <v>890</v>
      </c>
      <c r="B2356" s="44" t="s">
        <v>2213</v>
      </c>
      <c r="C2356" s="44" t="s">
        <v>2084</v>
      </c>
      <c r="D2356" s="44">
        <v>5584978785</v>
      </c>
      <c r="E2356" s="44">
        <v>304796</v>
      </c>
      <c r="F2356" s="87">
        <v>4325</v>
      </c>
      <c r="G2356" s="46">
        <v>46170</v>
      </c>
    </row>
    <row r="2357" spans="1:8" s="48" customFormat="1" hidden="1" x14ac:dyDescent="0.3">
      <c r="A2357" s="48" t="s">
        <v>890</v>
      </c>
      <c r="B2357" s="48" t="s">
        <v>1859</v>
      </c>
      <c r="C2357" s="48" t="s">
        <v>1860</v>
      </c>
      <c r="D2357" s="48">
        <v>5510175866</v>
      </c>
      <c r="E2357" s="48">
        <v>195224</v>
      </c>
      <c r="F2357" s="88">
        <v>1678</v>
      </c>
      <c r="G2357" s="50">
        <v>46170</v>
      </c>
    </row>
    <row r="2358" spans="1:8" hidden="1" x14ac:dyDescent="0.3">
      <c r="A2358" s="44" t="s">
        <v>890</v>
      </c>
      <c r="B2358" s="44" t="s">
        <v>2214</v>
      </c>
      <c r="C2358" s="44" t="s">
        <v>2084</v>
      </c>
      <c r="D2358" s="44">
        <v>5620030826</v>
      </c>
      <c r="E2358" s="44">
        <v>305163</v>
      </c>
      <c r="F2358" s="87">
        <v>1950</v>
      </c>
      <c r="G2358" s="46">
        <v>46170</v>
      </c>
    </row>
    <row r="2359" spans="1:8" s="48" customFormat="1" hidden="1" x14ac:dyDescent="0.3">
      <c r="A2359" s="48" t="s">
        <v>890</v>
      </c>
      <c r="B2359" s="48" t="s">
        <v>2215</v>
      </c>
      <c r="C2359" s="48" t="s">
        <v>2216</v>
      </c>
      <c r="D2359" s="48">
        <v>5554599258</v>
      </c>
      <c r="E2359" s="48">
        <v>195689</v>
      </c>
      <c r="F2359" s="88">
        <v>13415</v>
      </c>
      <c r="G2359" s="50">
        <v>46170</v>
      </c>
    </row>
    <row r="2360" spans="1:8" hidden="1" x14ac:dyDescent="0.3">
      <c r="A2360" s="44" t="s">
        <v>890</v>
      </c>
      <c r="B2360" s="44" t="s">
        <v>2295</v>
      </c>
      <c r="C2360" s="44" t="s">
        <v>2187</v>
      </c>
      <c r="D2360" s="44">
        <v>5570826626</v>
      </c>
      <c r="E2360" s="44">
        <v>304530</v>
      </c>
      <c r="F2360" s="85">
        <v>7138</v>
      </c>
      <c r="G2360" s="46">
        <v>46170</v>
      </c>
    </row>
    <row r="2361" spans="1:8" s="48" customFormat="1" hidden="1" x14ac:dyDescent="0.3">
      <c r="A2361" s="48" t="s">
        <v>264</v>
      </c>
      <c r="B2361" s="48" t="s">
        <v>998</v>
      </c>
      <c r="C2361" s="48" t="s">
        <v>1885</v>
      </c>
      <c r="D2361" s="48">
        <v>5518666206</v>
      </c>
      <c r="E2361" s="48">
        <v>356864</v>
      </c>
      <c r="F2361" s="88">
        <v>21451</v>
      </c>
      <c r="G2361" s="50">
        <v>46170</v>
      </c>
    </row>
    <row r="2362" spans="1:8" hidden="1" x14ac:dyDescent="0.3">
      <c r="A2362" s="44" t="s">
        <v>10</v>
      </c>
      <c r="B2362" s="44" t="s">
        <v>2217</v>
      </c>
      <c r="C2362" s="44" t="s">
        <v>763</v>
      </c>
      <c r="D2362" s="44">
        <v>5549265025</v>
      </c>
      <c r="E2362" s="44">
        <v>357532</v>
      </c>
      <c r="F2362" s="87">
        <v>1718</v>
      </c>
      <c r="G2362" s="46">
        <v>46170</v>
      </c>
    </row>
    <row r="2363" spans="1:8" s="48" customFormat="1" hidden="1" x14ac:dyDescent="0.3">
      <c r="A2363" s="48" t="s">
        <v>10</v>
      </c>
      <c r="B2363" s="48" t="s">
        <v>2218</v>
      </c>
      <c r="C2363" s="48" t="s">
        <v>2220</v>
      </c>
      <c r="D2363" s="48">
        <v>5516790525</v>
      </c>
      <c r="E2363" s="48">
        <v>357459</v>
      </c>
      <c r="F2363" s="88">
        <v>835</v>
      </c>
      <c r="G2363" s="50">
        <v>46170</v>
      </c>
    </row>
    <row r="2364" spans="1:8" hidden="1" x14ac:dyDescent="0.3">
      <c r="A2364" s="44" t="s">
        <v>10</v>
      </c>
      <c r="B2364" s="44" t="s">
        <v>2219</v>
      </c>
      <c r="C2364" s="44" t="s">
        <v>2028</v>
      </c>
      <c r="D2364" s="44">
        <v>5628251365</v>
      </c>
      <c r="E2364" s="44">
        <v>357505</v>
      </c>
      <c r="F2364" s="87">
        <v>147</v>
      </c>
      <c r="G2364" s="46">
        <v>46170</v>
      </c>
    </row>
    <row r="2365" spans="1:8" s="48" customFormat="1" hidden="1" x14ac:dyDescent="0.3">
      <c r="A2365" s="48" t="s">
        <v>10</v>
      </c>
      <c r="B2365" s="48" t="s">
        <v>2221</v>
      </c>
      <c r="C2365" s="48" t="s">
        <v>2222</v>
      </c>
      <c r="D2365" s="48">
        <v>5540441051</v>
      </c>
      <c r="E2365" s="48">
        <v>195259</v>
      </c>
      <c r="F2365" s="88">
        <v>3610</v>
      </c>
      <c r="G2365" s="50">
        <v>46170</v>
      </c>
    </row>
    <row r="2366" spans="1:8" hidden="1" x14ac:dyDescent="0.3">
      <c r="A2366" s="44" t="s">
        <v>10</v>
      </c>
      <c r="B2366" s="44" t="s">
        <v>2221</v>
      </c>
      <c r="C2366" s="44" t="s">
        <v>2222</v>
      </c>
      <c r="D2366" s="44">
        <v>5540441051</v>
      </c>
      <c r="E2366" s="44">
        <v>195258</v>
      </c>
      <c r="F2366" s="87">
        <v>1108</v>
      </c>
      <c r="G2366" s="46">
        <v>46170</v>
      </c>
      <c r="H2366" s="44" t="s">
        <v>2112</v>
      </c>
    </row>
    <row r="2367" spans="1:8" s="48" customFormat="1" hidden="1" x14ac:dyDescent="0.3">
      <c r="A2367" s="48" t="s">
        <v>10</v>
      </c>
      <c r="B2367" s="48" t="s">
        <v>2225</v>
      </c>
      <c r="C2367" s="48" t="s">
        <v>1318</v>
      </c>
      <c r="D2367" s="48">
        <v>5648823358</v>
      </c>
      <c r="E2367" s="48">
        <v>34942</v>
      </c>
      <c r="F2367" s="88">
        <v>432</v>
      </c>
      <c r="G2367" s="50">
        <v>46170</v>
      </c>
      <c r="H2367" s="48" t="s">
        <v>2226</v>
      </c>
    </row>
    <row r="2368" spans="1:8" hidden="1" x14ac:dyDescent="0.3">
      <c r="A2368" s="44" t="s">
        <v>10</v>
      </c>
      <c r="B2368" s="44" t="s">
        <v>2225</v>
      </c>
      <c r="C2368" s="44" t="s">
        <v>1318</v>
      </c>
      <c r="D2368" s="44">
        <v>5648823358</v>
      </c>
      <c r="E2368" s="44">
        <v>34941</v>
      </c>
      <c r="F2368" s="87">
        <v>1690</v>
      </c>
      <c r="G2368" s="46">
        <v>46170</v>
      </c>
      <c r="H2368" s="44" t="s">
        <v>2227</v>
      </c>
    </row>
    <row r="2369" spans="1:9" s="48" customFormat="1" hidden="1" x14ac:dyDescent="0.3">
      <c r="A2369" s="48" t="s">
        <v>10</v>
      </c>
      <c r="B2369" s="48" t="s">
        <v>2230</v>
      </c>
      <c r="C2369" s="48" t="s">
        <v>2129</v>
      </c>
      <c r="D2369" s="48">
        <v>5538031285</v>
      </c>
      <c r="E2369" s="48">
        <v>357224</v>
      </c>
      <c r="F2369" s="88">
        <v>14024</v>
      </c>
      <c r="G2369" s="50">
        <v>46170</v>
      </c>
    </row>
    <row r="2370" spans="1:9" hidden="1" x14ac:dyDescent="0.3">
      <c r="A2370" s="44" t="s">
        <v>10</v>
      </c>
      <c r="B2370" s="44" t="s">
        <v>1308</v>
      </c>
      <c r="C2370" s="44" t="s">
        <v>1309</v>
      </c>
      <c r="D2370" s="44">
        <v>5628031904</v>
      </c>
      <c r="E2370" s="44">
        <v>195517</v>
      </c>
      <c r="F2370" s="87">
        <v>2334</v>
      </c>
      <c r="G2370" s="46">
        <v>46170</v>
      </c>
    </row>
    <row r="2371" spans="1:9" s="48" customFormat="1" hidden="1" x14ac:dyDescent="0.3">
      <c r="A2371" s="48" t="s">
        <v>10</v>
      </c>
      <c r="B2371" s="48" t="s">
        <v>2228</v>
      </c>
      <c r="C2371" s="48" t="s">
        <v>2229</v>
      </c>
      <c r="D2371" s="48">
        <v>5539365121</v>
      </c>
      <c r="E2371" s="48">
        <v>195728</v>
      </c>
      <c r="F2371" s="107">
        <v>5350</v>
      </c>
      <c r="G2371" s="50">
        <v>46170</v>
      </c>
    </row>
    <row r="2372" spans="1:9" hidden="1" x14ac:dyDescent="0.3">
      <c r="A2372" s="44" t="s">
        <v>955</v>
      </c>
      <c r="B2372" s="44" t="s">
        <v>1091</v>
      </c>
      <c r="C2372" s="44" t="s">
        <v>41</v>
      </c>
      <c r="D2372" s="44">
        <v>5527288634</v>
      </c>
      <c r="E2372" s="44">
        <v>195694</v>
      </c>
      <c r="F2372" s="87">
        <v>8320</v>
      </c>
      <c r="G2372" s="46">
        <v>46170</v>
      </c>
    </row>
    <row r="2373" spans="1:9" s="48" customFormat="1" hidden="1" x14ac:dyDescent="0.3">
      <c r="A2373" s="48" t="s">
        <v>955</v>
      </c>
      <c r="B2373" s="48" t="s">
        <v>2223</v>
      </c>
      <c r="C2373" s="48" t="s">
        <v>2224</v>
      </c>
      <c r="D2373" s="48">
        <v>5626009250</v>
      </c>
      <c r="E2373" s="48">
        <v>195354</v>
      </c>
      <c r="F2373" s="88">
        <v>2180</v>
      </c>
      <c r="G2373" s="50">
        <v>46170</v>
      </c>
    </row>
    <row r="2374" spans="1:9" hidden="1" x14ac:dyDescent="0.3">
      <c r="A2374" s="44" t="s">
        <v>955</v>
      </c>
      <c r="B2374" s="44" t="s">
        <v>2175</v>
      </c>
      <c r="C2374" s="44" t="s">
        <v>1553</v>
      </c>
      <c r="D2374" s="44">
        <v>5564371624</v>
      </c>
      <c r="E2374" s="44">
        <v>357702</v>
      </c>
      <c r="F2374" s="87">
        <v>830</v>
      </c>
      <c r="G2374" s="46">
        <v>46170</v>
      </c>
    </row>
    <row r="2375" spans="1:9" s="48" customFormat="1" hidden="1" x14ac:dyDescent="0.3">
      <c r="A2375" s="48" t="s">
        <v>955</v>
      </c>
      <c r="B2375" s="48" t="s">
        <v>2175</v>
      </c>
      <c r="C2375" s="48" t="s">
        <v>1553</v>
      </c>
      <c r="D2375" s="48">
        <v>5564371624</v>
      </c>
      <c r="E2375" s="48">
        <v>357078</v>
      </c>
      <c r="F2375" s="88">
        <v>4451</v>
      </c>
      <c r="G2375" s="50">
        <v>46170</v>
      </c>
    </row>
    <row r="2376" spans="1:9" hidden="1" x14ac:dyDescent="0.3">
      <c r="A2376" s="44" t="s">
        <v>955</v>
      </c>
      <c r="B2376" s="44" t="s">
        <v>2231</v>
      </c>
      <c r="C2376" s="44" t="s">
        <v>1592</v>
      </c>
      <c r="D2376" s="44">
        <v>5519357834</v>
      </c>
      <c r="E2376" s="44">
        <v>165416</v>
      </c>
      <c r="F2376" s="85">
        <v>815</v>
      </c>
      <c r="G2376" s="46">
        <v>46170</v>
      </c>
    </row>
    <row r="2377" spans="1:9" hidden="1" x14ac:dyDescent="0.3">
      <c r="A2377" s="44" t="s">
        <v>890</v>
      </c>
      <c r="B2377" s="44" t="s">
        <v>1871</v>
      </c>
      <c r="C2377" s="44" t="s">
        <v>1872</v>
      </c>
      <c r="D2377" s="44">
        <v>568521749</v>
      </c>
      <c r="E2377" s="44">
        <v>195295</v>
      </c>
      <c r="F2377" s="87">
        <v>27920</v>
      </c>
      <c r="G2377" s="46">
        <v>46171</v>
      </c>
    </row>
    <row r="2378" spans="1:9" s="76" customFormat="1" hidden="1" x14ac:dyDescent="0.3">
      <c r="A2378" s="76" t="s">
        <v>890</v>
      </c>
      <c r="B2378" s="76" t="s">
        <v>1871</v>
      </c>
      <c r="C2378" s="76" t="s">
        <v>1872</v>
      </c>
      <c r="D2378" s="76">
        <v>568521749</v>
      </c>
      <c r="E2378" s="76">
        <v>304997</v>
      </c>
      <c r="F2378" s="95">
        <v>2280</v>
      </c>
      <c r="G2378" s="77">
        <v>46171</v>
      </c>
    </row>
    <row r="2379" spans="1:9" hidden="1" x14ac:dyDescent="0.3">
      <c r="A2379" s="44" t="s">
        <v>890</v>
      </c>
      <c r="B2379" s="44" t="s">
        <v>2232</v>
      </c>
      <c r="C2379" s="44" t="s">
        <v>2233</v>
      </c>
      <c r="D2379" s="44">
        <v>5572124980</v>
      </c>
      <c r="E2379" s="44">
        <v>304583</v>
      </c>
      <c r="F2379" s="87">
        <v>2200</v>
      </c>
      <c r="G2379" s="46">
        <v>46171</v>
      </c>
    </row>
    <row r="2380" spans="1:9" s="76" customFormat="1" hidden="1" x14ac:dyDescent="0.3">
      <c r="A2380" s="76" t="s">
        <v>890</v>
      </c>
      <c r="B2380" s="76" t="s">
        <v>2232</v>
      </c>
      <c r="C2380" s="76" t="s">
        <v>2233</v>
      </c>
      <c r="D2380" s="76">
        <v>5572124980</v>
      </c>
      <c r="E2380" s="76">
        <v>195200</v>
      </c>
      <c r="F2380" s="95">
        <v>3450</v>
      </c>
      <c r="G2380" s="77">
        <v>46171</v>
      </c>
    </row>
    <row r="2381" spans="1:9" hidden="1" x14ac:dyDescent="0.3">
      <c r="A2381" s="44" t="s">
        <v>890</v>
      </c>
      <c r="B2381" s="44" t="s">
        <v>2234</v>
      </c>
      <c r="C2381" s="44" t="s">
        <v>2249</v>
      </c>
      <c r="D2381" s="44">
        <v>5581246977</v>
      </c>
      <c r="E2381" s="44">
        <v>357469</v>
      </c>
      <c r="F2381" s="87">
        <v>5653</v>
      </c>
      <c r="G2381" s="46">
        <v>46171</v>
      </c>
    </row>
    <row r="2382" spans="1:9" s="76" customFormat="1" hidden="1" x14ac:dyDescent="0.3">
      <c r="A2382" s="76" t="s">
        <v>10</v>
      </c>
      <c r="B2382" s="76" t="s">
        <v>2235</v>
      </c>
      <c r="C2382" s="76" t="s">
        <v>806</v>
      </c>
      <c r="D2382" s="76">
        <v>5546082795</v>
      </c>
      <c r="E2382" s="76">
        <v>305288</v>
      </c>
      <c r="F2382" s="95">
        <v>450</v>
      </c>
      <c r="G2382" s="77">
        <v>46171</v>
      </c>
      <c r="H2382" s="76" t="s">
        <v>2236</v>
      </c>
    </row>
    <row r="2383" spans="1:9" hidden="1" x14ac:dyDescent="0.3">
      <c r="A2383" s="44" t="s">
        <v>10</v>
      </c>
      <c r="B2383" s="44" t="s">
        <v>2235</v>
      </c>
      <c r="C2383" s="44" t="s">
        <v>806</v>
      </c>
      <c r="D2383" s="44">
        <v>5546082795</v>
      </c>
      <c r="E2383" s="44">
        <v>305189</v>
      </c>
      <c r="F2383" s="87">
        <v>19631</v>
      </c>
      <c r="G2383" s="46">
        <v>46171</v>
      </c>
      <c r="H2383" s="44" t="s">
        <v>2112</v>
      </c>
    </row>
    <row r="2384" spans="1:9" s="76" customFormat="1" hidden="1" x14ac:dyDescent="0.3">
      <c r="A2384" s="76" t="s">
        <v>10</v>
      </c>
      <c r="B2384" s="76" t="s">
        <v>2237</v>
      </c>
      <c r="C2384" s="76" t="s">
        <v>103</v>
      </c>
      <c r="D2384" s="76">
        <v>5578939180</v>
      </c>
      <c r="E2384" s="76">
        <v>195825</v>
      </c>
      <c r="F2384" s="95">
        <v>3435</v>
      </c>
      <c r="G2384" s="77">
        <v>46171</v>
      </c>
      <c r="H2384" s="76">
        <v>5535979727</v>
      </c>
      <c r="I2384" s="76" t="s">
        <v>2238</v>
      </c>
    </row>
    <row r="2385" spans="1:8" hidden="1" x14ac:dyDescent="0.3">
      <c r="A2385" s="44" t="s">
        <v>10</v>
      </c>
      <c r="B2385" s="44" t="s">
        <v>1926</v>
      </c>
      <c r="C2385" s="44" t="s">
        <v>2239</v>
      </c>
      <c r="D2385" s="44">
        <v>5527073914</v>
      </c>
      <c r="E2385" s="44">
        <v>304713</v>
      </c>
      <c r="F2385" s="87">
        <v>1401</v>
      </c>
      <c r="G2385" s="46">
        <v>46171</v>
      </c>
    </row>
    <row r="2386" spans="1:8" s="76" customFormat="1" hidden="1" x14ac:dyDescent="0.3">
      <c r="A2386" s="76" t="s">
        <v>10</v>
      </c>
      <c r="B2386" s="76" t="s">
        <v>1926</v>
      </c>
      <c r="C2386" s="76" t="s">
        <v>2239</v>
      </c>
      <c r="D2386" s="76">
        <v>5527073914</v>
      </c>
      <c r="E2386" s="76">
        <v>304708</v>
      </c>
      <c r="F2386" s="95">
        <v>1520</v>
      </c>
      <c r="G2386" s="77">
        <v>46171</v>
      </c>
    </row>
    <row r="2387" spans="1:8" hidden="1" x14ac:dyDescent="0.3">
      <c r="A2387" s="44" t="s">
        <v>10</v>
      </c>
      <c r="B2387" s="44" t="s">
        <v>1926</v>
      </c>
      <c r="C2387" s="44" t="s">
        <v>2239</v>
      </c>
      <c r="D2387" s="44">
        <v>5527073914</v>
      </c>
      <c r="E2387" s="44">
        <v>304709</v>
      </c>
      <c r="F2387" s="87">
        <v>1547</v>
      </c>
      <c r="G2387" s="46">
        <v>46171</v>
      </c>
    </row>
    <row r="2388" spans="1:8" s="76" customFormat="1" hidden="1" x14ac:dyDescent="0.3">
      <c r="A2388" s="76" t="s">
        <v>10</v>
      </c>
      <c r="B2388" s="76" t="s">
        <v>1926</v>
      </c>
      <c r="C2388" s="76" t="s">
        <v>2239</v>
      </c>
      <c r="D2388" s="76">
        <v>5527073914</v>
      </c>
      <c r="E2388" s="76">
        <v>304710</v>
      </c>
      <c r="F2388" s="95">
        <v>1542</v>
      </c>
      <c r="G2388" s="77">
        <v>46171</v>
      </c>
    </row>
    <row r="2389" spans="1:8" hidden="1" x14ac:dyDescent="0.3">
      <c r="A2389" s="44" t="s">
        <v>10</v>
      </c>
      <c r="B2389" s="44" t="s">
        <v>1926</v>
      </c>
      <c r="C2389" s="44" t="s">
        <v>2239</v>
      </c>
      <c r="D2389" s="44">
        <v>5527073914</v>
      </c>
      <c r="E2389" s="44">
        <v>304711</v>
      </c>
      <c r="F2389" s="87">
        <v>1542</v>
      </c>
      <c r="G2389" s="46">
        <v>46171</v>
      </c>
    </row>
    <row r="2390" spans="1:8" s="76" customFormat="1" hidden="1" x14ac:dyDescent="0.3">
      <c r="A2390" s="76" t="s">
        <v>10</v>
      </c>
      <c r="B2390" s="76" t="s">
        <v>1926</v>
      </c>
      <c r="C2390" s="76" t="s">
        <v>2239</v>
      </c>
      <c r="D2390" s="76">
        <v>5527073914</v>
      </c>
      <c r="E2390" s="76">
        <v>304712</v>
      </c>
      <c r="F2390" s="95">
        <v>1542</v>
      </c>
      <c r="G2390" s="77">
        <v>46171</v>
      </c>
    </row>
    <row r="2391" spans="1:8" hidden="1" x14ac:dyDescent="0.3">
      <c r="A2391" s="44" t="s">
        <v>10</v>
      </c>
      <c r="B2391" s="44" t="s">
        <v>2240</v>
      </c>
      <c r="C2391" s="44" t="s">
        <v>144</v>
      </c>
      <c r="D2391" s="44">
        <v>5568350740</v>
      </c>
      <c r="E2391" s="44">
        <v>195853</v>
      </c>
      <c r="F2391" s="85">
        <v>3279</v>
      </c>
      <c r="G2391" s="46">
        <v>46171</v>
      </c>
    </row>
    <row r="2392" spans="1:8" s="76" customFormat="1" hidden="1" x14ac:dyDescent="0.3">
      <c r="A2392" s="76" t="s">
        <v>10</v>
      </c>
      <c r="B2392" s="76" t="s">
        <v>2240</v>
      </c>
      <c r="C2392" s="76" t="s">
        <v>144</v>
      </c>
      <c r="D2392" s="76">
        <v>5568350740</v>
      </c>
      <c r="E2392" s="76">
        <v>195855</v>
      </c>
      <c r="F2392" s="142">
        <v>120</v>
      </c>
      <c r="G2392" s="77">
        <v>46171</v>
      </c>
    </row>
    <row r="2393" spans="1:8" hidden="1" x14ac:dyDescent="0.3">
      <c r="A2393" s="44" t="s">
        <v>10</v>
      </c>
      <c r="B2393" s="44" t="s">
        <v>2241</v>
      </c>
      <c r="C2393" s="44" t="s">
        <v>235</v>
      </c>
      <c r="D2393" s="44">
        <v>5515401162</v>
      </c>
      <c r="E2393" s="44">
        <v>195431</v>
      </c>
      <c r="F2393" s="87">
        <v>6143</v>
      </c>
      <c r="G2393" s="46">
        <v>46171</v>
      </c>
      <c r="H2393" s="44" t="s">
        <v>2242</v>
      </c>
    </row>
    <row r="2394" spans="1:8" s="76" customFormat="1" hidden="1" x14ac:dyDescent="0.3">
      <c r="A2394" s="76" t="s">
        <v>10</v>
      </c>
      <c r="B2394" s="76" t="s">
        <v>2248</v>
      </c>
      <c r="C2394" s="76" t="s">
        <v>771</v>
      </c>
      <c r="D2394" s="76">
        <v>5545266515</v>
      </c>
      <c r="E2394" s="76">
        <v>194176</v>
      </c>
      <c r="F2394" s="95">
        <v>28110</v>
      </c>
      <c r="G2394" s="77">
        <v>46171</v>
      </c>
    </row>
    <row r="2395" spans="1:8" hidden="1" x14ac:dyDescent="0.3">
      <c r="A2395" s="44" t="s">
        <v>264</v>
      </c>
      <c r="B2395" s="44" t="s">
        <v>1946</v>
      </c>
      <c r="C2395" s="44" t="s">
        <v>2220</v>
      </c>
      <c r="D2395" s="44">
        <v>5613772897</v>
      </c>
      <c r="E2395" s="44">
        <v>195479</v>
      </c>
      <c r="F2395" s="87">
        <v>2000</v>
      </c>
      <c r="G2395" s="46">
        <v>46171</v>
      </c>
    </row>
    <row r="2396" spans="1:8" s="76" customFormat="1" x14ac:dyDescent="0.3">
      <c r="A2396" s="76" t="s">
        <v>11</v>
      </c>
      <c r="B2396" s="76" t="s">
        <v>2181</v>
      </c>
      <c r="C2396" s="76" t="s">
        <v>2191</v>
      </c>
      <c r="D2396" s="76">
        <v>5551905191</v>
      </c>
      <c r="E2396" s="76">
        <v>304639</v>
      </c>
      <c r="F2396" s="95">
        <v>5704</v>
      </c>
      <c r="G2396" s="77">
        <v>46171</v>
      </c>
    </row>
    <row r="2397" spans="1:8" x14ac:dyDescent="0.3">
      <c r="A2397" s="44" t="s">
        <v>11</v>
      </c>
      <c r="B2397" s="44" t="s">
        <v>2181</v>
      </c>
      <c r="C2397" s="44" t="s">
        <v>2191</v>
      </c>
      <c r="D2397" s="44">
        <v>5551905191</v>
      </c>
      <c r="E2397" s="44">
        <v>304633</v>
      </c>
      <c r="F2397" s="87">
        <v>8484</v>
      </c>
      <c r="G2397" s="46">
        <v>46171</v>
      </c>
    </row>
    <row r="2398" spans="1:8" hidden="1" x14ac:dyDescent="0.3">
      <c r="A2398" s="44" t="s">
        <v>264</v>
      </c>
      <c r="B2398" s="44" t="s">
        <v>1363</v>
      </c>
      <c r="C2398" s="44" t="s">
        <v>2243</v>
      </c>
      <c r="D2398" s="44">
        <v>5518528272</v>
      </c>
      <c r="E2398" s="44">
        <v>195404</v>
      </c>
      <c r="F2398" s="87">
        <v>2588</v>
      </c>
      <c r="G2398" s="46">
        <v>46171</v>
      </c>
    </row>
    <row r="2399" spans="1:8" s="76" customFormat="1" x14ac:dyDescent="0.3">
      <c r="A2399" s="76" t="s">
        <v>11</v>
      </c>
      <c r="B2399" s="76" t="s">
        <v>2181</v>
      </c>
      <c r="C2399" s="76" t="s">
        <v>2191</v>
      </c>
      <c r="D2399" s="76">
        <v>5551905191</v>
      </c>
      <c r="E2399" s="76">
        <v>305243</v>
      </c>
      <c r="F2399" s="95">
        <v>1080</v>
      </c>
      <c r="G2399" s="77">
        <v>46171</v>
      </c>
      <c r="H2399" s="76" t="s">
        <v>2244</v>
      </c>
    </row>
    <row r="2400" spans="1:8" hidden="1" x14ac:dyDescent="0.3">
      <c r="A2400" s="44" t="s">
        <v>47</v>
      </c>
      <c r="B2400" s="44" t="s">
        <v>1513</v>
      </c>
      <c r="C2400" s="44" t="s">
        <v>480</v>
      </c>
      <c r="D2400" s="44">
        <v>5579994084</v>
      </c>
      <c r="E2400" s="44">
        <v>304837</v>
      </c>
      <c r="F2400" s="87">
        <v>8408</v>
      </c>
      <c r="G2400" s="46">
        <v>46171</v>
      </c>
    </row>
    <row r="2401" spans="1:8" s="76" customFormat="1" hidden="1" x14ac:dyDescent="0.3">
      <c r="A2401" s="76" t="s">
        <v>47</v>
      </c>
      <c r="B2401" s="76" t="s">
        <v>473</v>
      </c>
      <c r="C2401" s="76" t="s">
        <v>115</v>
      </c>
      <c r="D2401" s="76">
        <v>5638291782</v>
      </c>
      <c r="E2401" s="76">
        <v>195861</v>
      </c>
      <c r="F2401" s="95">
        <v>3914</v>
      </c>
      <c r="G2401" s="77">
        <v>46171</v>
      </c>
    </row>
    <row r="2402" spans="1:8" hidden="1" x14ac:dyDescent="0.3">
      <c r="A2402" s="44" t="s">
        <v>47</v>
      </c>
      <c r="B2402" s="44" t="s">
        <v>2245</v>
      </c>
      <c r="C2402" s="44" t="s">
        <v>2114</v>
      </c>
      <c r="D2402" s="44">
        <v>5610944519</v>
      </c>
      <c r="E2402" s="44">
        <v>357562</v>
      </c>
      <c r="F2402" s="87">
        <v>10021</v>
      </c>
      <c r="G2402" s="46">
        <v>46171</v>
      </c>
    </row>
    <row r="2403" spans="1:8" s="76" customFormat="1" hidden="1" x14ac:dyDescent="0.3">
      <c r="A2403" s="76" t="s">
        <v>47</v>
      </c>
      <c r="B2403" s="76" t="s">
        <v>2246</v>
      </c>
      <c r="C2403" s="76" t="s">
        <v>2247</v>
      </c>
      <c r="D2403" s="76">
        <v>9513800000</v>
      </c>
      <c r="E2403" s="76">
        <v>195178</v>
      </c>
      <c r="F2403" s="95">
        <v>5706</v>
      </c>
      <c r="G2403" s="77">
        <v>46171</v>
      </c>
    </row>
    <row r="2404" spans="1:8" hidden="1" x14ac:dyDescent="0.3">
      <c r="A2404" s="44" t="s">
        <v>890</v>
      </c>
      <c r="B2404" s="44" t="s">
        <v>2250</v>
      </c>
      <c r="C2404" s="44" t="s">
        <v>152</v>
      </c>
      <c r="D2404" s="44">
        <v>5540387425</v>
      </c>
      <c r="E2404" s="44">
        <v>195984</v>
      </c>
      <c r="F2404" s="87">
        <v>2476</v>
      </c>
      <c r="G2404" s="46">
        <v>46172</v>
      </c>
    </row>
    <row r="2405" spans="1:8" s="83" customFormat="1" hidden="1" x14ac:dyDescent="0.3">
      <c r="A2405" s="83" t="s">
        <v>890</v>
      </c>
      <c r="B2405" s="83" t="s">
        <v>1736</v>
      </c>
      <c r="C2405" s="83" t="s">
        <v>2251</v>
      </c>
      <c r="D2405" s="83">
        <v>5591940032</v>
      </c>
      <c r="E2405" s="83">
        <v>304548</v>
      </c>
      <c r="F2405" s="97">
        <v>13978</v>
      </c>
      <c r="G2405" s="84">
        <v>46172</v>
      </c>
    </row>
    <row r="2406" spans="1:8" hidden="1" x14ac:dyDescent="0.3">
      <c r="A2406" s="44" t="s">
        <v>890</v>
      </c>
      <c r="B2406" s="44" t="s">
        <v>1736</v>
      </c>
      <c r="C2406" s="44" t="s">
        <v>2251</v>
      </c>
      <c r="D2406" s="44">
        <v>5591940032</v>
      </c>
      <c r="E2406" s="44">
        <v>304585</v>
      </c>
      <c r="F2406" s="87">
        <v>1578</v>
      </c>
      <c r="G2406" s="46">
        <v>46172</v>
      </c>
      <c r="H2406" s="44" t="s">
        <v>2112</v>
      </c>
    </row>
    <row r="2407" spans="1:8" s="83" customFormat="1" hidden="1" x14ac:dyDescent="0.3">
      <c r="A2407" s="83" t="s">
        <v>10</v>
      </c>
      <c r="B2407" s="83" t="s">
        <v>1441</v>
      </c>
      <c r="C2407" s="83" t="s">
        <v>2252</v>
      </c>
      <c r="D2407" s="83">
        <v>5629107485</v>
      </c>
      <c r="E2407" s="83">
        <v>195547</v>
      </c>
      <c r="F2407" s="97">
        <v>4366</v>
      </c>
      <c r="G2407" s="84">
        <v>46172</v>
      </c>
    </row>
    <row r="2408" spans="1:8" hidden="1" x14ac:dyDescent="0.3">
      <c r="A2408" s="44" t="s">
        <v>10</v>
      </c>
      <c r="B2408" s="44" t="s">
        <v>2253</v>
      </c>
      <c r="C2408" s="44" t="s">
        <v>41</v>
      </c>
      <c r="D2408" s="44">
        <v>5651275211</v>
      </c>
      <c r="E2408" s="44">
        <v>357497</v>
      </c>
      <c r="F2408" s="87">
        <v>5289</v>
      </c>
      <c r="G2408" s="46">
        <v>46172</v>
      </c>
    </row>
    <row r="2409" spans="1:8" s="83" customFormat="1" hidden="1" x14ac:dyDescent="0.3">
      <c r="A2409" s="83" t="s">
        <v>10</v>
      </c>
      <c r="B2409" s="83" t="s">
        <v>2253</v>
      </c>
      <c r="C2409" s="83" t="s">
        <v>41</v>
      </c>
      <c r="D2409" s="83">
        <v>5651275211</v>
      </c>
      <c r="E2409" s="83">
        <v>357496</v>
      </c>
      <c r="F2409" s="97">
        <v>315</v>
      </c>
      <c r="G2409" s="84">
        <v>46172</v>
      </c>
    </row>
    <row r="2410" spans="1:8" hidden="1" x14ac:dyDescent="0.3">
      <c r="A2410" s="44" t="s">
        <v>10</v>
      </c>
      <c r="B2410" s="44" t="s">
        <v>2254</v>
      </c>
      <c r="C2410" s="44" t="s">
        <v>2255</v>
      </c>
      <c r="D2410" s="44">
        <v>5529014475</v>
      </c>
      <c r="E2410" s="44">
        <v>304790</v>
      </c>
      <c r="F2410" s="87">
        <v>1505</v>
      </c>
      <c r="G2410" s="46">
        <v>46172</v>
      </c>
    </row>
    <row r="2411" spans="1:8" s="83" customFormat="1" hidden="1" x14ac:dyDescent="0.3">
      <c r="A2411" s="83" t="s">
        <v>955</v>
      </c>
      <c r="B2411" s="83" t="s">
        <v>2257</v>
      </c>
      <c r="C2411" s="83" t="s">
        <v>2256</v>
      </c>
      <c r="D2411" s="83">
        <v>5539274494</v>
      </c>
      <c r="E2411" s="83">
        <v>195425</v>
      </c>
      <c r="F2411" s="97">
        <v>5850</v>
      </c>
      <c r="G2411" s="84">
        <v>46172</v>
      </c>
    </row>
    <row r="2412" spans="1:8" hidden="1" x14ac:dyDescent="0.3">
      <c r="A2412" s="44" t="s">
        <v>955</v>
      </c>
      <c r="B2412" s="44" t="s">
        <v>2258</v>
      </c>
      <c r="C2412" s="44" t="s">
        <v>1263</v>
      </c>
      <c r="D2412" s="44">
        <v>5535892760</v>
      </c>
      <c r="E2412" s="44">
        <v>194667</v>
      </c>
      <c r="F2412" s="87">
        <v>14680</v>
      </c>
      <c r="G2412" s="46">
        <v>46172</v>
      </c>
    </row>
    <row r="2413" spans="1:8" s="83" customFormat="1" hidden="1" x14ac:dyDescent="0.3">
      <c r="A2413" s="83" t="s">
        <v>955</v>
      </c>
      <c r="B2413" s="83" t="s">
        <v>2258</v>
      </c>
      <c r="C2413" s="83" t="s">
        <v>1263</v>
      </c>
      <c r="D2413" s="83">
        <v>5535892760</v>
      </c>
      <c r="E2413" s="83">
        <v>195541</v>
      </c>
      <c r="F2413" s="97">
        <v>1440</v>
      </c>
      <c r="G2413" s="84">
        <v>46172</v>
      </c>
    </row>
    <row r="2414" spans="1:8" hidden="1" x14ac:dyDescent="0.3">
      <c r="A2414" s="44" t="s">
        <v>11</v>
      </c>
      <c r="B2414" s="44" t="s">
        <v>987</v>
      </c>
      <c r="C2414" s="44" t="s">
        <v>375</v>
      </c>
      <c r="D2414" s="44">
        <v>5535192160</v>
      </c>
      <c r="E2414" s="44">
        <v>357254</v>
      </c>
      <c r="F2414" s="87">
        <v>10481</v>
      </c>
      <c r="G2414" s="46">
        <v>46172</v>
      </c>
    </row>
    <row r="2415" spans="1:8" s="83" customFormat="1" hidden="1" x14ac:dyDescent="0.3">
      <c r="A2415" s="83" t="s">
        <v>11</v>
      </c>
      <c r="B2415" s="83" t="s">
        <v>987</v>
      </c>
      <c r="C2415" s="83" t="s">
        <v>375</v>
      </c>
      <c r="D2415" s="83">
        <v>5535192160</v>
      </c>
      <c r="E2415" s="83">
        <v>357255</v>
      </c>
      <c r="F2415" s="97">
        <v>904</v>
      </c>
      <c r="G2415" s="84">
        <v>46172</v>
      </c>
    </row>
    <row r="2416" spans="1:8" hidden="1" x14ac:dyDescent="0.3">
      <c r="A2416" s="44" t="s">
        <v>11</v>
      </c>
      <c r="B2416" s="44" t="s">
        <v>55</v>
      </c>
      <c r="C2416" s="44" t="s">
        <v>913</v>
      </c>
      <c r="D2416" s="44">
        <v>5520407415</v>
      </c>
      <c r="E2416" s="44">
        <v>195443</v>
      </c>
      <c r="F2416" s="87">
        <v>894</v>
      </c>
      <c r="G2416" s="46">
        <v>46172</v>
      </c>
    </row>
    <row r="2417" spans="1:7" s="83" customFormat="1" hidden="1" x14ac:dyDescent="0.3">
      <c r="A2417" s="83" t="s">
        <v>11</v>
      </c>
      <c r="B2417" s="83" t="s">
        <v>1899</v>
      </c>
      <c r="C2417" s="83" t="s">
        <v>1900</v>
      </c>
      <c r="D2417" s="83">
        <v>5554167223</v>
      </c>
      <c r="E2417" s="83">
        <v>305171</v>
      </c>
      <c r="F2417" s="97">
        <v>293</v>
      </c>
      <c r="G2417" s="84">
        <v>46172</v>
      </c>
    </row>
    <row r="2418" spans="1:7" hidden="1" x14ac:dyDescent="0.3">
      <c r="A2418" s="44" t="s">
        <v>11</v>
      </c>
      <c r="B2418" s="44" t="s">
        <v>2214</v>
      </c>
      <c r="C2418" s="44" t="s">
        <v>2084</v>
      </c>
      <c r="D2418" s="44">
        <v>5621030826</v>
      </c>
      <c r="E2418" s="44">
        <v>305338</v>
      </c>
      <c r="F2418" s="87">
        <v>1860</v>
      </c>
      <c r="G2418" s="46">
        <v>46172</v>
      </c>
    </row>
    <row r="2419" spans="1:7" s="109" customFormat="1" hidden="1" x14ac:dyDescent="0.3">
      <c r="A2419" s="109" t="s">
        <v>890</v>
      </c>
      <c r="B2419" s="109" t="s">
        <v>2277</v>
      </c>
      <c r="C2419" s="109" t="s">
        <v>2084</v>
      </c>
      <c r="D2419" s="109">
        <v>5584978785</v>
      </c>
      <c r="E2419" s="109">
        <v>304676</v>
      </c>
      <c r="F2419" s="110">
        <v>11904</v>
      </c>
      <c r="G2419" s="111">
        <v>46174</v>
      </c>
    </row>
    <row r="2420" spans="1:7" hidden="1" x14ac:dyDescent="0.3">
      <c r="A2420" s="44" t="s">
        <v>890</v>
      </c>
      <c r="B2420" s="44" t="s">
        <v>2195</v>
      </c>
      <c r="C2420" s="44" t="s">
        <v>2021</v>
      </c>
      <c r="D2420" s="44">
        <v>5516860073</v>
      </c>
      <c r="E2420" s="44">
        <v>305037</v>
      </c>
      <c r="F2420" s="108">
        <v>3300</v>
      </c>
      <c r="G2420" s="140">
        <v>46174</v>
      </c>
    </row>
    <row r="2421" spans="1:7" s="109" customFormat="1" hidden="1" x14ac:dyDescent="0.3">
      <c r="A2421" s="109" t="s">
        <v>890</v>
      </c>
      <c r="B2421" s="109" t="s">
        <v>2259</v>
      </c>
      <c r="C2421" s="109" t="s">
        <v>1974</v>
      </c>
      <c r="D2421" s="109">
        <v>5521893243</v>
      </c>
      <c r="E2421" s="109">
        <v>196059</v>
      </c>
      <c r="F2421" s="110">
        <v>23450</v>
      </c>
      <c r="G2421" s="111">
        <v>46174</v>
      </c>
    </row>
    <row r="2422" spans="1:7" hidden="1" x14ac:dyDescent="0.3">
      <c r="A2422" s="44" t="s">
        <v>890</v>
      </c>
      <c r="B2422" s="44" t="s">
        <v>2259</v>
      </c>
      <c r="C2422" s="44" t="s">
        <v>1974</v>
      </c>
      <c r="D2422" s="44">
        <v>5521893243</v>
      </c>
      <c r="E2422" s="44">
        <v>196065</v>
      </c>
      <c r="F2422" s="87">
        <v>7032</v>
      </c>
      <c r="G2422" s="140">
        <v>46174</v>
      </c>
    </row>
    <row r="2423" spans="1:7" s="109" customFormat="1" hidden="1" x14ac:dyDescent="0.3">
      <c r="A2423" s="109" t="s">
        <v>890</v>
      </c>
      <c r="B2423" s="109" t="s">
        <v>2260</v>
      </c>
      <c r="C2423" s="109" t="s">
        <v>2261</v>
      </c>
      <c r="D2423" s="109">
        <v>5521163956</v>
      </c>
      <c r="E2423" s="109">
        <v>357950</v>
      </c>
      <c r="F2423" s="110">
        <v>3665</v>
      </c>
      <c r="G2423" s="111">
        <v>46174</v>
      </c>
    </row>
    <row r="2424" spans="1:7" hidden="1" x14ac:dyDescent="0.3">
      <c r="A2424" s="44" t="s">
        <v>890</v>
      </c>
      <c r="B2424" s="44" t="s">
        <v>2262</v>
      </c>
      <c r="C2424" s="44" t="s">
        <v>2021</v>
      </c>
      <c r="D2424" s="44">
        <v>5547402145</v>
      </c>
      <c r="E2424" s="44">
        <v>305337</v>
      </c>
      <c r="F2424" s="87">
        <v>34717</v>
      </c>
      <c r="G2424" s="140">
        <v>46174</v>
      </c>
    </row>
    <row r="2425" spans="1:7" s="109" customFormat="1" hidden="1" x14ac:dyDescent="0.3">
      <c r="A2425" s="109" t="s">
        <v>890</v>
      </c>
      <c r="B2425" s="109" t="s">
        <v>2263</v>
      </c>
      <c r="C2425" s="109" t="s">
        <v>1873</v>
      </c>
      <c r="D2425" s="109">
        <v>5570781339</v>
      </c>
      <c r="E2425" s="109">
        <v>357829</v>
      </c>
      <c r="F2425" s="110">
        <v>650</v>
      </c>
      <c r="G2425" s="111">
        <v>46174</v>
      </c>
    </row>
    <row r="2426" spans="1:7" hidden="1" x14ac:dyDescent="0.3">
      <c r="A2426" s="44" t="s">
        <v>10</v>
      </c>
      <c r="B2426" s="44" t="s">
        <v>620</v>
      </c>
      <c r="C2426" s="44" t="s">
        <v>2172</v>
      </c>
      <c r="D2426" s="44">
        <v>5539252389</v>
      </c>
      <c r="E2426" s="44">
        <v>357351</v>
      </c>
      <c r="F2426" s="87">
        <v>8623</v>
      </c>
      <c r="G2426" s="140">
        <v>46174</v>
      </c>
    </row>
    <row r="2427" spans="1:7" s="109" customFormat="1" hidden="1" x14ac:dyDescent="0.3">
      <c r="A2427" s="109" t="s">
        <v>10</v>
      </c>
      <c r="B2427" s="109" t="s">
        <v>620</v>
      </c>
      <c r="C2427" s="109" t="s">
        <v>2172</v>
      </c>
      <c r="D2427" s="109">
        <v>5539252389</v>
      </c>
      <c r="E2427" s="109">
        <v>357350</v>
      </c>
      <c r="F2427" s="110">
        <v>5887</v>
      </c>
      <c r="G2427" s="111">
        <v>46174</v>
      </c>
    </row>
    <row r="2428" spans="1:7" hidden="1" x14ac:dyDescent="0.3">
      <c r="A2428" s="44" t="s">
        <v>10</v>
      </c>
      <c r="B2428" s="44" t="s">
        <v>1449</v>
      </c>
      <c r="C2428" s="44" t="s">
        <v>2126</v>
      </c>
      <c r="D2428" s="44">
        <v>5611893754</v>
      </c>
      <c r="E2428" s="44">
        <v>357534</v>
      </c>
      <c r="F2428" s="87">
        <v>869</v>
      </c>
      <c r="G2428" s="140">
        <v>46174</v>
      </c>
    </row>
    <row r="2429" spans="1:7" s="109" customFormat="1" hidden="1" x14ac:dyDescent="0.3">
      <c r="A2429" s="109" t="s">
        <v>10</v>
      </c>
      <c r="B2429" s="109" t="s">
        <v>2167</v>
      </c>
      <c r="C2429" s="109" t="s">
        <v>2021</v>
      </c>
      <c r="D2429" s="109">
        <v>3223271287</v>
      </c>
      <c r="E2429" s="109">
        <v>357934</v>
      </c>
      <c r="F2429" s="110">
        <v>10530</v>
      </c>
      <c r="G2429" s="111">
        <v>46174</v>
      </c>
    </row>
    <row r="2430" spans="1:7" hidden="1" x14ac:dyDescent="0.3">
      <c r="A2430" s="44" t="s">
        <v>10</v>
      </c>
      <c r="B2430" s="44" t="s">
        <v>2278</v>
      </c>
      <c r="C2430" s="44" t="s">
        <v>771</v>
      </c>
      <c r="D2430" s="44">
        <v>5537411500</v>
      </c>
      <c r="E2430" s="44">
        <v>357822</v>
      </c>
      <c r="F2430" s="87">
        <v>930</v>
      </c>
      <c r="G2430" s="140">
        <v>46174</v>
      </c>
    </row>
    <row r="2431" spans="1:7" s="109" customFormat="1" hidden="1" x14ac:dyDescent="0.3">
      <c r="A2431" s="109" t="s">
        <v>10</v>
      </c>
      <c r="B2431" s="109" t="s">
        <v>2264</v>
      </c>
      <c r="C2431" s="109" t="s">
        <v>1863</v>
      </c>
      <c r="D2431" s="109">
        <v>5513696944</v>
      </c>
      <c r="E2431" s="109">
        <v>196028</v>
      </c>
      <c r="F2431" s="110">
        <v>12410</v>
      </c>
      <c r="G2431" s="111">
        <v>46174</v>
      </c>
    </row>
    <row r="2432" spans="1:7" hidden="1" x14ac:dyDescent="0.3">
      <c r="A2432" s="44" t="s">
        <v>10</v>
      </c>
      <c r="B2432" s="44" t="s">
        <v>2279</v>
      </c>
      <c r="C2432" s="44" t="s">
        <v>1273</v>
      </c>
      <c r="D2432" s="44">
        <v>5532993664</v>
      </c>
      <c r="E2432" s="44">
        <v>305002</v>
      </c>
      <c r="F2432" s="87">
        <v>10520</v>
      </c>
      <c r="G2432" s="140">
        <v>46174</v>
      </c>
    </row>
    <row r="2433" spans="1:8" s="109" customFormat="1" hidden="1" x14ac:dyDescent="0.3">
      <c r="A2433" s="109" t="s">
        <v>10</v>
      </c>
      <c r="B2433" s="109" t="s">
        <v>868</v>
      </c>
      <c r="C2433" s="109" t="s">
        <v>1968</v>
      </c>
      <c r="D2433" s="109">
        <v>5520044132</v>
      </c>
      <c r="E2433" s="109">
        <v>195510</v>
      </c>
      <c r="F2433" s="110">
        <v>7600</v>
      </c>
      <c r="G2433" s="111">
        <v>46174</v>
      </c>
    </row>
    <row r="2434" spans="1:8" hidden="1" x14ac:dyDescent="0.3">
      <c r="A2434" s="44" t="s">
        <v>10</v>
      </c>
      <c r="B2434" s="44" t="s">
        <v>2280</v>
      </c>
      <c r="C2434" s="44" t="s">
        <v>2265</v>
      </c>
      <c r="D2434" s="44">
        <v>5570105498</v>
      </c>
      <c r="E2434" s="44">
        <v>305115</v>
      </c>
      <c r="F2434" s="87">
        <v>2553</v>
      </c>
      <c r="G2434" s="140">
        <v>46174</v>
      </c>
    </row>
    <row r="2435" spans="1:8" s="109" customFormat="1" hidden="1" x14ac:dyDescent="0.3">
      <c r="A2435" s="109" t="s">
        <v>47</v>
      </c>
      <c r="B2435" s="109" t="s">
        <v>1941</v>
      </c>
      <c r="C2435" s="109" t="s">
        <v>390</v>
      </c>
      <c r="D2435" s="109">
        <v>5554550976</v>
      </c>
      <c r="E2435" s="109">
        <v>304705</v>
      </c>
      <c r="F2435" s="110">
        <v>13956</v>
      </c>
      <c r="G2435" s="111">
        <v>46174</v>
      </c>
    </row>
    <row r="2436" spans="1:8" hidden="1" x14ac:dyDescent="0.3">
      <c r="A2436" s="44" t="s">
        <v>47</v>
      </c>
      <c r="B2436" s="44" t="s">
        <v>1941</v>
      </c>
      <c r="C2436" s="44" t="s">
        <v>390</v>
      </c>
      <c r="D2436" s="44">
        <v>5554550976</v>
      </c>
      <c r="E2436" s="44">
        <v>304704</v>
      </c>
      <c r="F2436" s="85">
        <v>2039</v>
      </c>
      <c r="G2436" s="140">
        <v>46174</v>
      </c>
      <c r="H2436" s="44" t="s">
        <v>1461</v>
      </c>
    </row>
    <row r="2437" spans="1:8" s="109" customFormat="1" hidden="1" x14ac:dyDescent="0.3">
      <c r="A2437" s="109" t="s">
        <v>47</v>
      </c>
      <c r="B2437" s="109" t="s">
        <v>136</v>
      </c>
      <c r="C2437" s="109" t="s">
        <v>2017</v>
      </c>
      <c r="D2437" s="109">
        <v>5550543680</v>
      </c>
      <c r="E2437" s="109">
        <v>357835</v>
      </c>
      <c r="F2437" s="110">
        <v>1860</v>
      </c>
      <c r="G2437" s="111">
        <v>46174</v>
      </c>
    </row>
    <row r="2438" spans="1:8" hidden="1" x14ac:dyDescent="0.3">
      <c r="A2438" s="44" t="s">
        <v>47</v>
      </c>
      <c r="B2438" s="44" t="s">
        <v>136</v>
      </c>
      <c r="C2438" s="44" t="s">
        <v>2017</v>
      </c>
      <c r="D2438" s="44">
        <v>5550543680</v>
      </c>
      <c r="E2438" s="44">
        <v>195904</v>
      </c>
      <c r="F2438" s="87">
        <v>5441</v>
      </c>
      <c r="G2438" s="140">
        <v>46174</v>
      </c>
    </row>
    <row r="2439" spans="1:8" s="109" customFormat="1" hidden="1" x14ac:dyDescent="0.3">
      <c r="A2439" s="109" t="s">
        <v>47</v>
      </c>
      <c r="B2439" s="109" t="s">
        <v>2266</v>
      </c>
      <c r="C2439" s="109" t="s">
        <v>2267</v>
      </c>
      <c r="D2439" s="109">
        <v>5617764060</v>
      </c>
      <c r="E2439" s="109">
        <v>305380</v>
      </c>
      <c r="F2439" s="110">
        <v>350</v>
      </c>
      <c r="G2439" s="111">
        <v>46174</v>
      </c>
    </row>
    <row r="2440" spans="1:8" hidden="1" x14ac:dyDescent="0.3">
      <c r="A2440" s="44" t="s">
        <v>47</v>
      </c>
      <c r="B2440" s="44" t="s">
        <v>2266</v>
      </c>
      <c r="C2440" s="44" t="s">
        <v>2267</v>
      </c>
      <c r="D2440" s="44">
        <v>5617764060</v>
      </c>
      <c r="E2440" s="44">
        <v>305378</v>
      </c>
      <c r="F2440" s="87">
        <v>1160</v>
      </c>
      <c r="G2440" s="140">
        <v>46174</v>
      </c>
    </row>
    <row r="2441" spans="1:8" s="109" customFormat="1" hidden="1" x14ac:dyDescent="0.3">
      <c r="A2441" s="109" t="s">
        <v>47</v>
      </c>
      <c r="B2441" s="109" t="s">
        <v>2266</v>
      </c>
      <c r="C2441" s="109" t="s">
        <v>2267</v>
      </c>
      <c r="D2441" s="109">
        <v>5617764060</v>
      </c>
      <c r="E2441" s="109">
        <v>305379</v>
      </c>
      <c r="F2441" s="110">
        <v>870</v>
      </c>
      <c r="G2441" s="111">
        <v>46174</v>
      </c>
    </row>
    <row r="2442" spans="1:8" hidden="1" x14ac:dyDescent="0.3">
      <c r="A2442" s="44" t="s">
        <v>47</v>
      </c>
      <c r="B2442" s="44" t="s">
        <v>2266</v>
      </c>
      <c r="C2442" s="44" t="s">
        <v>2267</v>
      </c>
      <c r="D2442" s="44">
        <v>5617764060</v>
      </c>
      <c r="E2442" s="44">
        <v>305376</v>
      </c>
      <c r="F2442" s="87">
        <v>1634</v>
      </c>
      <c r="G2442" s="140">
        <v>46174</v>
      </c>
    </row>
    <row r="2443" spans="1:8" s="109" customFormat="1" hidden="1" x14ac:dyDescent="0.3">
      <c r="A2443" s="109" t="s">
        <v>47</v>
      </c>
      <c r="B2443" s="109" t="s">
        <v>2266</v>
      </c>
      <c r="C2443" s="109" t="s">
        <v>2267</v>
      </c>
      <c r="D2443" s="109">
        <v>5617764060</v>
      </c>
      <c r="E2443" s="109">
        <v>305377</v>
      </c>
      <c r="F2443" s="110">
        <v>1981</v>
      </c>
      <c r="G2443" s="111">
        <v>46174</v>
      </c>
    </row>
    <row r="2444" spans="1:8" hidden="1" x14ac:dyDescent="0.3">
      <c r="A2444" s="44" t="s">
        <v>47</v>
      </c>
      <c r="B2444" s="44" t="s">
        <v>2268</v>
      </c>
      <c r="C2444" s="44" t="s">
        <v>2269</v>
      </c>
      <c r="D2444" s="44">
        <v>5523351022</v>
      </c>
      <c r="E2444" s="44">
        <v>196138</v>
      </c>
      <c r="F2444" s="87">
        <v>3284</v>
      </c>
      <c r="G2444" s="140">
        <v>46174</v>
      </c>
    </row>
    <row r="2445" spans="1:8" s="109" customFormat="1" hidden="1" x14ac:dyDescent="0.3">
      <c r="A2445" s="109" t="s">
        <v>264</v>
      </c>
      <c r="B2445" s="109" t="s">
        <v>834</v>
      </c>
      <c r="C2445" s="109" t="s">
        <v>2270</v>
      </c>
      <c r="D2445" s="109">
        <v>5537078916</v>
      </c>
      <c r="E2445" s="109">
        <v>305362</v>
      </c>
      <c r="F2445" s="110">
        <v>28490</v>
      </c>
      <c r="G2445" s="111">
        <v>46174</v>
      </c>
    </row>
    <row r="2446" spans="1:8" hidden="1" x14ac:dyDescent="0.3">
      <c r="A2446" s="44" t="s">
        <v>264</v>
      </c>
      <c r="B2446" s="44" t="s">
        <v>2271</v>
      </c>
      <c r="C2446" s="44" t="s">
        <v>2129</v>
      </c>
      <c r="D2446" s="44">
        <v>5515030748</v>
      </c>
      <c r="E2446" s="44">
        <v>357904</v>
      </c>
      <c r="F2446" s="87">
        <v>4223</v>
      </c>
      <c r="G2446" s="140">
        <v>46174</v>
      </c>
    </row>
    <row r="2447" spans="1:8" s="109" customFormat="1" hidden="1" x14ac:dyDescent="0.3">
      <c r="A2447" s="109" t="s">
        <v>264</v>
      </c>
      <c r="B2447" s="109" t="s">
        <v>2272</v>
      </c>
      <c r="C2447" s="109" t="s">
        <v>285</v>
      </c>
      <c r="D2447" s="109">
        <v>5575268727</v>
      </c>
      <c r="E2447" s="109">
        <v>196062</v>
      </c>
      <c r="F2447" s="110">
        <v>465</v>
      </c>
      <c r="G2447" s="111">
        <v>46174</v>
      </c>
    </row>
    <row r="2448" spans="1:8" hidden="1" x14ac:dyDescent="0.3">
      <c r="A2448" s="44" t="s">
        <v>264</v>
      </c>
      <c r="B2448" s="44" t="s">
        <v>2273</v>
      </c>
      <c r="C2448" s="44" t="s">
        <v>2274</v>
      </c>
      <c r="D2448" s="44">
        <v>5591421505</v>
      </c>
      <c r="E2448" s="44">
        <v>305165</v>
      </c>
      <c r="F2448" s="87">
        <v>1323</v>
      </c>
      <c r="G2448" s="140">
        <v>46174</v>
      </c>
    </row>
    <row r="2449" spans="1:7" s="109" customFormat="1" hidden="1" x14ac:dyDescent="0.3">
      <c r="A2449" s="109" t="s">
        <v>264</v>
      </c>
      <c r="B2449" s="109" t="s">
        <v>2275</v>
      </c>
      <c r="C2449" s="109" t="s">
        <v>2129</v>
      </c>
      <c r="D2449" s="109">
        <v>5530478892</v>
      </c>
      <c r="E2449" s="109">
        <v>304480</v>
      </c>
      <c r="F2449" s="110">
        <v>21061</v>
      </c>
      <c r="G2449" s="111">
        <v>46174</v>
      </c>
    </row>
    <row r="2450" spans="1:7" hidden="1" x14ac:dyDescent="0.3">
      <c r="A2450" s="44" t="s">
        <v>264</v>
      </c>
      <c r="B2450" s="44" t="s">
        <v>2276</v>
      </c>
      <c r="C2450" s="44" t="s">
        <v>2129</v>
      </c>
      <c r="D2450" s="44">
        <v>5530478892</v>
      </c>
      <c r="E2450" s="44">
        <v>305173</v>
      </c>
      <c r="F2450" s="87">
        <v>5700</v>
      </c>
      <c r="G2450" s="140">
        <v>46174</v>
      </c>
    </row>
    <row r="2451" spans="1:7" s="60" customFormat="1" hidden="1" x14ac:dyDescent="0.3">
      <c r="A2451" s="60" t="s">
        <v>17</v>
      </c>
      <c r="B2451" s="60" t="s">
        <v>2289</v>
      </c>
      <c r="C2451" s="60" t="s">
        <v>115</v>
      </c>
      <c r="D2451" s="60">
        <v>5587074416</v>
      </c>
      <c r="E2451" s="60">
        <v>302575</v>
      </c>
      <c r="F2451" s="79">
        <v>4176</v>
      </c>
      <c r="G2451" s="69">
        <v>46175</v>
      </c>
    </row>
    <row r="2452" spans="1:7" hidden="1" x14ac:dyDescent="0.3">
      <c r="A2452" s="44" t="s">
        <v>17</v>
      </c>
      <c r="B2452" s="44" t="s">
        <v>1372</v>
      </c>
      <c r="C2452" s="44" t="s">
        <v>2281</v>
      </c>
      <c r="D2452" s="44">
        <v>5539486141</v>
      </c>
      <c r="E2452" s="44">
        <v>302508</v>
      </c>
      <c r="F2452" s="87">
        <v>2500</v>
      </c>
      <c r="G2452" s="46">
        <v>46175</v>
      </c>
    </row>
    <row r="2453" spans="1:7" s="60" customFormat="1" hidden="1" x14ac:dyDescent="0.3">
      <c r="A2453" s="60" t="s">
        <v>17</v>
      </c>
      <c r="B2453" s="60" t="s">
        <v>2291</v>
      </c>
      <c r="C2453" s="60" t="s">
        <v>1994</v>
      </c>
      <c r="D2453" s="60">
        <v>9981951537</v>
      </c>
      <c r="E2453" s="60">
        <v>305413</v>
      </c>
      <c r="F2453" s="79">
        <v>24584</v>
      </c>
      <c r="G2453" s="69">
        <v>46175</v>
      </c>
    </row>
    <row r="2454" spans="1:7" hidden="1" x14ac:dyDescent="0.3">
      <c r="A2454" s="44" t="s">
        <v>17</v>
      </c>
      <c r="B2454" s="44" t="s">
        <v>2282</v>
      </c>
      <c r="C2454" s="44" t="s">
        <v>2084</v>
      </c>
      <c r="D2454" s="44">
        <v>5584978785</v>
      </c>
      <c r="E2454" s="44">
        <v>304676</v>
      </c>
      <c r="F2454" s="87">
        <v>11904</v>
      </c>
      <c r="G2454" s="46">
        <v>46175</v>
      </c>
    </row>
    <row r="2455" spans="1:7" s="60" customFormat="1" hidden="1" x14ac:dyDescent="0.3">
      <c r="A2455" s="60" t="s">
        <v>10</v>
      </c>
      <c r="B2455" s="60" t="s">
        <v>2283</v>
      </c>
      <c r="C2455" s="60" t="s">
        <v>2284</v>
      </c>
      <c r="D2455" s="60">
        <v>5526854705</v>
      </c>
      <c r="E2455" s="60">
        <v>305461</v>
      </c>
      <c r="F2455" s="79">
        <v>7060</v>
      </c>
      <c r="G2455" s="69">
        <v>46175</v>
      </c>
    </row>
    <row r="2456" spans="1:7" hidden="1" x14ac:dyDescent="0.3">
      <c r="A2456" s="44" t="s">
        <v>10</v>
      </c>
      <c r="B2456" s="44" t="s">
        <v>2285</v>
      </c>
      <c r="C2456" s="44" t="s">
        <v>2286</v>
      </c>
      <c r="D2456" s="44">
        <v>5518959368</v>
      </c>
      <c r="E2456" s="44">
        <v>305453</v>
      </c>
      <c r="F2456" s="87">
        <v>6260</v>
      </c>
      <c r="G2456" s="46">
        <v>46175</v>
      </c>
    </row>
    <row r="2457" spans="1:7" s="60" customFormat="1" hidden="1" x14ac:dyDescent="0.3">
      <c r="A2457" s="60" t="s">
        <v>10</v>
      </c>
      <c r="B2457" s="60" t="s">
        <v>2285</v>
      </c>
      <c r="C2457" s="60" t="s">
        <v>2287</v>
      </c>
      <c r="D2457" s="60">
        <v>5513450372</v>
      </c>
      <c r="E2457" s="60">
        <v>196031</v>
      </c>
      <c r="F2457" s="79">
        <v>2600</v>
      </c>
      <c r="G2457" s="69">
        <v>46175</v>
      </c>
    </row>
    <row r="2458" spans="1:7" hidden="1" x14ac:dyDescent="0.3">
      <c r="A2458" s="44" t="s">
        <v>10</v>
      </c>
      <c r="B2458" s="44" t="s">
        <v>2288</v>
      </c>
      <c r="C2458" s="44" t="s">
        <v>763</v>
      </c>
      <c r="D2458" s="44">
        <v>7711467669</v>
      </c>
      <c r="E2458" s="44">
        <v>357663</v>
      </c>
      <c r="F2458" s="87">
        <v>7483</v>
      </c>
      <c r="G2458" s="46">
        <v>46175</v>
      </c>
    </row>
    <row r="2459" spans="1:7" s="60" customFormat="1" hidden="1" x14ac:dyDescent="0.3">
      <c r="A2459" s="60" t="s">
        <v>10</v>
      </c>
      <c r="B2459" s="60" t="s">
        <v>1279</v>
      </c>
      <c r="C2459" s="60" t="s">
        <v>1948</v>
      </c>
      <c r="D2459" s="60">
        <v>5586040532</v>
      </c>
      <c r="E2459" s="60">
        <v>195596</v>
      </c>
      <c r="F2459" s="79">
        <v>7716</v>
      </c>
      <c r="G2459" s="69">
        <v>46175</v>
      </c>
    </row>
    <row r="2460" spans="1:7" hidden="1" x14ac:dyDescent="0.3">
      <c r="A2460" s="44" t="s">
        <v>10</v>
      </c>
      <c r="B2460" s="44" t="s">
        <v>1279</v>
      </c>
      <c r="C2460" s="44" t="s">
        <v>1948</v>
      </c>
      <c r="D2460" s="44">
        <v>5586040532</v>
      </c>
      <c r="E2460" s="44">
        <v>195715</v>
      </c>
      <c r="F2460" s="87">
        <v>698</v>
      </c>
      <c r="G2460" s="46">
        <v>46175</v>
      </c>
    </row>
    <row r="2461" spans="1:7" s="60" customFormat="1" hidden="1" x14ac:dyDescent="0.3">
      <c r="A2461" s="60" t="s">
        <v>10</v>
      </c>
      <c r="B2461" s="60" t="s">
        <v>284</v>
      </c>
      <c r="C2461" s="60" t="s">
        <v>285</v>
      </c>
      <c r="D2461" s="60">
        <v>5575268727</v>
      </c>
      <c r="E2461" s="60">
        <v>196062</v>
      </c>
      <c r="F2461" s="79">
        <v>465</v>
      </c>
      <c r="G2461" s="69">
        <v>46175</v>
      </c>
    </row>
    <row r="2462" spans="1:7" hidden="1" x14ac:dyDescent="0.3">
      <c r="A2462" s="44" t="s">
        <v>955</v>
      </c>
      <c r="B2462" s="44" t="s">
        <v>22</v>
      </c>
      <c r="C2462" s="44" t="s">
        <v>2233</v>
      </c>
      <c r="D2462" s="44" t="s">
        <v>146</v>
      </c>
      <c r="E2462" s="44">
        <v>195703</v>
      </c>
      <c r="F2462" s="87">
        <v>2686</v>
      </c>
      <c r="G2462" s="46">
        <v>46175</v>
      </c>
    </row>
    <row r="2463" spans="1:7" s="48" customFormat="1" hidden="1" x14ac:dyDescent="0.3">
      <c r="A2463" s="48" t="s">
        <v>955</v>
      </c>
      <c r="B2463" s="48" t="s">
        <v>2342</v>
      </c>
      <c r="C2463" s="48" t="s">
        <v>2290</v>
      </c>
      <c r="D2463" s="48" t="s">
        <v>146</v>
      </c>
      <c r="E2463" s="48">
        <v>40</v>
      </c>
      <c r="F2463" s="88">
        <v>14044</v>
      </c>
      <c r="G2463" s="50">
        <v>46175</v>
      </c>
    </row>
    <row r="2464" spans="1:7" ht="16.5" hidden="1" customHeight="1" x14ac:dyDescent="0.3">
      <c r="A2464" s="44" t="s">
        <v>955</v>
      </c>
      <c r="B2464" s="44" t="s">
        <v>2342</v>
      </c>
      <c r="C2464" s="44" t="s">
        <v>2290</v>
      </c>
      <c r="D2464" s="44" t="s">
        <v>146</v>
      </c>
      <c r="E2464" s="44">
        <v>36</v>
      </c>
      <c r="F2464" s="85">
        <v>17983</v>
      </c>
      <c r="G2464" s="46">
        <v>46175</v>
      </c>
    </row>
    <row r="2465" spans="1:8" s="60" customFormat="1" hidden="1" x14ac:dyDescent="0.3">
      <c r="A2465" s="60" t="s">
        <v>264</v>
      </c>
      <c r="B2465" s="60" t="s">
        <v>1963</v>
      </c>
      <c r="C2465" s="60" t="s">
        <v>1964</v>
      </c>
      <c r="D2465" s="60">
        <v>5520266060</v>
      </c>
      <c r="E2465" s="60">
        <v>357941</v>
      </c>
      <c r="F2465" s="79">
        <v>15150</v>
      </c>
      <c r="G2465" s="69">
        <v>46175</v>
      </c>
    </row>
    <row r="2466" spans="1:8" hidden="1" x14ac:dyDescent="0.3">
      <c r="A2466" s="44" t="s">
        <v>264</v>
      </c>
      <c r="B2466" s="44" t="s">
        <v>2292</v>
      </c>
      <c r="C2466" s="44" t="s">
        <v>2293</v>
      </c>
      <c r="D2466" s="44">
        <v>5514619410</v>
      </c>
      <c r="E2466" s="44">
        <v>357251</v>
      </c>
      <c r="F2466" s="87">
        <v>15690</v>
      </c>
      <c r="G2466" s="46">
        <v>46175</v>
      </c>
    </row>
    <row r="2467" spans="1:8" s="80" customFormat="1" hidden="1" x14ac:dyDescent="0.3">
      <c r="A2467" s="80" t="s">
        <v>890</v>
      </c>
      <c r="B2467" s="80" t="s">
        <v>625</v>
      </c>
      <c r="C2467" s="80" t="s">
        <v>1873</v>
      </c>
      <c r="D2467" s="80">
        <v>5578992575</v>
      </c>
      <c r="E2467" s="80">
        <v>195397</v>
      </c>
      <c r="F2467" s="96">
        <v>18200</v>
      </c>
      <c r="G2467" s="81">
        <v>46176</v>
      </c>
    </row>
    <row r="2468" spans="1:8" hidden="1" x14ac:dyDescent="0.3">
      <c r="A2468" s="44" t="s">
        <v>890</v>
      </c>
      <c r="B2468" s="44" t="s">
        <v>625</v>
      </c>
      <c r="C2468" s="44" t="s">
        <v>1873</v>
      </c>
      <c r="D2468" s="44">
        <v>5578992575</v>
      </c>
      <c r="E2468" s="44">
        <v>196398</v>
      </c>
      <c r="F2468" s="87">
        <v>1703</v>
      </c>
      <c r="G2468" s="46">
        <v>46176</v>
      </c>
    </row>
    <row r="2469" spans="1:8" s="80" customFormat="1" hidden="1" x14ac:dyDescent="0.3">
      <c r="A2469" s="80" t="s">
        <v>890</v>
      </c>
      <c r="B2469" s="80" t="s">
        <v>1822</v>
      </c>
      <c r="C2469" s="80" t="s">
        <v>2294</v>
      </c>
      <c r="D2469" s="80">
        <v>5610944519</v>
      </c>
      <c r="E2469" s="80">
        <v>357939</v>
      </c>
      <c r="F2469" s="96">
        <v>3300</v>
      </c>
      <c r="G2469" s="81">
        <v>46176</v>
      </c>
    </row>
    <row r="2470" spans="1:8" hidden="1" x14ac:dyDescent="0.3">
      <c r="A2470" s="44" t="s">
        <v>890</v>
      </c>
      <c r="B2470" s="44" t="s">
        <v>2295</v>
      </c>
      <c r="C2470" s="44" t="s">
        <v>159</v>
      </c>
      <c r="D2470" s="44">
        <v>5570826626</v>
      </c>
      <c r="E2470" s="44">
        <v>305120</v>
      </c>
      <c r="F2470" s="87">
        <v>7955</v>
      </c>
      <c r="G2470" s="46">
        <v>46176</v>
      </c>
    </row>
    <row r="2471" spans="1:8" s="80" customFormat="1" hidden="1" x14ac:dyDescent="0.3">
      <c r="A2471" s="80" t="s">
        <v>890</v>
      </c>
      <c r="B2471" s="80" t="s">
        <v>449</v>
      </c>
      <c r="C2471" s="80" t="s">
        <v>913</v>
      </c>
      <c r="D2471" s="80">
        <v>5585922461</v>
      </c>
      <c r="E2471" s="80">
        <v>305518</v>
      </c>
      <c r="F2471" s="96">
        <v>8583</v>
      </c>
      <c r="G2471" s="81">
        <v>46176</v>
      </c>
    </row>
    <row r="2472" spans="1:8" hidden="1" x14ac:dyDescent="0.3">
      <c r="A2472" s="44" t="s">
        <v>264</v>
      </c>
      <c r="B2472" s="44" t="s">
        <v>2296</v>
      </c>
      <c r="C2472" s="44" t="s">
        <v>383</v>
      </c>
      <c r="D2472" s="44">
        <v>5578854795</v>
      </c>
      <c r="E2472" s="44">
        <v>358091</v>
      </c>
      <c r="F2472" s="87">
        <v>260058</v>
      </c>
      <c r="G2472" s="46">
        <v>46176</v>
      </c>
      <c r="H2472" s="44" t="s">
        <v>1461</v>
      </c>
    </row>
    <row r="2473" spans="1:8" s="80" customFormat="1" hidden="1" x14ac:dyDescent="0.3">
      <c r="A2473" s="80" t="s">
        <v>264</v>
      </c>
      <c r="B2473" s="80" t="s">
        <v>2297</v>
      </c>
      <c r="C2473" s="80" t="s">
        <v>41</v>
      </c>
      <c r="D2473" s="80">
        <v>5529943076</v>
      </c>
      <c r="E2473" s="80">
        <v>305219</v>
      </c>
      <c r="F2473" s="96">
        <v>22857</v>
      </c>
      <c r="G2473" s="81">
        <v>46176</v>
      </c>
    </row>
    <row r="2474" spans="1:8" hidden="1" x14ac:dyDescent="0.3">
      <c r="A2474" s="44" t="s">
        <v>264</v>
      </c>
      <c r="B2474" s="44" t="s">
        <v>2288</v>
      </c>
      <c r="C2474" s="44" t="s">
        <v>763</v>
      </c>
      <c r="D2474" s="44">
        <v>7711467669</v>
      </c>
      <c r="E2474" s="44">
        <v>357663</v>
      </c>
      <c r="F2474" s="87">
        <v>7483</v>
      </c>
      <c r="G2474" s="46">
        <v>46176</v>
      </c>
    </row>
    <row r="2475" spans="1:8" s="80" customFormat="1" hidden="1" x14ac:dyDescent="0.3">
      <c r="A2475" s="80" t="s">
        <v>264</v>
      </c>
      <c r="B2475" s="80" t="s">
        <v>2309</v>
      </c>
      <c r="C2475" s="80" t="s">
        <v>2030</v>
      </c>
      <c r="D2475" s="80">
        <v>5639793288</v>
      </c>
      <c r="E2475" s="80">
        <v>357870</v>
      </c>
      <c r="F2475" s="96">
        <v>1733</v>
      </c>
      <c r="G2475" s="81">
        <v>46176</v>
      </c>
    </row>
    <row r="2476" spans="1:8" hidden="1" x14ac:dyDescent="0.3">
      <c r="A2476" s="44" t="s">
        <v>47</v>
      </c>
      <c r="B2476" s="44" t="s">
        <v>2298</v>
      </c>
      <c r="C2476" s="44" t="s">
        <v>1784</v>
      </c>
      <c r="D2476" s="44">
        <v>5563173397</v>
      </c>
      <c r="E2476" s="44">
        <v>357861</v>
      </c>
      <c r="F2476" s="87">
        <v>1007</v>
      </c>
      <c r="G2476" s="46">
        <v>46176</v>
      </c>
    </row>
    <row r="2477" spans="1:8" s="80" customFormat="1" hidden="1" x14ac:dyDescent="0.3">
      <c r="A2477" s="80" t="s">
        <v>47</v>
      </c>
      <c r="B2477" s="80" t="s">
        <v>2299</v>
      </c>
      <c r="C2477" s="80" t="s">
        <v>2300</v>
      </c>
      <c r="D2477" s="80">
        <v>5546881974</v>
      </c>
      <c r="E2477" s="80">
        <v>196201</v>
      </c>
      <c r="F2477" s="96">
        <v>2733</v>
      </c>
      <c r="G2477" s="81">
        <v>46176</v>
      </c>
    </row>
    <row r="2478" spans="1:8" hidden="1" x14ac:dyDescent="0.3">
      <c r="A2478" s="44" t="s">
        <v>47</v>
      </c>
      <c r="B2478" s="44" t="s">
        <v>2301</v>
      </c>
      <c r="C2478" s="44" t="s">
        <v>2172</v>
      </c>
      <c r="D2478" s="44">
        <v>5537335990</v>
      </c>
      <c r="E2478" s="44">
        <v>195846</v>
      </c>
      <c r="F2478" s="87">
        <v>1253</v>
      </c>
      <c r="G2478" s="46">
        <v>46176</v>
      </c>
    </row>
    <row r="2479" spans="1:8" s="80" customFormat="1" hidden="1" x14ac:dyDescent="0.3">
      <c r="A2479" s="80" t="s">
        <v>10</v>
      </c>
      <c r="B2479" s="80" t="s">
        <v>2302</v>
      </c>
      <c r="C2479" s="80" t="s">
        <v>1939</v>
      </c>
      <c r="D2479" s="80">
        <v>5530338798</v>
      </c>
      <c r="E2479" s="80">
        <v>358100</v>
      </c>
      <c r="F2479" s="96">
        <v>3094</v>
      </c>
      <c r="G2479" s="81">
        <v>46176</v>
      </c>
    </row>
    <row r="2480" spans="1:8" hidden="1" x14ac:dyDescent="0.3">
      <c r="A2480" s="44" t="s">
        <v>10</v>
      </c>
      <c r="B2480" s="44" t="s">
        <v>2303</v>
      </c>
      <c r="C2480" s="44" t="s">
        <v>103</v>
      </c>
      <c r="D2480" s="44">
        <v>5532641178</v>
      </c>
      <c r="E2480" s="44">
        <v>357780</v>
      </c>
      <c r="F2480" s="87">
        <v>980</v>
      </c>
      <c r="G2480" s="46">
        <v>46176</v>
      </c>
    </row>
    <row r="2481" spans="1:7" s="80" customFormat="1" hidden="1" x14ac:dyDescent="0.3">
      <c r="A2481" s="80" t="s">
        <v>10</v>
      </c>
      <c r="B2481" s="81" t="s">
        <v>2304</v>
      </c>
      <c r="C2481" s="80" t="s">
        <v>2096</v>
      </c>
      <c r="D2481" s="80">
        <v>5551956683</v>
      </c>
      <c r="E2481" s="80">
        <v>195644</v>
      </c>
      <c r="F2481" s="96">
        <v>890</v>
      </c>
      <c r="G2481" s="81">
        <v>46176</v>
      </c>
    </row>
    <row r="2482" spans="1:7" hidden="1" x14ac:dyDescent="0.3">
      <c r="A2482" s="44" t="s">
        <v>10</v>
      </c>
      <c r="B2482" s="44" t="s">
        <v>2305</v>
      </c>
      <c r="C2482" s="44" t="s">
        <v>2306</v>
      </c>
      <c r="D2482" s="44">
        <v>5560683045</v>
      </c>
      <c r="E2482" s="44">
        <v>196078</v>
      </c>
      <c r="F2482" s="87">
        <v>1760</v>
      </c>
      <c r="G2482" s="46">
        <v>46176</v>
      </c>
    </row>
    <row r="2483" spans="1:7" s="80" customFormat="1" hidden="1" x14ac:dyDescent="0.3">
      <c r="A2483" s="80" t="s">
        <v>10</v>
      </c>
      <c r="B2483" s="80" t="s">
        <v>2307</v>
      </c>
      <c r="C2483" s="80" t="s">
        <v>2340</v>
      </c>
      <c r="D2483" s="80">
        <v>5548856197</v>
      </c>
      <c r="E2483" s="80">
        <v>196231</v>
      </c>
      <c r="F2483" s="96">
        <v>3973</v>
      </c>
      <c r="G2483" s="81">
        <v>46176</v>
      </c>
    </row>
    <row r="2484" spans="1:7" hidden="1" x14ac:dyDescent="0.3">
      <c r="A2484" s="44" t="s">
        <v>10</v>
      </c>
      <c r="B2484" s="44" t="s">
        <v>2308</v>
      </c>
      <c r="C2484" s="44" t="s">
        <v>2105</v>
      </c>
      <c r="D2484" s="44">
        <v>5511374818</v>
      </c>
      <c r="E2484" s="44">
        <v>195708</v>
      </c>
      <c r="F2484" s="87">
        <v>5588</v>
      </c>
      <c r="G2484" s="46">
        <v>46176</v>
      </c>
    </row>
    <row r="2485" spans="1:7" s="80" customFormat="1" hidden="1" x14ac:dyDescent="0.3">
      <c r="A2485" s="80" t="s">
        <v>10</v>
      </c>
      <c r="B2485" s="80" t="s">
        <v>2308</v>
      </c>
      <c r="C2485" s="80" t="s">
        <v>2105</v>
      </c>
      <c r="D2485" s="80">
        <v>5511374818</v>
      </c>
      <c r="E2485" s="80">
        <v>195709</v>
      </c>
      <c r="F2485" s="96">
        <v>280</v>
      </c>
      <c r="G2485" s="81">
        <v>46176</v>
      </c>
    </row>
    <row r="2486" spans="1:7" hidden="1" x14ac:dyDescent="0.3">
      <c r="A2486" s="44" t="s">
        <v>955</v>
      </c>
      <c r="B2486" s="44" t="s">
        <v>1937</v>
      </c>
      <c r="C2486" s="44" t="s">
        <v>1938</v>
      </c>
      <c r="D2486" s="44">
        <v>5515369770</v>
      </c>
      <c r="E2486" s="44">
        <v>357864</v>
      </c>
      <c r="F2486" s="87">
        <v>2510</v>
      </c>
      <c r="G2486" s="46">
        <v>46176</v>
      </c>
    </row>
    <row r="2487" spans="1:7" s="80" customFormat="1" hidden="1" x14ac:dyDescent="0.3">
      <c r="A2487" s="80" t="s">
        <v>955</v>
      </c>
      <c r="B2487" s="80" t="s">
        <v>2310</v>
      </c>
      <c r="C2487" s="80" t="s">
        <v>2311</v>
      </c>
      <c r="D2487" s="80">
        <v>5510724034</v>
      </c>
      <c r="E2487" s="80">
        <v>357813</v>
      </c>
      <c r="F2487" s="96">
        <v>9539</v>
      </c>
      <c r="G2487" s="81">
        <v>46176</v>
      </c>
    </row>
    <row r="2488" spans="1:7" hidden="1" x14ac:dyDescent="0.3">
      <c r="A2488" s="44" t="s">
        <v>955</v>
      </c>
      <c r="B2488" s="44" t="s">
        <v>2312</v>
      </c>
      <c r="C2488" s="44" t="s">
        <v>2313</v>
      </c>
      <c r="D2488" s="44">
        <v>5517781493</v>
      </c>
      <c r="E2488" s="44">
        <v>357776</v>
      </c>
      <c r="F2488" s="87">
        <v>5572</v>
      </c>
      <c r="G2488" s="46">
        <v>46176</v>
      </c>
    </row>
    <row r="2489" spans="1:7" s="115" customFormat="1" hidden="1" x14ac:dyDescent="0.3">
      <c r="A2489" s="115" t="s">
        <v>2141</v>
      </c>
      <c r="B2489" s="115" t="s">
        <v>2314</v>
      </c>
      <c r="C2489" s="115" t="s">
        <v>2105</v>
      </c>
      <c r="D2489" s="115">
        <v>7297677630</v>
      </c>
      <c r="E2489" s="115">
        <v>196579</v>
      </c>
      <c r="F2489" s="116">
        <v>1450</v>
      </c>
      <c r="G2489" s="141">
        <v>46177</v>
      </c>
    </row>
    <row r="2490" spans="1:7" hidden="1" x14ac:dyDescent="0.3">
      <c r="A2490" s="44" t="s">
        <v>2141</v>
      </c>
      <c r="B2490" s="44" t="s">
        <v>1774</v>
      </c>
      <c r="C2490" s="44" t="s">
        <v>2315</v>
      </c>
      <c r="D2490" s="44">
        <v>5512762501</v>
      </c>
      <c r="E2490" s="44">
        <v>357976</v>
      </c>
      <c r="F2490" s="87">
        <v>120</v>
      </c>
      <c r="G2490" s="46">
        <v>46177</v>
      </c>
    </row>
    <row r="2491" spans="1:7" s="115" customFormat="1" hidden="1" x14ac:dyDescent="0.3">
      <c r="A2491" s="115" t="s">
        <v>2141</v>
      </c>
      <c r="B2491" s="115" t="s">
        <v>605</v>
      </c>
      <c r="C2491" s="115" t="s">
        <v>2316</v>
      </c>
      <c r="D2491" s="115">
        <v>5540562652</v>
      </c>
      <c r="E2491" s="115">
        <v>358198</v>
      </c>
      <c r="F2491" s="116">
        <v>2936</v>
      </c>
      <c r="G2491" s="141">
        <v>46177</v>
      </c>
    </row>
    <row r="2492" spans="1:7" hidden="1" x14ac:dyDescent="0.3">
      <c r="A2492" s="44" t="s">
        <v>2141</v>
      </c>
      <c r="B2492" s="44" t="s">
        <v>2317</v>
      </c>
      <c r="C2492" s="44" t="s">
        <v>2318</v>
      </c>
      <c r="D2492" s="44">
        <v>5512572828</v>
      </c>
      <c r="E2492" s="44">
        <v>358168</v>
      </c>
      <c r="F2492" s="87">
        <v>3935</v>
      </c>
      <c r="G2492" s="46">
        <v>46177</v>
      </c>
    </row>
    <row r="2493" spans="1:7" s="115" customFormat="1" hidden="1" x14ac:dyDescent="0.3">
      <c r="A2493" s="115" t="s">
        <v>2141</v>
      </c>
      <c r="B2493" s="115" t="s">
        <v>2319</v>
      </c>
      <c r="C2493" s="115" t="s">
        <v>2320</v>
      </c>
      <c r="D2493" s="115">
        <v>5513740358</v>
      </c>
      <c r="E2493" s="115">
        <v>196149</v>
      </c>
      <c r="F2493" s="116">
        <v>2025</v>
      </c>
      <c r="G2493" s="141">
        <v>46177</v>
      </c>
    </row>
    <row r="2494" spans="1:7" hidden="1" x14ac:dyDescent="0.3">
      <c r="A2494" s="44" t="s">
        <v>890</v>
      </c>
      <c r="B2494" s="44" t="s">
        <v>2321</v>
      </c>
      <c r="C2494" s="44" t="s">
        <v>2129</v>
      </c>
      <c r="D2494" s="44">
        <v>5584849265</v>
      </c>
      <c r="E2494" s="44">
        <v>358143</v>
      </c>
      <c r="F2494" s="87">
        <v>1610</v>
      </c>
      <c r="G2494" s="46">
        <v>46177</v>
      </c>
    </row>
    <row r="2495" spans="1:7" s="115" customFormat="1" hidden="1" x14ac:dyDescent="0.3">
      <c r="A2495" s="115" t="s">
        <v>890</v>
      </c>
      <c r="B2495" s="115" t="s">
        <v>2322</v>
      </c>
      <c r="C2495" s="115" t="s">
        <v>1873</v>
      </c>
      <c r="D2495" s="115">
        <v>5558302017</v>
      </c>
      <c r="E2495" s="115">
        <v>195874</v>
      </c>
      <c r="F2495" s="116">
        <v>4470</v>
      </c>
      <c r="G2495" s="141">
        <v>46177</v>
      </c>
    </row>
    <row r="2496" spans="1:7" hidden="1" x14ac:dyDescent="0.3">
      <c r="A2496" s="44" t="s">
        <v>890</v>
      </c>
      <c r="B2496" s="44" t="s">
        <v>2323</v>
      </c>
      <c r="C2496" s="44" t="s">
        <v>1379</v>
      </c>
      <c r="D2496" s="44">
        <v>5529213023</v>
      </c>
      <c r="E2496" s="44">
        <v>196272</v>
      </c>
      <c r="F2496" s="87">
        <v>202</v>
      </c>
      <c r="G2496" s="46">
        <v>46177</v>
      </c>
    </row>
    <row r="2497" spans="1:8" s="115" customFormat="1" hidden="1" x14ac:dyDescent="0.3">
      <c r="A2497" s="115" t="s">
        <v>890</v>
      </c>
      <c r="B2497" s="115" t="s">
        <v>2323</v>
      </c>
      <c r="C2497" s="115" t="s">
        <v>1379</v>
      </c>
      <c r="D2497" s="115">
        <v>5529213023</v>
      </c>
      <c r="E2497" s="115">
        <v>196271</v>
      </c>
      <c r="F2497" s="116">
        <v>117</v>
      </c>
      <c r="G2497" s="141">
        <v>46177</v>
      </c>
    </row>
    <row r="2498" spans="1:8" hidden="1" x14ac:dyDescent="0.3">
      <c r="A2498" s="44" t="s">
        <v>890</v>
      </c>
      <c r="B2498" s="44" t="s">
        <v>2324</v>
      </c>
      <c r="C2498" s="44" t="s">
        <v>1309</v>
      </c>
      <c r="D2498" s="44">
        <v>5628031904</v>
      </c>
      <c r="E2498" s="44">
        <v>196384</v>
      </c>
      <c r="F2498" s="87">
        <v>2772</v>
      </c>
      <c r="G2498" s="46">
        <v>46177</v>
      </c>
    </row>
    <row r="2499" spans="1:8" s="115" customFormat="1" hidden="1" x14ac:dyDescent="0.3">
      <c r="A2499" s="115" t="s">
        <v>264</v>
      </c>
      <c r="B2499" s="115" t="s">
        <v>2325</v>
      </c>
      <c r="C2499" s="115" t="s">
        <v>2326</v>
      </c>
      <c r="D2499" s="115">
        <v>5518648748</v>
      </c>
      <c r="E2499" s="115">
        <v>196533</v>
      </c>
      <c r="F2499" s="116">
        <v>5827</v>
      </c>
      <c r="G2499" s="141">
        <v>46177</v>
      </c>
    </row>
    <row r="2500" spans="1:8" hidden="1" x14ac:dyDescent="0.3">
      <c r="A2500" s="44" t="s">
        <v>264</v>
      </c>
      <c r="B2500" s="44" t="s">
        <v>1694</v>
      </c>
      <c r="C2500" s="44" t="s">
        <v>285</v>
      </c>
      <c r="D2500" s="44">
        <v>5575292956</v>
      </c>
      <c r="E2500" s="44">
        <v>358206</v>
      </c>
      <c r="F2500" s="87">
        <v>27900</v>
      </c>
      <c r="G2500" s="46">
        <v>46177</v>
      </c>
    </row>
    <row r="2501" spans="1:8" s="115" customFormat="1" hidden="1" x14ac:dyDescent="0.3">
      <c r="A2501" s="115" t="s">
        <v>264</v>
      </c>
      <c r="B2501" s="115" t="s">
        <v>389</v>
      </c>
      <c r="C2501" s="115" t="s">
        <v>1250</v>
      </c>
      <c r="D2501" s="115">
        <v>5631061983</v>
      </c>
      <c r="E2501" s="115">
        <v>358158</v>
      </c>
      <c r="F2501" s="116">
        <v>1253</v>
      </c>
      <c r="G2501" s="141">
        <v>46177</v>
      </c>
    </row>
    <row r="2502" spans="1:8" hidden="1" x14ac:dyDescent="0.3">
      <c r="A2502" s="44" t="s">
        <v>890</v>
      </c>
      <c r="B2502" s="44" t="s">
        <v>2327</v>
      </c>
      <c r="C2502" s="44" t="s">
        <v>2328</v>
      </c>
      <c r="D2502" s="44">
        <v>5540964748</v>
      </c>
      <c r="E2502" s="44">
        <v>305346</v>
      </c>
      <c r="F2502" s="87">
        <v>2996</v>
      </c>
      <c r="G2502" s="46">
        <v>46177</v>
      </c>
    </row>
    <row r="2503" spans="1:8" s="115" customFormat="1" hidden="1" x14ac:dyDescent="0.3">
      <c r="A2503" s="115" t="s">
        <v>890</v>
      </c>
      <c r="B2503" s="115" t="s">
        <v>2327</v>
      </c>
      <c r="C2503" s="115" t="s">
        <v>2328</v>
      </c>
      <c r="D2503" s="115">
        <v>5540964748</v>
      </c>
      <c r="E2503" s="115">
        <v>357785</v>
      </c>
      <c r="F2503" s="116">
        <v>6562</v>
      </c>
      <c r="G2503" s="141">
        <v>46177</v>
      </c>
      <c r="H2503" s="115" t="s">
        <v>2329</v>
      </c>
    </row>
    <row r="2504" spans="1:8" hidden="1" x14ac:dyDescent="0.3">
      <c r="A2504" s="44" t="s">
        <v>890</v>
      </c>
      <c r="B2504" s="44" t="s">
        <v>1932</v>
      </c>
      <c r="C2504" s="44" t="s">
        <v>2064</v>
      </c>
      <c r="D2504" s="44">
        <v>5621416793</v>
      </c>
      <c r="E2504" s="44">
        <v>196012</v>
      </c>
      <c r="F2504" s="87">
        <v>2045</v>
      </c>
      <c r="G2504" s="46">
        <v>46177</v>
      </c>
    </row>
    <row r="2505" spans="1:8" s="109" customFormat="1" hidden="1" x14ac:dyDescent="0.3">
      <c r="A2505" s="109" t="s">
        <v>10</v>
      </c>
      <c r="B2505" s="109" t="s">
        <v>2330</v>
      </c>
      <c r="C2505" s="109" t="s">
        <v>2252</v>
      </c>
      <c r="D2505" s="109">
        <v>5572834811</v>
      </c>
      <c r="E2505" s="109">
        <v>195911</v>
      </c>
      <c r="F2505" s="110">
        <v>3325</v>
      </c>
      <c r="G2505" s="111">
        <v>46178</v>
      </c>
    </row>
    <row r="2506" spans="1:8" hidden="1" x14ac:dyDescent="0.3">
      <c r="A2506" s="44" t="s">
        <v>10</v>
      </c>
      <c r="B2506" s="44" t="s">
        <v>2331</v>
      </c>
      <c r="C2506" s="44" t="s">
        <v>41</v>
      </c>
      <c r="D2506" s="44">
        <v>5515886139</v>
      </c>
      <c r="E2506" s="44">
        <v>305412</v>
      </c>
      <c r="F2506" s="85">
        <v>2441</v>
      </c>
      <c r="G2506" s="46">
        <v>46178</v>
      </c>
    </row>
    <row r="2507" spans="1:8" s="109" customFormat="1" hidden="1" x14ac:dyDescent="0.3">
      <c r="A2507" s="109" t="s">
        <v>10</v>
      </c>
      <c r="B2507" s="109" t="s">
        <v>1956</v>
      </c>
      <c r="C2507" s="109" t="s">
        <v>2172</v>
      </c>
      <c r="D2507" s="109">
        <v>5526754082</v>
      </c>
      <c r="E2507" s="109">
        <v>196700</v>
      </c>
      <c r="F2507" s="110">
        <v>830</v>
      </c>
      <c r="G2507" s="111">
        <v>46178</v>
      </c>
    </row>
    <row r="2508" spans="1:8" hidden="1" x14ac:dyDescent="0.3">
      <c r="A2508" s="44" t="s">
        <v>10</v>
      </c>
      <c r="B2508" s="44" t="s">
        <v>1956</v>
      </c>
      <c r="C2508" s="44" t="s">
        <v>2172</v>
      </c>
      <c r="D2508" s="44">
        <v>5526754082</v>
      </c>
      <c r="E2508" s="44">
        <v>196698</v>
      </c>
      <c r="F2508" s="85">
        <v>284</v>
      </c>
      <c r="G2508" s="46">
        <v>46178</v>
      </c>
      <c r="H2508" s="44" t="s">
        <v>1461</v>
      </c>
    </row>
    <row r="2509" spans="1:8" s="109" customFormat="1" hidden="1" x14ac:dyDescent="0.3">
      <c r="A2509" s="109" t="s">
        <v>10</v>
      </c>
      <c r="B2509" s="109" t="s">
        <v>188</v>
      </c>
      <c r="C2509" s="109" t="s">
        <v>2114</v>
      </c>
      <c r="D2509" s="109">
        <v>5529849094</v>
      </c>
      <c r="E2509" s="109">
        <v>357912</v>
      </c>
      <c r="F2509" s="110">
        <v>8699</v>
      </c>
      <c r="G2509" s="111">
        <v>46178</v>
      </c>
    </row>
    <row r="2510" spans="1:8" hidden="1" x14ac:dyDescent="0.3">
      <c r="A2510" s="44" t="s">
        <v>10</v>
      </c>
      <c r="B2510" s="44" t="s">
        <v>2332</v>
      </c>
      <c r="C2510" s="44" t="s">
        <v>2341</v>
      </c>
      <c r="D2510" s="44">
        <v>5586868804</v>
      </c>
      <c r="E2510" s="44">
        <v>357229</v>
      </c>
      <c r="F2510" s="85">
        <v>3837</v>
      </c>
      <c r="G2510" s="46">
        <v>46178</v>
      </c>
    </row>
    <row r="2511" spans="1:8" s="109" customFormat="1" hidden="1" x14ac:dyDescent="0.3">
      <c r="A2511" s="109" t="s">
        <v>10</v>
      </c>
      <c r="B2511" s="109" t="s">
        <v>473</v>
      </c>
      <c r="C2511" s="109" t="s">
        <v>115</v>
      </c>
      <c r="D2511" s="109">
        <v>5638291782</v>
      </c>
      <c r="E2511" s="109">
        <v>196682</v>
      </c>
      <c r="F2511" s="110">
        <v>1605</v>
      </c>
      <c r="G2511" s="111">
        <v>46178</v>
      </c>
    </row>
    <row r="2512" spans="1:8" hidden="1" x14ac:dyDescent="0.3">
      <c r="A2512" s="44" t="s">
        <v>10</v>
      </c>
      <c r="B2512" s="44" t="s">
        <v>2339</v>
      </c>
      <c r="C2512" s="44" t="s">
        <v>1351</v>
      </c>
      <c r="D2512" s="44">
        <v>5622127000</v>
      </c>
      <c r="E2512" s="44">
        <v>358221</v>
      </c>
      <c r="F2512" s="85">
        <v>8865</v>
      </c>
      <c r="G2512" s="46">
        <v>46178</v>
      </c>
    </row>
    <row r="2513" spans="1:7" s="109" customFormat="1" hidden="1" x14ac:dyDescent="0.3">
      <c r="A2513" s="109" t="s">
        <v>2333</v>
      </c>
      <c r="B2513" s="109" t="s">
        <v>2139</v>
      </c>
      <c r="C2513" s="109" t="s">
        <v>1250</v>
      </c>
      <c r="D2513" s="109">
        <v>5540809421</v>
      </c>
      <c r="E2513" s="109">
        <v>304049</v>
      </c>
      <c r="F2513" s="110">
        <v>103047</v>
      </c>
      <c r="G2513" s="111">
        <v>46178</v>
      </c>
    </row>
    <row r="2514" spans="1:7" hidden="1" x14ac:dyDescent="0.3">
      <c r="A2514" s="44" t="s">
        <v>11</v>
      </c>
      <c r="B2514" s="44" t="s">
        <v>2334</v>
      </c>
      <c r="C2514" s="44" t="s">
        <v>1177</v>
      </c>
      <c r="D2514" s="44">
        <v>5565319683</v>
      </c>
      <c r="E2514" s="44">
        <v>358362</v>
      </c>
      <c r="F2514" s="85">
        <v>4396</v>
      </c>
      <c r="G2514" s="46">
        <v>46178</v>
      </c>
    </row>
    <row r="2515" spans="1:7" s="109" customFormat="1" hidden="1" x14ac:dyDescent="0.3">
      <c r="A2515" s="109" t="s">
        <v>11</v>
      </c>
      <c r="B2515" s="109" t="s">
        <v>2335</v>
      </c>
      <c r="C2515" s="109" t="s">
        <v>478</v>
      </c>
      <c r="D2515" s="109">
        <v>5512491180</v>
      </c>
      <c r="E2515" s="109">
        <v>358281</v>
      </c>
      <c r="F2515" s="110">
        <v>117</v>
      </c>
      <c r="G2515" s="111">
        <v>46178</v>
      </c>
    </row>
    <row r="2516" spans="1:7" hidden="1" x14ac:dyDescent="0.3">
      <c r="A2516" s="44" t="s">
        <v>11</v>
      </c>
      <c r="B2516" s="44" t="s">
        <v>2336</v>
      </c>
      <c r="C2516" s="44" t="s">
        <v>2337</v>
      </c>
      <c r="D2516" s="44">
        <v>5645699794</v>
      </c>
      <c r="E2516" s="44">
        <v>196246</v>
      </c>
      <c r="F2516" s="85">
        <v>2137</v>
      </c>
      <c r="G2516" s="46">
        <v>46178</v>
      </c>
    </row>
    <row r="2517" spans="1:7" s="109" customFormat="1" hidden="1" x14ac:dyDescent="0.3">
      <c r="A2517" s="109" t="s">
        <v>11</v>
      </c>
      <c r="B2517" s="109" t="s">
        <v>2338</v>
      </c>
      <c r="C2517" s="109" t="s">
        <v>1948</v>
      </c>
      <c r="D2517" s="109">
        <v>5544844808</v>
      </c>
      <c r="E2517" s="109">
        <v>305365</v>
      </c>
      <c r="F2517" s="110">
        <v>1685</v>
      </c>
      <c r="G2517" s="111">
        <v>46178</v>
      </c>
    </row>
    <row r="2518" spans="1:7" x14ac:dyDescent="0.3">
      <c r="A2518" s="44" t="s">
        <v>11</v>
      </c>
      <c r="B2518" s="44" t="s">
        <v>2181</v>
      </c>
      <c r="C2518" s="44" t="s">
        <v>2191</v>
      </c>
      <c r="D2518" s="44">
        <v>5551905191</v>
      </c>
      <c r="E2518" s="44">
        <v>305241</v>
      </c>
      <c r="F2518" s="85">
        <v>3220</v>
      </c>
      <c r="G2518" s="46">
        <v>46178</v>
      </c>
    </row>
    <row r="2519" spans="1:7" s="109" customFormat="1" x14ac:dyDescent="0.3">
      <c r="A2519" s="109" t="s">
        <v>11</v>
      </c>
      <c r="B2519" s="109" t="s">
        <v>2181</v>
      </c>
      <c r="C2519" s="109" t="s">
        <v>2191</v>
      </c>
      <c r="D2519" s="109">
        <v>5551905191</v>
      </c>
      <c r="E2519" s="109">
        <v>305303</v>
      </c>
      <c r="F2519" s="110">
        <v>266</v>
      </c>
      <c r="G2519" s="111">
        <v>46178</v>
      </c>
    </row>
    <row r="2520" spans="1:7" x14ac:dyDescent="0.3">
      <c r="A2520" s="44" t="s">
        <v>11</v>
      </c>
      <c r="B2520" s="44" t="s">
        <v>2181</v>
      </c>
      <c r="C2520" s="44" t="s">
        <v>2191</v>
      </c>
      <c r="D2520" s="44">
        <v>5551905191</v>
      </c>
      <c r="E2520" s="44">
        <v>305018</v>
      </c>
      <c r="F2520" s="85">
        <v>1401</v>
      </c>
      <c r="G2520" s="46">
        <v>46178</v>
      </c>
    </row>
    <row r="2521" spans="1:7" s="109" customFormat="1" x14ac:dyDescent="0.3">
      <c r="A2521" s="109" t="s">
        <v>11</v>
      </c>
      <c r="B2521" s="109" t="s">
        <v>2181</v>
      </c>
      <c r="C2521" s="109" t="s">
        <v>2191</v>
      </c>
      <c r="D2521" s="109">
        <v>5551905191</v>
      </c>
      <c r="E2521" s="109">
        <v>305082</v>
      </c>
      <c r="F2521" s="110">
        <v>793</v>
      </c>
      <c r="G2521" s="111">
        <v>46178</v>
      </c>
    </row>
    <row r="2522" spans="1:7" hidden="1" x14ac:dyDescent="0.3">
      <c r="A2522" s="44" t="s">
        <v>17</v>
      </c>
      <c r="B2522" s="44" t="s">
        <v>2295</v>
      </c>
      <c r="C2522" s="44" t="s">
        <v>159</v>
      </c>
      <c r="D2522" s="44">
        <v>5570826626</v>
      </c>
      <c r="E2522" s="44">
        <v>305408</v>
      </c>
      <c r="F2522" s="87">
        <v>17650</v>
      </c>
      <c r="G2522" s="46">
        <v>46178</v>
      </c>
    </row>
    <row r="2523" spans="1:7" s="109" customFormat="1" hidden="1" x14ac:dyDescent="0.3">
      <c r="A2523" s="109" t="s">
        <v>10</v>
      </c>
      <c r="B2523" s="109" t="s">
        <v>233</v>
      </c>
      <c r="C2523" s="109" t="s">
        <v>103</v>
      </c>
      <c r="D2523" s="109">
        <v>5586772887</v>
      </c>
      <c r="E2523" s="109">
        <v>196048</v>
      </c>
      <c r="F2523" s="110">
        <v>6333</v>
      </c>
      <c r="G2523" s="111">
        <v>46178</v>
      </c>
    </row>
    <row r="2524" spans="1:7" hidden="1" x14ac:dyDescent="0.3">
      <c r="A2524" s="44" t="s">
        <v>10</v>
      </c>
      <c r="B2524" s="44" t="s">
        <v>233</v>
      </c>
      <c r="C2524" s="44" t="s">
        <v>103</v>
      </c>
      <c r="D2524" s="44">
        <v>5586772887</v>
      </c>
      <c r="E2524" s="44">
        <v>357931</v>
      </c>
      <c r="F2524" s="87">
        <v>506</v>
      </c>
      <c r="G2524" s="46">
        <v>46178</v>
      </c>
    </row>
    <row r="2525" spans="1:7" s="109" customFormat="1" hidden="1" x14ac:dyDescent="0.3">
      <c r="A2525" s="109" t="s">
        <v>10</v>
      </c>
      <c r="B2525" s="109" t="s">
        <v>233</v>
      </c>
      <c r="C2525" s="109" t="s">
        <v>103</v>
      </c>
      <c r="D2525" s="109">
        <v>5586772887</v>
      </c>
      <c r="E2525" s="109">
        <v>302567</v>
      </c>
      <c r="F2525" s="110">
        <v>84</v>
      </c>
      <c r="G2525" s="111">
        <v>46178</v>
      </c>
    </row>
    <row r="2526" spans="1:7" hidden="1" x14ac:dyDescent="0.3">
      <c r="A2526" s="44" t="s">
        <v>890</v>
      </c>
      <c r="B2526" s="44" t="s">
        <v>2343</v>
      </c>
      <c r="C2526" s="44" t="s">
        <v>1914</v>
      </c>
      <c r="D2526" s="44">
        <v>5565149325</v>
      </c>
      <c r="E2526" s="44">
        <v>358306</v>
      </c>
      <c r="F2526" s="87">
        <v>4160</v>
      </c>
      <c r="G2526" s="46">
        <v>46180</v>
      </c>
    </row>
    <row r="2527" spans="1:7" s="60" customFormat="1" hidden="1" x14ac:dyDescent="0.3">
      <c r="A2527" s="60" t="s">
        <v>890</v>
      </c>
      <c r="B2527" s="60" t="s">
        <v>1915</v>
      </c>
      <c r="C2527" s="60" t="s">
        <v>115</v>
      </c>
      <c r="D2527" s="60">
        <v>5513668132</v>
      </c>
      <c r="E2527" s="60">
        <v>196757</v>
      </c>
      <c r="F2527" s="79">
        <v>2600</v>
      </c>
      <c r="G2527" s="69">
        <v>46180</v>
      </c>
    </row>
    <row r="2528" spans="1:7" hidden="1" x14ac:dyDescent="0.3">
      <c r="A2528" s="44" t="s">
        <v>890</v>
      </c>
      <c r="B2528" s="44" t="s">
        <v>2344</v>
      </c>
      <c r="C2528" s="44" t="s">
        <v>2198</v>
      </c>
      <c r="D2528" s="44">
        <v>5525635631</v>
      </c>
      <c r="E2528" s="44">
        <v>305801</v>
      </c>
      <c r="F2528" s="87">
        <v>1100</v>
      </c>
      <c r="G2528" s="46">
        <v>46180</v>
      </c>
    </row>
    <row r="2529" spans="1:7" s="60" customFormat="1" hidden="1" x14ac:dyDescent="0.3">
      <c r="A2529" s="60" t="s">
        <v>890</v>
      </c>
      <c r="B2529" s="60" t="s">
        <v>1446</v>
      </c>
      <c r="C2529" s="60" t="s">
        <v>2337</v>
      </c>
      <c r="D2529" s="60">
        <v>5645699794</v>
      </c>
      <c r="E2529" s="60">
        <v>196132</v>
      </c>
      <c r="F2529" s="79">
        <v>5917</v>
      </c>
      <c r="G2529" s="69">
        <v>46180</v>
      </c>
    </row>
    <row r="2530" spans="1:7" hidden="1" x14ac:dyDescent="0.3">
      <c r="A2530" s="44" t="s">
        <v>890</v>
      </c>
      <c r="B2530" s="44" t="s">
        <v>2345</v>
      </c>
      <c r="C2530" s="44" t="s">
        <v>1948</v>
      </c>
      <c r="D2530" s="44">
        <v>5557741807</v>
      </c>
      <c r="E2530" s="44">
        <v>196513</v>
      </c>
      <c r="F2530" s="87">
        <v>2790</v>
      </c>
      <c r="G2530" s="46">
        <v>46180</v>
      </c>
    </row>
    <row r="2531" spans="1:7" s="60" customFormat="1" hidden="1" x14ac:dyDescent="0.3">
      <c r="A2531" s="60" t="s">
        <v>264</v>
      </c>
      <c r="B2531" s="60" t="s">
        <v>2346</v>
      </c>
      <c r="C2531" s="60" t="s">
        <v>2096</v>
      </c>
      <c r="D2531" s="60">
        <v>5531652165</v>
      </c>
      <c r="E2531" s="60">
        <v>196266</v>
      </c>
      <c r="F2531" s="79">
        <v>874</v>
      </c>
      <c r="G2531" s="69">
        <v>46180</v>
      </c>
    </row>
    <row r="2532" spans="1:7" hidden="1" x14ac:dyDescent="0.3">
      <c r="A2532" s="44" t="s">
        <v>264</v>
      </c>
      <c r="B2532" s="44" t="s">
        <v>2347</v>
      </c>
      <c r="C2532" s="44" t="s">
        <v>2348</v>
      </c>
      <c r="D2532" s="44">
        <v>5521824581</v>
      </c>
      <c r="E2532" s="44">
        <v>196113</v>
      </c>
      <c r="F2532" s="87">
        <v>2467</v>
      </c>
      <c r="G2532" s="46">
        <v>46180</v>
      </c>
    </row>
    <row r="2533" spans="1:7" s="60" customFormat="1" hidden="1" x14ac:dyDescent="0.3">
      <c r="A2533" s="60" t="s">
        <v>264</v>
      </c>
      <c r="B2533" s="60" t="s">
        <v>2349</v>
      </c>
      <c r="C2533" s="60" t="s">
        <v>2350</v>
      </c>
      <c r="D2533" s="60">
        <v>5560668313</v>
      </c>
      <c r="E2533" s="60">
        <v>196136</v>
      </c>
      <c r="F2533" s="79">
        <v>5906</v>
      </c>
      <c r="G2533" s="69">
        <v>46180</v>
      </c>
    </row>
    <row r="2534" spans="1:7" hidden="1" x14ac:dyDescent="0.3">
      <c r="A2534" s="44" t="s">
        <v>264</v>
      </c>
      <c r="B2534" s="44" t="s">
        <v>2351</v>
      </c>
      <c r="C2534" s="44" t="s">
        <v>41</v>
      </c>
      <c r="D2534" s="44">
        <v>5527288634</v>
      </c>
      <c r="E2534" s="44">
        <v>358316</v>
      </c>
      <c r="F2534" s="87">
        <v>3838</v>
      </c>
      <c r="G2534" s="46">
        <v>46180</v>
      </c>
    </row>
    <row r="2535" spans="1:7" s="60" customFormat="1" hidden="1" x14ac:dyDescent="0.3">
      <c r="A2535" s="60" t="s">
        <v>2141</v>
      </c>
      <c r="B2535" s="60" t="s">
        <v>2352</v>
      </c>
      <c r="C2535" s="60" t="s">
        <v>2353</v>
      </c>
      <c r="D2535" s="60">
        <v>5564833431</v>
      </c>
      <c r="E2535" s="60">
        <v>358179</v>
      </c>
      <c r="F2535" s="79">
        <v>3501</v>
      </c>
      <c r="G2535" s="69">
        <v>46180</v>
      </c>
    </row>
    <row r="2536" spans="1:7" hidden="1" x14ac:dyDescent="0.3">
      <c r="A2536" s="44" t="s">
        <v>2141</v>
      </c>
      <c r="B2536" s="44" t="s">
        <v>1012</v>
      </c>
      <c r="C2536" s="44" t="s">
        <v>1873</v>
      </c>
      <c r="D2536" s="44">
        <v>5536692880</v>
      </c>
      <c r="E2536" s="44">
        <v>305786</v>
      </c>
      <c r="F2536" s="87">
        <v>5985</v>
      </c>
      <c r="G2536" s="46">
        <v>46180</v>
      </c>
    </row>
    <row r="2537" spans="1:7" s="60" customFormat="1" hidden="1" x14ac:dyDescent="0.3">
      <c r="A2537" s="60" t="s">
        <v>2141</v>
      </c>
      <c r="B2537" s="60" t="s">
        <v>2165</v>
      </c>
      <c r="C2537" s="60" t="s">
        <v>1379</v>
      </c>
      <c r="D2537" s="60">
        <v>5621179158</v>
      </c>
      <c r="E2537" s="60">
        <v>196833</v>
      </c>
      <c r="F2537" s="79">
        <v>12880</v>
      </c>
      <c r="G2537" s="69">
        <v>46180</v>
      </c>
    </row>
    <row r="2538" spans="1:7" hidden="1" x14ac:dyDescent="0.3">
      <c r="A2538" s="44" t="s">
        <v>2141</v>
      </c>
      <c r="B2538" s="44" t="s">
        <v>2130</v>
      </c>
      <c r="C2538" s="44" t="s">
        <v>2084</v>
      </c>
      <c r="D2538" s="44">
        <v>5562863565</v>
      </c>
      <c r="E2538" s="44">
        <v>196134</v>
      </c>
      <c r="F2538" s="87">
        <v>3052</v>
      </c>
      <c r="G2538" s="46">
        <v>46180</v>
      </c>
    </row>
    <row r="2539" spans="1:7" s="42" customFormat="1" hidden="1" x14ac:dyDescent="0.3">
      <c r="A2539" s="42" t="s">
        <v>10</v>
      </c>
      <c r="B2539" s="42" t="s">
        <v>2354</v>
      </c>
      <c r="C2539" s="42" t="s">
        <v>1784</v>
      </c>
      <c r="D2539" s="42">
        <v>5563173397</v>
      </c>
      <c r="E2539" s="42">
        <v>358217</v>
      </c>
      <c r="F2539" s="86">
        <v>1001</v>
      </c>
      <c r="G2539" s="43">
        <v>46181</v>
      </c>
    </row>
    <row r="2540" spans="1:7" hidden="1" x14ac:dyDescent="0.3">
      <c r="A2540" s="44" t="s">
        <v>10</v>
      </c>
      <c r="B2540" s="44" t="s">
        <v>2355</v>
      </c>
      <c r="C2540" s="44" t="s">
        <v>2356</v>
      </c>
      <c r="D2540" s="44">
        <v>5510498099</v>
      </c>
      <c r="E2540" s="44">
        <v>196476</v>
      </c>
      <c r="F2540" s="87">
        <v>393</v>
      </c>
      <c r="G2540" s="46">
        <v>46181</v>
      </c>
    </row>
    <row r="2541" spans="1:7" s="42" customFormat="1" hidden="1" x14ac:dyDescent="0.3">
      <c r="A2541" s="42" t="s">
        <v>10</v>
      </c>
      <c r="B2541" s="42" t="s">
        <v>1915</v>
      </c>
      <c r="C2541" s="42" t="s">
        <v>115</v>
      </c>
      <c r="D2541" s="42">
        <v>5513668132</v>
      </c>
      <c r="E2541" s="42">
        <v>196757</v>
      </c>
      <c r="F2541" s="86">
        <v>2600</v>
      </c>
      <c r="G2541" s="43">
        <v>46181</v>
      </c>
    </row>
    <row r="2542" spans="1:7" hidden="1" x14ac:dyDescent="0.3">
      <c r="A2542" s="44" t="s">
        <v>10</v>
      </c>
      <c r="B2542" s="44" t="s">
        <v>2357</v>
      </c>
      <c r="C2542" s="44" t="s">
        <v>2358</v>
      </c>
      <c r="D2542" s="44">
        <v>5579077157</v>
      </c>
      <c r="E2542" s="44">
        <v>196909</v>
      </c>
      <c r="F2542" s="87">
        <v>8369</v>
      </c>
      <c r="G2542" s="46">
        <v>46181</v>
      </c>
    </row>
    <row r="2543" spans="1:7" s="42" customFormat="1" hidden="1" x14ac:dyDescent="0.3">
      <c r="A2543" s="42" t="s">
        <v>10</v>
      </c>
      <c r="B2543" s="42" t="s">
        <v>2359</v>
      </c>
      <c r="C2543" s="42" t="s">
        <v>1917</v>
      </c>
      <c r="D2543" s="42">
        <v>5530760629</v>
      </c>
      <c r="E2543" s="42">
        <v>358070</v>
      </c>
      <c r="F2543" s="86">
        <v>1324</v>
      </c>
      <c r="G2543" s="43">
        <v>46181</v>
      </c>
    </row>
    <row r="2544" spans="1:7" hidden="1" x14ac:dyDescent="0.3">
      <c r="A2544" s="44" t="s">
        <v>10</v>
      </c>
      <c r="B2544" s="44" t="s">
        <v>2360</v>
      </c>
      <c r="C2544" s="44" t="s">
        <v>2361</v>
      </c>
      <c r="D2544" s="44">
        <v>5518030209</v>
      </c>
      <c r="E2544" s="44">
        <v>305760</v>
      </c>
      <c r="F2544" s="87">
        <v>560</v>
      </c>
      <c r="G2544" s="46">
        <v>46181</v>
      </c>
    </row>
    <row r="2545" spans="1:8" s="42" customFormat="1" hidden="1" x14ac:dyDescent="0.3">
      <c r="A2545" s="42" t="s">
        <v>10</v>
      </c>
      <c r="B2545" s="42" t="s">
        <v>2360</v>
      </c>
      <c r="C2545" s="42" t="s">
        <v>2361</v>
      </c>
      <c r="D2545" s="42">
        <v>5518030209</v>
      </c>
      <c r="E2545" s="42">
        <v>305727</v>
      </c>
      <c r="F2545" s="86">
        <v>1417</v>
      </c>
      <c r="G2545" s="43">
        <v>46181</v>
      </c>
    </row>
    <row r="2546" spans="1:8" hidden="1" x14ac:dyDescent="0.3">
      <c r="A2546" s="44" t="s">
        <v>10</v>
      </c>
      <c r="B2546" s="44" t="s">
        <v>2360</v>
      </c>
      <c r="C2546" s="44" t="s">
        <v>2361</v>
      </c>
      <c r="D2546" s="44">
        <v>5518030209</v>
      </c>
      <c r="E2546" s="44">
        <v>305713</v>
      </c>
      <c r="F2546" s="87">
        <v>839</v>
      </c>
      <c r="G2546" s="46">
        <v>46181</v>
      </c>
    </row>
    <row r="2547" spans="1:8" s="42" customFormat="1" hidden="1" x14ac:dyDescent="0.3">
      <c r="A2547" s="42" t="s">
        <v>890</v>
      </c>
      <c r="B2547" s="42" t="s">
        <v>2362</v>
      </c>
      <c r="C2547" s="42" t="s">
        <v>153</v>
      </c>
      <c r="D2547" s="42">
        <v>5537536591</v>
      </c>
      <c r="E2547" s="42">
        <v>35150</v>
      </c>
      <c r="F2547" s="86">
        <v>2208</v>
      </c>
      <c r="G2547" s="43">
        <v>46181</v>
      </c>
    </row>
    <row r="2548" spans="1:8" hidden="1" x14ac:dyDescent="0.3">
      <c r="A2548" s="44" t="s">
        <v>890</v>
      </c>
      <c r="B2548" s="44" t="s">
        <v>2363</v>
      </c>
      <c r="C2548" s="44" t="s">
        <v>2364</v>
      </c>
      <c r="D2548" s="44">
        <v>5515383507</v>
      </c>
      <c r="E2548" s="44">
        <v>196758</v>
      </c>
      <c r="F2548" s="87">
        <v>2214</v>
      </c>
      <c r="G2548" s="46">
        <v>46181</v>
      </c>
    </row>
    <row r="2549" spans="1:8" s="42" customFormat="1" hidden="1" x14ac:dyDescent="0.3">
      <c r="A2549" s="42" t="s">
        <v>890</v>
      </c>
      <c r="B2549" s="42" t="s">
        <v>2365</v>
      </c>
      <c r="C2549" s="42" t="s">
        <v>2198</v>
      </c>
      <c r="D2549" s="42">
        <v>5525635631</v>
      </c>
      <c r="E2549" s="42">
        <v>305801</v>
      </c>
      <c r="F2549" s="86">
        <v>1100</v>
      </c>
      <c r="G2549" s="43">
        <v>46181</v>
      </c>
    </row>
    <row r="2550" spans="1:8" hidden="1" x14ac:dyDescent="0.3">
      <c r="A2550" s="44" t="s">
        <v>890</v>
      </c>
      <c r="B2550" s="44" t="s">
        <v>7</v>
      </c>
      <c r="C2550" s="44" t="s">
        <v>28</v>
      </c>
      <c r="D2550" s="44">
        <v>5545758293</v>
      </c>
      <c r="E2550" s="44">
        <v>305539</v>
      </c>
      <c r="F2550" s="87">
        <v>10171</v>
      </c>
      <c r="G2550" s="46">
        <v>46181</v>
      </c>
    </row>
    <row r="2551" spans="1:8" s="42" customFormat="1" hidden="1" x14ac:dyDescent="0.3">
      <c r="A2551" s="42" t="s">
        <v>264</v>
      </c>
      <c r="B2551" s="42" t="s">
        <v>2366</v>
      </c>
      <c r="C2551" s="42" t="s">
        <v>425</v>
      </c>
      <c r="D2551" s="42">
        <v>5539560553</v>
      </c>
      <c r="E2551" s="42">
        <v>305519</v>
      </c>
      <c r="F2551" s="86">
        <v>1734</v>
      </c>
      <c r="G2551" s="43">
        <v>46181</v>
      </c>
    </row>
    <row r="2552" spans="1:8" hidden="1" x14ac:dyDescent="0.3">
      <c r="A2552" s="44" t="s">
        <v>264</v>
      </c>
      <c r="B2552" s="44" t="s">
        <v>2367</v>
      </c>
      <c r="C2552" s="44" t="s">
        <v>1947</v>
      </c>
      <c r="D2552" s="44">
        <v>5579692362</v>
      </c>
      <c r="E2552" s="44">
        <v>305580</v>
      </c>
      <c r="F2552" s="87">
        <v>1423</v>
      </c>
      <c r="G2552" s="46">
        <v>46181</v>
      </c>
    </row>
    <row r="2553" spans="1:8" s="42" customFormat="1" hidden="1" x14ac:dyDescent="0.3">
      <c r="A2553" s="42" t="s">
        <v>264</v>
      </c>
      <c r="B2553" s="42" t="s">
        <v>2368</v>
      </c>
      <c r="C2553" s="42" t="s">
        <v>2369</v>
      </c>
      <c r="D2553" s="42">
        <v>5517877325</v>
      </c>
      <c r="E2553" s="42">
        <v>358114</v>
      </c>
      <c r="F2553" s="86">
        <v>1326</v>
      </c>
      <c r="G2553" s="43">
        <v>46181</v>
      </c>
    </row>
    <row r="2554" spans="1:8" hidden="1" x14ac:dyDescent="0.3">
      <c r="A2554" s="44" t="s">
        <v>264</v>
      </c>
      <c r="B2554" s="44" t="s">
        <v>2370</v>
      </c>
      <c r="C2554" s="44" t="s">
        <v>2286</v>
      </c>
      <c r="D2554" s="44">
        <v>7208175800</v>
      </c>
      <c r="E2554" s="44">
        <v>196885</v>
      </c>
      <c r="F2554" s="87">
        <v>1008</v>
      </c>
      <c r="G2554" s="46">
        <v>46181</v>
      </c>
    </row>
    <row r="2555" spans="1:8" s="42" customFormat="1" hidden="1" x14ac:dyDescent="0.3">
      <c r="A2555" s="42" t="s">
        <v>264</v>
      </c>
      <c r="B2555" s="42" t="s">
        <v>2371</v>
      </c>
      <c r="C2555" s="42" t="s">
        <v>2372</v>
      </c>
      <c r="D2555" s="42">
        <v>5529049760</v>
      </c>
      <c r="E2555" s="42">
        <v>358350</v>
      </c>
      <c r="F2555" s="86">
        <v>39492</v>
      </c>
      <c r="G2555" s="43">
        <v>46181</v>
      </c>
    </row>
    <row r="2556" spans="1:8" hidden="1" x14ac:dyDescent="0.3">
      <c r="A2556" s="44" t="s">
        <v>955</v>
      </c>
      <c r="B2556" s="44" t="s">
        <v>2373</v>
      </c>
      <c r="C2556" s="44" t="s">
        <v>2243</v>
      </c>
      <c r="D2556" s="44">
        <v>5516998123</v>
      </c>
      <c r="E2556" s="44">
        <v>196199</v>
      </c>
      <c r="F2556" s="87">
        <v>6277</v>
      </c>
      <c r="G2556" s="46">
        <v>46181</v>
      </c>
    </row>
    <row r="2557" spans="1:8" s="42" customFormat="1" hidden="1" x14ac:dyDescent="0.3">
      <c r="A2557" s="42" t="s">
        <v>955</v>
      </c>
      <c r="B2557" s="42" t="s">
        <v>1941</v>
      </c>
      <c r="C2557" s="42" t="s">
        <v>390</v>
      </c>
      <c r="D2557" s="42">
        <v>5554550976</v>
      </c>
      <c r="E2557" s="42">
        <v>305154</v>
      </c>
      <c r="F2557" s="86">
        <v>22782</v>
      </c>
      <c r="G2557" s="43">
        <v>46181</v>
      </c>
    </row>
    <row r="2558" spans="1:8" hidden="1" x14ac:dyDescent="0.3">
      <c r="A2558" s="44" t="s">
        <v>955</v>
      </c>
      <c r="B2558" s="44" t="s">
        <v>1941</v>
      </c>
      <c r="C2558" s="44" t="s">
        <v>390</v>
      </c>
      <c r="D2558" s="44">
        <v>5554550976</v>
      </c>
      <c r="E2558" s="44">
        <v>305153</v>
      </c>
      <c r="F2558" s="85">
        <v>5654</v>
      </c>
      <c r="G2558" s="46">
        <v>46181</v>
      </c>
      <c r="H2558" s="44" t="s">
        <v>1461</v>
      </c>
    </row>
    <row r="2559" spans="1:8" s="42" customFormat="1" hidden="1" x14ac:dyDescent="0.3">
      <c r="A2559" s="42" t="s">
        <v>890</v>
      </c>
      <c r="B2559" s="42" t="s">
        <v>2374</v>
      </c>
      <c r="C2559" s="42" t="s">
        <v>2375</v>
      </c>
      <c r="D2559" s="42">
        <v>5516443874</v>
      </c>
      <c r="E2559" s="42">
        <v>305426</v>
      </c>
      <c r="F2559" s="86">
        <v>1793</v>
      </c>
      <c r="G2559" s="43">
        <v>46181</v>
      </c>
    </row>
    <row r="2560" spans="1:8" hidden="1" x14ac:dyDescent="0.3">
      <c r="A2560" s="44" t="s">
        <v>890</v>
      </c>
      <c r="B2560" s="44" t="s">
        <v>2376</v>
      </c>
      <c r="C2560" s="44" t="s">
        <v>2377</v>
      </c>
      <c r="D2560" s="44">
        <v>5562326843</v>
      </c>
      <c r="E2560" s="44">
        <v>305490</v>
      </c>
      <c r="F2560" s="87">
        <v>5937</v>
      </c>
      <c r="G2560" s="46">
        <v>46181</v>
      </c>
    </row>
    <row r="2561" spans="1:9" s="76" customFormat="1" hidden="1" x14ac:dyDescent="0.3">
      <c r="A2561" s="76" t="s">
        <v>10</v>
      </c>
      <c r="B2561" s="76" t="s">
        <v>1182</v>
      </c>
      <c r="C2561" s="76" t="s">
        <v>816</v>
      </c>
      <c r="D2561" s="76">
        <v>5528013590</v>
      </c>
      <c r="E2561" s="76">
        <v>196832</v>
      </c>
      <c r="F2561" s="95">
        <v>1950</v>
      </c>
      <c r="G2561" s="77">
        <v>46182</v>
      </c>
    </row>
    <row r="2562" spans="1:9" hidden="1" x14ac:dyDescent="0.3">
      <c r="A2562" s="44" t="s">
        <v>10</v>
      </c>
      <c r="B2562" s="44" t="s">
        <v>2378</v>
      </c>
      <c r="C2562" s="44" t="s">
        <v>2252</v>
      </c>
      <c r="D2562" s="44">
        <v>5532019751</v>
      </c>
      <c r="E2562" s="44">
        <v>305565</v>
      </c>
      <c r="F2562" s="87">
        <v>9458</v>
      </c>
      <c r="G2562" s="46">
        <v>46182</v>
      </c>
    </row>
    <row r="2563" spans="1:9" s="76" customFormat="1" hidden="1" x14ac:dyDescent="0.3">
      <c r="A2563" s="76" t="s">
        <v>10</v>
      </c>
      <c r="B2563" s="76" t="s">
        <v>2378</v>
      </c>
      <c r="C2563" s="76" t="s">
        <v>2252</v>
      </c>
      <c r="D2563" s="76">
        <v>5532019751</v>
      </c>
      <c r="E2563" s="76">
        <v>305566</v>
      </c>
      <c r="F2563" s="95">
        <v>1526</v>
      </c>
      <c r="G2563" s="77">
        <v>46182</v>
      </c>
      <c r="H2563" s="76" t="s">
        <v>2379</v>
      </c>
    </row>
    <row r="2564" spans="1:9" hidden="1" x14ac:dyDescent="0.3">
      <c r="A2564" s="44" t="s">
        <v>10</v>
      </c>
      <c r="B2564" s="44" t="s">
        <v>2380</v>
      </c>
      <c r="C2564" s="44" t="s">
        <v>478</v>
      </c>
      <c r="D2564" s="44">
        <v>5563256687</v>
      </c>
      <c r="E2564" s="44">
        <v>196769</v>
      </c>
      <c r="F2564" s="87">
        <v>7505</v>
      </c>
      <c r="G2564" s="46">
        <v>46182</v>
      </c>
    </row>
    <row r="2565" spans="1:9" s="76" customFormat="1" hidden="1" x14ac:dyDescent="0.3">
      <c r="A2565" s="76" t="s">
        <v>10</v>
      </c>
      <c r="B2565" s="76" t="s">
        <v>7</v>
      </c>
      <c r="C2565" s="76" t="s">
        <v>2390</v>
      </c>
      <c r="D2565" s="76">
        <v>5545758293</v>
      </c>
      <c r="E2565" s="76">
        <v>305784</v>
      </c>
      <c r="F2565" s="95">
        <v>3057</v>
      </c>
      <c r="G2565" s="77">
        <v>46182</v>
      </c>
    </row>
    <row r="2566" spans="1:9" hidden="1" x14ac:dyDescent="0.3">
      <c r="A2566" s="44" t="s">
        <v>11</v>
      </c>
      <c r="B2566" s="44" t="s">
        <v>2381</v>
      </c>
      <c r="C2566" s="44" t="s">
        <v>2392</v>
      </c>
      <c r="D2566" s="44">
        <v>5568167012</v>
      </c>
      <c r="E2566" s="44">
        <v>196345</v>
      </c>
      <c r="F2566" s="87">
        <v>1858</v>
      </c>
      <c r="G2566" s="46">
        <v>46182</v>
      </c>
    </row>
    <row r="2567" spans="1:9" s="76" customFormat="1" hidden="1" x14ac:dyDescent="0.3">
      <c r="A2567" s="76" t="s">
        <v>11</v>
      </c>
      <c r="B2567" s="76" t="s">
        <v>2391</v>
      </c>
      <c r="C2567" s="76" t="s">
        <v>2392</v>
      </c>
      <c r="D2567" s="76">
        <v>5568167012</v>
      </c>
      <c r="E2567" s="76">
        <v>196346</v>
      </c>
      <c r="F2567" s="95">
        <v>1882</v>
      </c>
      <c r="G2567" s="77">
        <v>46182</v>
      </c>
      <c r="H2567" s="76" t="s">
        <v>2382</v>
      </c>
    </row>
    <row r="2568" spans="1:9" s="76" customFormat="1" hidden="1" x14ac:dyDescent="0.3">
      <c r="A2568" s="76" t="s">
        <v>11</v>
      </c>
      <c r="B2568" s="76" t="s">
        <v>2389</v>
      </c>
      <c r="C2568" s="76" t="s">
        <v>1948</v>
      </c>
      <c r="D2568" s="76">
        <v>5557741807</v>
      </c>
      <c r="E2568" s="76">
        <v>196513</v>
      </c>
      <c r="F2568" s="95">
        <v>2790</v>
      </c>
      <c r="G2568" s="77">
        <v>46182</v>
      </c>
    </row>
    <row r="2569" spans="1:9" hidden="1" x14ac:dyDescent="0.3">
      <c r="A2569" s="44" t="s">
        <v>11</v>
      </c>
      <c r="B2569" s="44" t="s">
        <v>2383</v>
      </c>
      <c r="C2569" s="44" t="s">
        <v>1902</v>
      </c>
      <c r="D2569" s="44">
        <v>5555035310</v>
      </c>
      <c r="E2569" s="44">
        <v>196335</v>
      </c>
      <c r="F2569" s="87">
        <v>10968</v>
      </c>
      <c r="G2569" s="46">
        <v>46182</v>
      </c>
    </row>
    <row r="2570" spans="1:9" s="76" customFormat="1" hidden="1" x14ac:dyDescent="0.3">
      <c r="A2570" s="76" t="s">
        <v>955</v>
      </c>
      <c r="B2570" s="76" t="s">
        <v>1956</v>
      </c>
      <c r="C2570" s="76" t="s">
        <v>2384</v>
      </c>
      <c r="D2570" s="76">
        <v>5526754082</v>
      </c>
      <c r="E2570" s="76">
        <v>197064</v>
      </c>
      <c r="F2570" s="95">
        <v>650</v>
      </c>
      <c r="G2570" s="77">
        <v>46182</v>
      </c>
    </row>
    <row r="2571" spans="1:9" hidden="1" x14ac:dyDescent="0.3">
      <c r="A2571" s="44" t="s">
        <v>955</v>
      </c>
      <c r="B2571" s="44" t="s">
        <v>1956</v>
      </c>
      <c r="C2571" s="44" t="s">
        <v>2384</v>
      </c>
      <c r="D2571" s="44">
        <v>5526754082</v>
      </c>
      <c r="E2571" s="44">
        <v>197066</v>
      </c>
      <c r="F2571" s="87">
        <v>568</v>
      </c>
      <c r="G2571" s="46">
        <v>46182</v>
      </c>
      <c r="H2571" s="44" t="s">
        <v>2385</v>
      </c>
      <c r="I2571" s="44">
        <v>8</v>
      </c>
    </row>
    <row r="2572" spans="1:9" s="76" customFormat="1" hidden="1" x14ac:dyDescent="0.3">
      <c r="A2572" s="76" t="s">
        <v>955</v>
      </c>
      <c r="B2572" s="76" t="s">
        <v>2386</v>
      </c>
      <c r="C2572" s="76" t="s">
        <v>2387</v>
      </c>
      <c r="D2572" s="76">
        <v>5613706140</v>
      </c>
      <c r="E2572" s="76">
        <v>305895</v>
      </c>
      <c r="F2572" s="95">
        <v>22204</v>
      </c>
      <c r="G2572" s="77">
        <v>46182</v>
      </c>
    </row>
    <row r="2573" spans="1:9" hidden="1" x14ac:dyDescent="0.3">
      <c r="A2573" s="44" t="s">
        <v>955</v>
      </c>
      <c r="B2573" s="44" t="s">
        <v>2214</v>
      </c>
      <c r="C2573" s="44" t="s">
        <v>2084</v>
      </c>
      <c r="D2573" s="44">
        <v>5621030826</v>
      </c>
      <c r="E2573" s="44">
        <v>305939</v>
      </c>
      <c r="F2573" s="87">
        <v>3252</v>
      </c>
      <c r="G2573" s="46">
        <v>46182</v>
      </c>
    </row>
    <row r="2574" spans="1:9" s="76" customFormat="1" hidden="1" x14ac:dyDescent="0.3">
      <c r="A2574" s="76" t="s">
        <v>955</v>
      </c>
      <c r="B2574" s="76" t="s">
        <v>2388</v>
      </c>
      <c r="C2574" s="76" t="s">
        <v>1510</v>
      </c>
      <c r="D2574" s="76">
        <v>5538822564</v>
      </c>
      <c r="E2574" s="76">
        <v>305919</v>
      </c>
      <c r="F2574" s="95">
        <v>555</v>
      </c>
      <c r="G2574" s="77">
        <v>46182</v>
      </c>
    </row>
    <row r="2575" spans="1:9" hidden="1" x14ac:dyDescent="0.3">
      <c r="A2575" s="44" t="s">
        <v>955</v>
      </c>
      <c r="B2575" s="44" t="s">
        <v>2388</v>
      </c>
      <c r="C2575" s="44" t="s">
        <v>1510</v>
      </c>
      <c r="D2575" s="44">
        <v>5538822564</v>
      </c>
      <c r="E2575" s="44">
        <v>305948</v>
      </c>
      <c r="F2575" s="87">
        <v>4934</v>
      </c>
      <c r="G2575" s="46">
        <v>46182</v>
      </c>
      <c r="H2575" s="44" t="s">
        <v>2112</v>
      </c>
    </row>
    <row r="2576" spans="1:9" s="76" customFormat="1" hidden="1" x14ac:dyDescent="0.3">
      <c r="A2576" s="76" t="s">
        <v>264</v>
      </c>
      <c r="B2576" s="76" t="s">
        <v>998</v>
      </c>
      <c r="C2576" s="76" t="s">
        <v>1885</v>
      </c>
      <c r="D2576" s="76">
        <v>5518666206</v>
      </c>
      <c r="E2576" s="76">
        <v>195408</v>
      </c>
      <c r="F2576" s="95">
        <v>59795</v>
      </c>
      <c r="G2576" s="77">
        <v>46182</v>
      </c>
    </row>
    <row r="2577" spans="1:8" hidden="1" x14ac:dyDescent="0.3">
      <c r="A2577" s="44" t="s">
        <v>264</v>
      </c>
      <c r="B2577" s="44" t="s">
        <v>998</v>
      </c>
      <c r="C2577" s="44" t="s">
        <v>1885</v>
      </c>
      <c r="D2577" s="44">
        <v>5518666206</v>
      </c>
      <c r="E2577" s="44">
        <v>195795</v>
      </c>
      <c r="F2577" s="87">
        <v>1026</v>
      </c>
      <c r="G2577" s="46">
        <v>46182</v>
      </c>
    </row>
    <row r="2578" spans="1:8" s="76" customFormat="1" hidden="1" x14ac:dyDescent="0.3">
      <c r="A2578" s="76" t="s">
        <v>264</v>
      </c>
      <c r="B2578" s="76" t="s">
        <v>998</v>
      </c>
      <c r="C2578" s="76" t="s">
        <v>1885</v>
      </c>
      <c r="D2578" s="76">
        <v>5518666206</v>
      </c>
      <c r="E2578" s="76">
        <v>196516</v>
      </c>
      <c r="F2578" s="95">
        <v>5042</v>
      </c>
      <c r="G2578" s="77">
        <v>46182</v>
      </c>
    </row>
    <row r="2579" spans="1:8" hidden="1" x14ac:dyDescent="0.3">
      <c r="A2579" s="44" t="s">
        <v>10</v>
      </c>
      <c r="B2579" s="44" t="s">
        <v>2393</v>
      </c>
      <c r="C2579" s="44" t="s">
        <v>2286</v>
      </c>
      <c r="D2579" s="44">
        <v>5532220804</v>
      </c>
      <c r="E2579" s="44">
        <v>196661</v>
      </c>
      <c r="F2579" s="87">
        <v>8448</v>
      </c>
      <c r="G2579" s="46">
        <v>46182</v>
      </c>
    </row>
    <row r="2580" spans="1:8" s="76" customFormat="1" hidden="1" x14ac:dyDescent="0.3">
      <c r="A2580" s="76" t="s">
        <v>10</v>
      </c>
      <c r="B2580" s="76" t="s">
        <v>96</v>
      </c>
      <c r="C2580" s="76" t="s">
        <v>2394</v>
      </c>
      <c r="D2580" s="76">
        <v>5535173661</v>
      </c>
      <c r="E2580" s="76">
        <v>196539</v>
      </c>
      <c r="F2580" s="95">
        <v>2639</v>
      </c>
      <c r="G2580" s="77">
        <v>46182</v>
      </c>
    </row>
    <row r="2581" spans="1:8" hidden="1" x14ac:dyDescent="0.3">
      <c r="A2581" s="44" t="s">
        <v>955</v>
      </c>
      <c r="B2581" s="44" t="s">
        <v>1978</v>
      </c>
      <c r="C2581" s="44" t="s">
        <v>2390</v>
      </c>
      <c r="D2581" s="44">
        <v>5545758293</v>
      </c>
      <c r="E2581" s="44">
        <v>305591</v>
      </c>
      <c r="F2581" s="87">
        <v>7449</v>
      </c>
      <c r="G2581" s="46">
        <v>46182</v>
      </c>
    </row>
    <row r="2582" spans="1:8" s="76" customFormat="1" hidden="1" x14ac:dyDescent="0.3">
      <c r="A2582" s="76" t="s">
        <v>955</v>
      </c>
      <c r="B2582" s="76" t="s">
        <v>1822</v>
      </c>
      <c r="C2582" s="76" t="s">
        <v>2114</v>
      </c>
      <c r="D2582" s="76">
        <v>5610944519</v>
      </c>
      <c r="E2582" s="76">
        <v>196371</v>
      </c>
      <c r="F2582" s="95">
        <v>10713</v>
      </c>
      <c r="G2582" s="77">
        <v>46182</v>
      </c>
    </row>
    <row r="2583" spans="1:8" hidden="1" x14ac:dyDescent="0.3">
      <c r="A2583" s="44" t="s">
        <v>2141</v>
      </c>
      <c r="B2583" s="44" t="s">
        <v>1408</v>
      </c>
      <c r="C2583" s="44" t="s">
        <v>2395</v>
      </c>
      <c r="D2583" s="44">
        <v>5581490100</v>
      </c>
      <c r="E2583" s="44">
        <v>196546</v>
      </c>
      <c r="F2583" s="87">
        <v>1562</v>
      </c>
      <c r="G2583" s="46">
        <v>46183</v>
      </c>
    </row>
    <row r="2584" spans="1:8" s="109" customFormat="1" hidden="1" x14ac:dyDescent="0.3">
      <c r="A2584" s="109" t="s">
        <v>2141</v>
      </c>
      <c r="B2584" s="109" t="s">
        <v>233</v>
      </c>
      <c r="C2584" s="109" t="s">
        <v>103</v>
      </c>
      <c r="D2584" s="109">
        <v>5586772887</v>
      </c>
      <c r="E2584" s="109">
        <v>358184</v>
      </c>
      <c r="F2584" s="110">
        <v>5693</v>
      </c>
      <c r="G2584" s="111">
        <v>46183</v>
      </c>
    </row>
    <row r="2585" spans="1:8" hidden="1" x14ac:dyDescent="0.3">
      <c r="A2585" s="44" t="s">
        <v>2141</v>
      </c>
      <c r="B2585" s="44" t="s">
        <v>233</v>
      </c>
      <c r="C2585" s="44" t="s">
        <v>103</v>
      </c>
      <c r="D2585" s="44">
        <v>5586772887</v>
      </c>
      <c r="E2585" s="44">
        <v>358183</v>
      </c>
      <c r="F2585" s="87">
        <v>9128</v>
      </c>
      <c r="G2585" s="46">
        <v>46183</v>
      </c>
    </row>
    <row r="2586" spans="1:8" s="109" customFormat="1" hidden="1" x14ac:dyDescent="0.3">
      <c r="A2586" s="109" t="s">
        <v>2141</v>
      </c>
      <c r="B2586" s="109" t="s">
        <v>1303</v>
      </c>
      <c r="C2586" s="109" t="s">
        <v>1929</v>
      </c>
      <c r="D2586" s="109">
        <v>5554572412</v>
      </c>
      <c r="E2586" s="109">
        <v>305688</v>
      </c>
      <c r="F2586" s="110">
        <v>2720</v>
      </c>
      <c r="G2586" s="111">
        <v>46183</v>
      </c>
    </row>
    <row r="2587" spans="1:8" hidden="1" x14ac:dyDescent="0.3">
      <c r="A2587" s="44" t="s">
        <v>2141</v>
      </c>
      <c r="B2587" s="44" t="s">
        <v>1303</v>
      </c>
      <c r="C2587" s="44" t="s">
        <v>1929</v>
      </c>
      <c r="D2587" s="44">
        <v>5554572412</v>
      </c>
      <c r="E2587" s="44">
        <v>35132</v>
      </c>
      <c r="F2587" s="87">
        <v>211</v>
      </c>
      <c r="G2587" s="46">
        <v>46183</v>
      </c>
    </row>
    <row r="2588" spans="1:8" s="109" customFormat="1" hidden="1" x14ac:dyDescent="0.3">
      <c r="A2588" s="109" t="s">
        <v>2141</v>
      </c>
      <c r="B2588" s="109" t="s">
        <v>1303</v>
      </c>
      <c r="C2588" s="109" t="s">
        <v>1929</v>
      </c>
      <c r="D2588" s="109">
        <v>5554572412</v>
      </c>
      <c r="E2588" s="109">
        <v>35133</v>
      </c>
      <c r="F2588" s="110">
        <v>548</v>
      </c>
      <c r="G2588" s="111">
        <v>46183</v>
      </c>
    </row>
    <row r="2589" spans="1:8" hidden="1" x14ac:dyDescent="0.3">
      <c r="A2589" s="44" t="s">
        <v>2141</v>
      </c>
      <c r="B2589" s="44" t="s">
        <v>2396</v>
      </c>
      <c r="C2589" s="44" t="s">
        <v>1920</v>
      </c>
      <c r="D2589" s="44">
        <v>5547956325</v>
      </c>
      <c r="E2589" s="44">
        <v>196851</v>
      </c>
      <c r="F2589" s="87">
        <v>28625</v>
      </c>
      <c r="G2589" s="46">
        <v>46183</v>
      </c>
    </row>
    <row r="2590" spans="1:8" s="109" customFormat="1" hidden="1" x14ac:dyDescent="0.3">
      <c r="A2590" s="109" t="s">
        <v>890</v>
      </c>
      <c r="B2590" s="109" t="s">
        <v>2397</v>
      </c>
      <c r="C2590" s="109" t="s">
        <v>2148</v>
      </c>
      <c r="D2590" s="109">
        <v>5525240282</v>
      </c>
      <c r="E2590" s="109">
        <v>306003</v>
      </c>
      <c r="F2590" s="110">
        <v>4365</v>
      </c>
      <c r="G2590" s="111">
        <v>46183</v>
      </c>
      <c r="H2590" s="109" t="s">
        <v>1861</v>
      </c>
    </row>
    <row r="2591" spans="1:8" hidden="1" x14ac:dyDescent="0.3">
      <c r="A2591" s="44" t="s">
        <v>890</v>
      </c>
      <c r="B2591" s="44" t="s">
        <v>1992</v>
      </c>
      <c r="C2591" s="44" t="s">
        <v>279</v>
      </c>
      <c r="D2591" s="44">
        <v>5610186288</v>
      </c>
      <c r="E2591" s="44">
        <v>196875</v>
      </c>
      <c r="F2591" s="85">
        <v>9582</v>
      </c>
      <c r="G2591" s="46">
        <v>46183</v>
      </c>
    </row>
    <row r="2592" spans="1:8" s="109" customFormat="1" hidden="1" x14ac:dyDescent="0.3">
      <c r="A2592" s="109" t="s">
        <v>890</v>
      </c>
      <c r="B2592" s="109" t="s">
        <v>2121</v>
      </c>
      <c r="C2592" s="109" t="s">
        <v>724</v>
      </c>
      <c r="D2592" s="109">
        <v>5511246208</v>
      </c>
      <c r="E2592" s="109">
        <v>357963</v>
      </c>
      <c r="F2592" s="110">
        <v>8114</v>
      </c>
      <c r="G2592" s="111">
        <v>46183</v>
      </c>
      <c r="H2592" s="109" t="s">
        <v>1869</v>
      </c>
    </row>
    <row r="2593" spans="1:7" hidden="1" x14ac:dyDescent="0.3">
      <c r="A2593" s="44" t="s">
        <v>890</v>
      </c>
      <c r="B2593" s="44" t="s">
        <v>2406</v>
      </c>
      <c r="C2593" s="44" t="s">
        <v>2148</v>
      </c>
      <c r="D2593" s="44">
        <v>5544826119</v>
      </c>
      <c r="E2593" s="44">
        <v>196810</v>
      </c>
      <c r="F2593" s="85">
        <v>3816</v>
      </c>
      <c r="G2593" s="46">
        <v>46183</v>
      </c>
    </row>
    <row r="2594" spans="1:7" s="109" customFormat="1" hidden="1" x14ac:dyDescent="0.3">
      <c r="A2594" s="109" t="s">
        <v>890</v>
      </c>
      <c r="B2594" s="109" t="s">
        <v>2398</v>
      </c>
      <c r="C2594" s="109" t="s">
        <v>2394</v>
      </c>
      <c r="D2594" s="109">
        <v>5571984400</v>
      </c>
      <c r="E2594" s="109">
        <v>196680</v>
      </c>
      <c r="F2594" s="110">
        <v>3070</v>
      </c>
      <c r="G2594" s="111">
        <v>46183</v>
      </c>
    </row>
    <row r="2595" spans="1:7" hidden="1" x14ac:dyDescent="0.3">
      <c r="A2595" s="44" t="s">
        <v>955</v>
      </c>
      <c r="B2595" s="44" t="s">
        <v>926</v>
      </c>
      <c r="C2595" s="44" t="s">
        <v>2404</v>
      </c>
      <c r="D2595" s="44">
        <v>5557557036</v>
      </c>
      <c r="E2595" s="44">
        <v>306038</v>
      </c>
      <c r="F2595" s="85">
        <v>4475</v>
      </c>
      <c r="G2595" s="46">
        <v>46183</v>
      </c>
    </row>
    <row r="2596" spans="1:7" s="109" customFormat="1" hidden="1" x14ac:dyDescent="0.3">
      <c r="A2596" s="109" t="s">
        <v>955</v>
      </c>
      <c r="B2596" s="109" t="s">
        <v>2399</v>
      </c>
      <c r="C2596" s="109" t="s">
        <v>2400</v>
      </c>
      <c r="D2596" s="109">
        <v>5581640657</v>
      </c>
      <c r="E2596" s="109">
        <v>358377</v>
      </c>
      <c r="F2596" s="110">
        <v>560</v>
      </c>
      <c r="G2596" s="111">
        <v>46183</v>
      </c>
    </row>
    <row r="2597" spans="1:7" hidden="1" x14ac:dyDescent="0.3">
      <c r="A2597" s="44" t="s">
        <v>955</v>
      </c>
      <c r="B2597" s="44" t="s">
        <v>2399</v>
      </c>
      <c r="C2597" s="44" t="s">
        <v>2400</v>
      </c>
      <c r="D2597" s="44">
        <v>5581640657</v>
      </c>
      <c r="E2597" s="44">
        <v>358375</v>
      </c>
      <c r="F2597" s="85">
        <v>650</v>
      </c>
      <c r="G2597" s="46">
        <v>46183</v>
      </c>
    </row>
    <row r="2598" spans="1:7" s="109" customFormat="1" hidden="1" x14ac:dyDescent="0.3">
      <c r="A2598" s="109" t="s">
        <v>955</v>
      </c>
      <c r="B2598" s="109" t="s">
        <v>2407</v>
      </c>
      <c r="C2598" s="109" t="s">
        <v>2405</v>
      </c>
      <c r="D2598" s="109">
        <v>5585609939</v>
      </c>
      <c r="E2598" s="109">
        <v>196795</v>
      </c>
      <c r="F2598" s="110">
        <v>4301</v>
      </c>
      <c r="G2598" s="111">
        <v>46183</v>
      </c>
    </row>
    <row r="2599" spans="1:7" hidden="1" x14ac:dyDescent="0.3">
      <c r="A2599" s="44" t="s">
        <v>264</v>
      </c>
      <c r="B2599" s="44" t="s">
        <v>2401</v>
      </c>
      <c r="C2599" s="44" t="s">
        <v>285</v>
      </c>
      <c r="D2599" s="44">
        <v>5560008822</v>
      </c>
      <c r="E2599" s="44">
        <v>197210</v>
      </c>
      <c r="F2599" s="85">
        <v>2080</v>
      </c>
      <c r="G2599" s="46">
        <v>46183</v>
      </c>
    </row>
    <row r="2600" spans="1:7" ht="15.75" hidden="1" customHeight="1" x14ac:dyDescent="0.3">
      <c r="A2600" s="44" t="s">
        <v>264</v>
      </c>
      <c r="B2600" s="44" t="s">
        <v>2402</v>
      </c>
      <c r="C2600" s="44" t="s">
        <v>2403</v>
      </c>
      <c r="D2600" s="44">
        <v>5548450934</v>
      </c>
      <c r="E2600" s="44">
        <v>358386</v>
      </c>
      <c r="F2600" s="85">
        <v>1383</v>
      </c>
      <c r="G2600" s="46">
        <v>46183</v>
      </c>
    </row>
    <row r="2601" spans="1:7" s="109" customFormat="1" x14ac:dyDescent="0.3">
      <c r="A2601" s="109" t="s">
        <v>264</v>
      </c>
      <c r="B2601" s="109" t="s">
        <v>2181</v>
      </c>
      <c r="C2601" s="109" t="s">
        <v>2191</v>
      </c>
      <c r="D2601" s="109">
        <v>5551905191</v>
      </c>
      <c r="E2601" s="109">
        <v>305386</v>
      </c>
      <c r="F2601" s="110">
        <v>19251</v>
      </c>
      <c r="G2601" s="111">
        <v>46183</v>
      </c>
    </row>
    <row r="2602" spans="1:7" hidden="1" x14ac:dyDescent="0.3">
      <c r="A2602" s="44" t="s">
        <v>955</v>
      </c>
      <c r="B2602" s="44" t="s">
        <v>1523</v>
      </c>
      <c r="C2602" s="44" t="s">
        <v>2408</v>
      </c>
      <c r="D2602" s="44">
        <v>5544564991</v>
      </c>
      <c r="E2602" s="44">
        <v>196952</v>
      </c>
      <c r="F2602" s="87">
        <v>4643</v>
      </c>
      <c r="G2602" s="46">
        <v>46183</v>
      </c>
    </row>
    <row r="2603" spans="1:7" s="109" customFormat="1" hidden="1" x14ac:dyDescent="0.3">
      <c r="A2603" s="109" t="s">
        <v>955</v>
      </c>
      <c r="B2603" s="109" t="s">
        <v>2327</v>
      </c>
      <c r="C2603" s="109" t="s">
        <v>2328</v>
      </c>
      <c r="D2603" s="109">
        <v>5540964748</v>
      </c>
      <c r="E2603" s="109">
        <v>358373</v>
      </c>
      <c r="F2603" s="110">
        <v>1703</v>
      </c>
      <c r="G2603" s="111">
        <v>46183</v>
      </c>
    </row>
    <row r="2604" spans="1:7" hidden="1" x14ac:dyDescent="0.3">
      <c r="A2604" s="44" t="s">
        <v>955</v>
      </c>
      <c r="B2604" s="44" t="s">
        <v>249</v>
      </c>
      <c r="C2604" s="44" t="s">
        <v>393</v>
      </c>
      <c r="D2604" s="44">
        <v>5535334019</v>
      </c>
      <c r="E2604" s="44">
        <v>358266</v>
      </c>
      <c r="F2604" s="87">
        <v>9300</v>
      </c>
      <c r="G2604" s="46">
        <v>46183</v>
      </c>
    </row>
    <row r="2605" spans="1:7" s="48" customFormat="1" hidden="1" x14ac:dyDescent="0.3">
      <c r="A2605" s="48" t="s">
        <v>890</v>
      </c>
      <c r="B2605" s="48" t="s">
        <v>55</v>
      </c>
      <c r="C2605" s="48" t="s">
        <v>2409</v>
      </c>
      <c r="D2605" s="48">
        <v>5620807201</v>
      </c>
      <c r="E2605" s="48">
        <v>35094</v>
      </c>
      <c r="F2605" s="88">
        <v>350694</v>
      </c>
      <c r="G2605" s="50">
        <v>46184</v>
      </c>
    </row>
    <row r="2606" spans="1:7" hidden="1" x14ac:dyDescent="0.3">
      <c r="A2606" s="44" t="s">
        <v>890</v>
      </c>
      <c r="B2606" s="44" t="s">
        <v>55</v>
      </c>
      <c r="C2606" s="44" t="s">
        <v>2409</v>
      </c>
      <c r="D2606" s="44">
        <v>5620807201</v>
      </c>
      <c r="E2606" s="44">
        <v>196367</v>
      </c>
      <c r="F2606" s="87">
        <v>930</v>
      </c>
      <c r="G2606" s="46">
        <v>46184</v>
      </c>
    </row>
    <row r="2607" spans="1:7" s="48" customFormat="1" hidden="1" x14ac:dyDescent="0.3">
      <c r="A2607" s="44" t="s">
        <v>47</v>
      </c>
      <c r="B2607" s="44" t="s">
        <v>879</v>
      </c>
      <c r="C2607" s="44" t="s">
        <v>880</v>
      </c>
      <c r="D2607" s="44">
        <v>5536791358</v>
      </c>
      <c r="E2607" s="44">
        <v>296987</v>
      </c>
      <c r="F2607" s="85">
        <v>19079.88</v>
      </c>
      <c r="G2607" s="46">
        <v>46057</v>
      </c>
    </row>
    <row r="2608" spans="1:7" hidden="1" x14ac:dyDescent="0.3">
      <c r="A2608" s="44" t="s">
        <v>264</v>
      </c>
      <c r="B2608" s="44" t="s">
        <v>1854</v>
      </c>
      <c r="C2608" s="44" t="s">
        <v>2410</v>
      </c>
      <c r="D2608" s="44">
        <v>5525582081</v>
      </c>
      <c r="E2608" s="44">
        <v>358575</v>
      </c>
      <c r="F2608" s="87">
        <v>3074</v>
      </c>
      <c r="G2608" s="46">
        <v>46184</v>
      </c>
    </row>
    <row r="2609" spans="1:7" s="48" customFormat="1" hidden="1" x14ac:dyDescent="0.3">
      <c r="A2609" s="48" t="s">
        <v>264</v>
      </c>
      <c r="B2609" s="48" t="s">
        <v>2411</v>
      </c>
      <c r="C2609" s="48" t="s">
        <v>2412</v>
      </c>
      <c r="D2609" s="48">
        <v>5521373097</v>
      </c>
      <c r="E2609" s="48">
        <v>305988</v>
      </c>
      <c r="F2609" s="88">
        <v>300</v>
      </c>
      <c r="G2609" s="50">
        <v>46184</v>
      </c>
    </row>
    <row r="2610" spans="1:7" hidden="1" x14ac:dyDescent="0.3">
      <c r="A2610" s="44" t="s">
        <v>264</v>
      </c>
      <c r="B2610" s="44" t="s">
        <v>2413</v>
      </c>
      <c r="C2610" s="44" t="s">
        <v>1902</v>
      </c>
      <c r="D2610" s="44">
        <v>5542184903</v>
      </c>
      <c r="E2610" s="44">
        <v>197012</v>
      </c>
      <c r="F2610" s="87">
        <v>3622</v>
      </c>
      <c r="G2610" s="46">
        <v>46184</v>
      </c>
    </row>
    <row r="2611" spans="1:7" s="48" customFormat="1" x14ac:dyDescent="0.3">
      <c r="A2611" s="48" t="s">
        <v>264</v>
      </c>
      <c r="B2611" s="48" t="s">
        <v>2414</v>
      </c>
      <c r="C2611" s="48" t="s">
        <v>763</v>
      </c>
      <c r="D2611" s="48">
        <v>7296931102</v>
      </c>
      <c r="E2611" s="48">
        <v>358527</v>
      </c>
      <c r="F2611" s="88">
        <v>1626</v>
      </c>
      <c r="G2611" s="50">
        <v>46184</v>
      </c>
    </row>
    <row r="2612" spans="1:7" hidden="1" x14ac:dyDescent="0.3">
      <c r="A2612" s="44" t="s">
        <v>264</v>
      </c>
      <c r="B2612" s="44" t="s">
        <v>428</v>
      </c>
      <c r="C2612" s="44" t="s">
        <v>1947</v>
      </c>
      <c r="D2612" s="44">
        <v>5571687373</v>
      </c>
      <c r="E2612" s="44">
        <v>197371</v>
      </c>
      <c r="F2612" s="87">
        <v>3050</v>
      </c>
      <c r="G2612" s="46">
        <v>46184</v>
      </c>
    </row>
    <row r="2613" spans="1:7" s="48" customFormat="1" hidden="1" x14ac:dyDescent="0.3">
      <c r="A2613" s="48" t="s">
        <v>264</v>
      </c>
      <c r="B2613" s="48" t="s">
        <v>146</v>
      </c>
      <c r="C2613" s="48" t="s">
        <v>2415</v>
      </c>
      <c r="D2613" s="48">
        <v>5515033315</v>
      </c>
      <c r="E2613" s="48">
        <v>358437</v>
      </c>
      <c r="F2613" s="88">
        <v>1376</v>
      </c>
      <c r="G2613" s="50">
        <v>46184</v>
      </c>
    </row>
    <row r="2614" spans="1:7" hidden="1" x14ac:dyDescent="0.3">
      <c r="A2614" s="44" t="s">
        <v>264</v>
      </c>
      <c r="B2614" s="44" t="s">
        <v>2416</v>
      </c>
      <c r="C2614" s="44" t="s">
        <v>285</v>
      </c>
      <c r="D2614" s="44">
        <v>5533555876</v>
      </c>
      <c r="E2614" s="44">
        <v>358382</v>
      </c>
      <c r="F2614" s="87">
        <v>4311</v>
      </c>
      <c r="G2614" s="46">
        <v>46184</v>
      </c>
    </row>
    <row r="2615" spans="1:7" s="48" customFormat="1" hidden="1" x14ac:dyDescent="0.3">
      <c r="A2615" s="48" t="s">
        <v>955</v>
      </c>
      <c r="B2615" s="48" t="s">
        <v>314</v>
      </c>
      <c r="C2615" s="48" t="s">
        <v>1948</v>
      </c>
      <c r="D2615" s="48">
        <v>5544844808</v>
      </c>
      <c r="E2615" s="48">
        <v>305790</v>
      </c>
      <c r="F2615" s="88">
        <v>2713</v>
      </c>
      <c r="G2615" s="50">
        <v>46184</v>
      </c>
    </row>
    <row r="2616" spans="1:7" hidden="1" x14ac:dyDescent="0.3">
      <c r="A2616" s="44" t="s">
        <v>955</v>
      </c>
      <c r="B2616" s="44" t="s">
        <v>249</v>
      </c>
      <c r="C2616" s="44" t="s">
        <v>393</v>
      </c>
      <c r="D2616" s="44">
        <v>5535334019</v>
      </c>
      <c r="E2616" s="44">
        <v>196608</v>
      </c>
      <c r="F2616" s="87">
        <v>7710</v>
      </c>
      <c r="G2616" s="46">
        <v>46184</v>
      </c>
    </row>
    <row r="2617" spans="1:7" s="48" customFormat="1" hidden="1" x14ac:dyDescent="0.3">
      <c r="A2617" s="48" t="s">
        <v>955</v>
      </c>
      <c r="B2617" s="48" t="s">
        <v>249</v>
      </c>
      <c r="C2617" s="48" t="s">
        <v>393</v>
      </c>
      <c r="D2617" s="48">
        <v>5535334019</v>
      </c>
      <c r="E2617" s="48">
        <v>196576</v>
      </c>
      <c r="F2617" s="88">
        <v>2351</v>
      </c>
      <c r="G2617" s="50">
        <v>46184</v>
      </c>
    </row>
    <row r="2618" spans="1:7" hidden="1" x14ac:dyDescent="0.3">
      <c r="A2618" s="44" t="s">
        <v>955</v>
      </c>
      <c r="B2618" s="44" t="s">
        <v>2417</v>
      </c>
      <c r="C2618" s="44" t="s">
        <v>2418</v>
      </c>
      <c r="D2618" s="44">
        <v>5518910607</v>
      </c>
      <c r="E2618" s="44">
        <v>196688</v>
      </c>
      <c r="F2618" s="87">
        <v>8460</v>
      </c>
      <c r="G2618" s="46">
        <v>46184</v>
      </c>
    </row>
    <row r="2619" spans="1:7" s="48" customFormat="1" hidden="1" x14ac:dyDescent="0.3">
      <c r="A2619" s="48" t="s">
        <v>955</v>
      </c>
      <c r="B2619" s="48" t="s">
        <v>2419</v>
      </c>
      <c r="C2619" s="48" t="s">
        <v>2420</v>
      </c>
      <c r="D2619" s="48">
        <v>5564192875</v>
      </c>
      <c r="E2619" s="48">
        <v>197039</v>
      </c>
      <c r="F2619" s="107">
        <v>1999</v>
      </c>
      <c r="G2619" s="50">
        <v>46184</v>
      </c>
    </row>
    <row r="2620" spans="1:7" hidden="1" x14ac:dyDescent="0.3">
      <c r="A2620" s="44" t="s">
        <v>955</v>
      </c>
      <c r="B2620" s="44" t="s">
        <v>634</v>
      </c>
      <c r="C2620" s="44" t="s">
        <v>2421</v>
      </c>
      <c r="D2620" s="44">
        <v>4773993291</v>
      </c>
      <c r="E2620" s="44">
        <v>358555</v>
      </c>
      <c r="F2620" s="85">
        <v>6295</v>
      </c>
      <c r="G2620" s="46">
        <v>46184</v>
      </c>
    </row>
    <row r="2621" spans="1:7" s="48" customFormat="1" hidden="1" x14ac:dyDescent="0.3">
      <c r="A2621" s="48" t="s">
        <v>955</v>
      </c>
      <c r="B2621" s="48" t="s">
        <v>634</v>
      </c>
      <c r="C2621" s="48" t="s">
        <v>2421</v>
      </c>
      <c r="D2621" s="48">
        <v>4773993291</v>
      </c>
      <c r="E2621" s="48">
        <v>358567</v>
      </c>
      <c r="F2621" s="88">
        <v>856</v>
      </c>
      <c r="G2621" s="50">
        <v>46184</v>
      </c>
    </row>
    <row r="2622" spans="1:7" hidden="1" x14ac:dyDescent="0.3">
      <c r="A2622" s="44" t="s">
        <v>2422</v>
      </c>
      <c r="B2622" s="44" t="s">
        <v>715</v>
      </c>
      <c r="C2622" s="44" t="s">
        <v>2423</v>
      </c>
      <c r="D2622" s="44">
        <v>5579132415</v>
      </c>
      <c r="E2622" s="44">
        <v>196965</v>
      </c>
      <c r="F2622" s="87">
        <v>4648</v>
      </c>
      <c r="G2622" s="46">
        <v>46184</v>
      </c>
    </row>
    <row r="2623" spans="1:7" s="48" customFormat="1" hidden="1" x14ac:dyDescent="0.3">
      <c r="A2623" s="48" t="s">
        <v>2422</v>
      </c>
      <c r="B2623" s="48" t="s">
        <v>2424</v>
      </c>
      <c r="C2623" s="48" t="s">
        <v>2114</v>
      </c>
      <c r="D2623" s="48">
        <v>5549152882</v>
      </c>
      <c r="E2623" s="48">
        <v>358446</v>
      </c>
      <c r="F2623" s="88">
        <v>1387</v>
      </c>
      <c r="G2623" s="50">
        <v>46184</v>
      </c>
    </row>
    <row r="2624" spans="1:7" hidden="1" x14ac:dyDescent="0.3">
      <c r="A2624" s="44" t="s">
        <v>2422</v>
      </c>
      <c r="B2624" s="44" t="s">
        <v>2424</v>
      </c>
      <c r="C2624" s="44" t="s">
        <v>2114</v>
      </c>
      <c r="D2624" s="44">
        <v>5549152882</v>
      </c>
      <c r="E2624" s="44">
        <v>358447</v>
      </c>
      <c r="F2624" s="87">
        <v>185</v>
      </c>
      <c r="G2624" s="46">
        <v>46184</v>
      </c>
    </row>
    <row r="2625" spans="1:10" s="57" customFormat="1" hidden="1" x14ac:dyDescent="0.3">
      <c r="A2625" s="57" t="s">
        <v>890</v>
      </c>
      <c r="B2625" s="57" t="s">
        <v>2425</v>
      </c>
      <c r="C2625" s="57" t="s">
        <v>2426</v>
      </c>
      <c r="D2625" s="57">
        <v>5615347292</v>
      </c>
      <c r="E2625" s="57">
        <v>306104</v>
      </c>
      <c r="F2625" s="90">
        <v>7764</v>
      </c>
      <c r="G2625" s="58">
        <v>46185</v>
      </c>
    </row>
    <row r="2626" spans="1:10" hidden="1" x14ac:dyDescent="0.3">
      <c r="A2626" s="44" t="s">
        <v>890</v>
      </c>
      <c r="B2626" s="44" t="s">
        <v>2427</v>
      </c>
      <c r="C2626" s="44" t="s">
        <v>2428</v>
      </c>
      <c r="D2626" s="44">
        <v>5510771118</v>
      </c>
      <c r="E2626" s="44">
        <v>196786</v>
      </c>
      <c r="F2626" s="87">
        <v>4119</v>
      </c>
      <c r="G2626" s="46">
        <v>46185</v>
      </c>
    </row>
    <row r="2627" spans="1:10" s="57" customFormat="1" hidden="1" x14ac:dyDescent="0.3">
      <c r="A2627" s="57" t="s">
        <v>890</v>
      </c>
      <c r="B2627" s="57" t="s">
        <v>2429</v>
      </c>
      <c r="C2627" s="57" t="s">
        <v>2430</v>
      </c>
      <c r="D2627" s="57">
        <v>5521825364</v>
      </c>
      <c r="E2627" s="57">
        <v>197086</v>
      </c>
      <c r="F2627" s="90">
        <v>5818</v>
      </c>
      <c r="G2627" s="58">
        <v>46185</v>
      </c>
    </row>
    <row r="2628" spans="1:10" hidden="1" x14ac:dyDescent="0.3">
      <c r="A2628" s="44" t="s">
        <v>264</v>
      </c>
      <c r="B2628" s="44" t="s">
        <v>2431</v>
      </c>
      <c r="C2628" s="44" t="s">
        <v>2129</v>
      </c>
      <c r="D2628" s="44">
        <v>5635995021</v>
      </c>
      <c r="E2628" s="44">
        <v>306200</v>
      </c>
      <c r="F2628" s="87">
        <v>11703</v>
      </c>
      <c r="G2628" s="46">
        <v>46185</v>
      </c>
    </row>
    <row r="2629" spans="1:10" s="57" customFormat="1" hidden="1" x14ac:dyDescent="0.3">
      <c r="A2629" s="57" t="s">
        <v>264</v>
      </c>
      <c r="B2629" s="57" t="s">
        <v>533</v>
      </c>
      <c r="C2629" s="57" t="s">
        <v>2030</v>
      </c>
      <c r="D2629" s="57">
        <v>4686896870</v>
      </c>
      <c r="E2629" s="57">
        <v>306015</v>
      </c>
      <c r="F2629" s="90">
        <v>1842</v>
      </c>
      <c r="G2629" s="58">
        <v>46185</v>
      </c>
    </row>
    <row r="2630" spans="1:10" hidden="1" x14ac:dyDescent="0.3">
      <c r="A2630" s="44" t="s">
        <v>264</v>
      </c>
      <c r="B2630" s="44" t="s">
        <v>533</v>
      </c>
      <c r="C2630" s="44" t="s">
        <v>2030</v>
      </c>
      <c r="D2630" s="44">
        <v>4686896870</v>
      </c>
      <c r="E2630" s="44">
        <v>306020</v>
      </c>
      <c r="F2630" s="87">
        <v>1234</v>
      </c>
      <c r="G2630" s="46">
        <v>46185</v>
      </c>
      <c r="H2630" s="44" t="s">
        <v>1461</v>
      </c>
      <c r="I2630" s="44" t="s">
        <v>2432</v>
      </c>
      <c r="J2630" s="44">
        <v>8</v>
      </c>
    </row>
    <row r="2631" spans="1:10" s="57" customFormat="1" hidden="1" x14ac:dyDescent="0.3">
      <c r="A2631" s="57" t="s">
        <v>264</v>
      </c>
      <c r="B2631" s="57" t="s">
        <v>1205</v>
      </c>
      <c r="C2631" s="57" t="s">
        <v>2433</v>
      </c>
      <c r="D2631" s="57">
        <v>5573085527</v>
      </c>
      <c r="E2631" s="57">
        <v>358326</v>
      </c>
      <c r="F2631" s="90">
        <v>16260</v>
      </c>
      <c r="G2631" s="58">
        <v>46185</v>
      </c>
    </row>
    <row r="2632" spans="1:10" hidden="1" x14ac:dyDescent="0.3">
      <c r="A2632" s="44" t="s">
        <v>264</v>
      </c>
      <c r="B2632" s="44" t="s">
        <v>998</v>
      </c>
      <c r="C2632" s="44" t="s">
        <v>1885</v>
      </c>
      <c r="D2632" s="44">
        <v>5518666206</v>
      </c>
      <c r="E2632" s="44">
        <v>196123</v>
      </c>
      <c r="F2632" s="87">
        <v>15772</v>
      </c>
      <c r="G2632" s="46">
        <v>46185</v>
      </c>
    </row>
    <row r="2633" spans="1:10" s="57" customFormat="1" hidden="1" x14ac:dyDescent="0.3">
      <c r="A2633" s="57" t="s">
        <v>264</v>
      </c>
      <c r="B2633" s="57" t="s">
        <v>2434</v>
      </c>
      <c r="C2633" s="57" t="s">
        <v>1902</v>
      </c>
      <c r="D2633" s="57">
        <v>5515969793</v>
      </c>
      <c r="E2633" s="57">
        <v>197495</v>
      </c>
      <c r="F2633" s="90">
        <v>617</v>
      </c>
      <c r="G2633" s="58">
        <v>46185</v>
      </c>
    </row>
    <row r="2634" spans="1:10" hidden="1" x14ac:dyDescent="0.3">
      <c r="A2634" s="44" t="s">
        <v>955</v>
      </c>
      <c r="B2634" s="44" t="s">
        <v>2435</v>
      </c>
      <c r="C2634" s="44" t="s">
        <v>285</v>
      </c>
      <c r="D2634" s="44">
        <v>5570855960</v>
      </c>
      <c r="E2634" s="44">
        <v>358499</v>
      </c>
      <c r="F2634" s="87">
        <v>3015</v>
      </c>
      <c r="G2634" s="46">
        <v>46185</v>
      </c>
    </row>
    <row r="2635" spans="1:10" s="57" customFormat="1" hidden="1" x14ac:dyDescent="0.3">
      <c r="A2635" s="57" t="s">
        <v>955</v>
      </c>
      <c r="B2635" s="57" t="s">
        <v>2436</v>
      </c>
      <c r="C2635" s="57" t="s">
        <v>2437</v>
      </c>
      <c r="D2635" s="57">
        <v>5548548167</v>
      </c>
      <c r="E2635" s="57">
        <v>305871</v>
      </c>
      <c r="F2635" s="90">
        <v>22786</v>
      </c>
      <c r="G2635" s="58">
        <v>46185</v>
      </c>
    </row>
    <row r="2636" spans="1:10" hidden="1" x14ac:dyDescent="0.3">
      <c r="A2636" s="44" t="s">
        <v>955</v>
      </c>
      <c r="B2636" s="44" t="s">
        <v>2438</v>
      </c>
      <c r="C2636" s="44" t="s">
        <v>2439</v>
      </c>
      <c r="D2636" s="44">
        <v>7203890551</v>
      </c>
      <c r="E2636" s="44">
        <v>197500</v>
      </c>
      <c r="F2636" s="87">
        <v>6041</v>
      </c>
      <c r="G2636" s="46">
        <v>46185</v>
      </c>
    </row>
    <row r="2637" spans="1:10" s="57" customFormat="1" hidden="1" x14ac:dyDescent="0.3">
      <c r="A2637" s="57" t="s">
        <v>955</v>
      </c>
      <c r="B2637" s="57" t="s">
        <v>2264</v>
      </c>
      <c r="C2637" s="57" t="s">
        <v>2440</v>
      </c>
      <c r="D2637" s="57">
        <v>5513696944</v>
      </c>
      <c r="E2637" s="57">
        <v>197432</v>
      </c>
      <c r="F2637" s="90">
        <v>3110</v>
      </c>
      <c r="G2637" s="58">
        <v>46185</v>
      </c>
    </row>
    <row r="2638" spans="1:10" hidden="1" x14ac:dyDescent="0.3">
      <c r="A2638" s="44" t="s">
        <v>955</v>
      </c>
      <c r="B2638" s="44" t="s">
        <v>2441</v>
      </c>
      <c r="C2638" s="44" t="s">
        <v>2442</v>
      </c>
      <c r="D2638" s="44">
        <v>5579121214</v>
      </c>
      <c r="E2638" s="44">
        <v>305933</v>
      </c>
      <c r="F2638" s="87">
        <v>2686</v>
      </c>
      <c r="G2638" s="46">
        <v>46185</v>
      </c>
    </row>
    <row r="2639" spans="1:10" s="57" customFormat="1" hidden="1" x14ac:dyDescent="0.3">
      <c r="A2639" s="57" t="s">
        <v>955</v>
      </c>
      <c r="B2639" s="57" t="s">
        <v>2443</v>
      </c>
      <c r="C2639" s="57" t="s">
        <v>2444</v>
      </c>
      <c r="D2639" s="57">
        <v>5536436355</v>
      </c>
      <c r="E2639" s="57">
        <v>305994</v>
      </c>
      <c r="F2639" s="90">
        <v>1771</v>
      </c>
      <c r="G2639" s="58">
        <v>46185</v>
      </c>
    </row>
    <row r="2640" spans="1:10" hidden="1" x14ac:dyDescent="0.3">
      <c r="A2640" s="44" t="s">
        <v>890</v>
      </c>
      <c r="B2640" s="44" t="s">
        <v>2445</v>
      </c>
      <c r="C2640" s="44" t="s">
        <v>1860</v>
      </c>
      <c r="D2640" s="44">
        <v>5617610381</v>
      </c>
      <c r="E2640" s="44">
        <v>196800</v>
      </c>
      <c r="F2640" s="87">
        <v>9463</v>
      </c>
      <c r="G2640" s="46">
        <v>46185</v>
      </c>
    </row>
    <row r="2641" spans="1:14" s="57" customFormat="1" hidden="1" x14ac:dyDescent="0.3">
      <c r="A2641" s="57" t="s">
        <v>890</v>
      </c>
      <c r="B2641" s="57" t="s">
        <v>2445</v>
      </c>
      <c r="C2641" s="57" t="s">
        <v>1860</v>
      </c>
      <c r="D2641" s="57">
        <v>5617610381</v>
      </c>
      <c r="E2641" s="57">
        <v>196813</v>
      </c>
      <c r="F2641" s="90">
        <v>1998</v>
      </c>
      <c r="G2641" s="58">
        <v>46185</v>
      </c>
    </row>
    <row r="2642" spans="1:14" hidden="1" x14ac:dyDescent="0.3">
      <c r="A2642" s="44" t="s">
        <v>2446</v>
      </c>
      <c r="B2642" s="44" t="s">
        <v>1822</v>
      </c>
      <c r="C2642" s="44" t="s">
        <v>2114</v>
      </c>
      <c r="D2642" s="44">
        <v>5610944519</v>
      </c>
      <c r="E2642" s="44">
        <v>197014</v>
      </c>
      <c r="F2642" s="87">
        <v>3250</v>
      </c>
      <c r="G2642" s="46">
        <v>46186</v>
      </c>
    </row>
    <row r="2643" spans="1:14" s="109" customFormat="1" hidden="1" x14ac:dyDescent="0.3">
      <c r="A2643" s="109" t="s">
        <v>2446</v>
      </c>
      <c r="B2643" s="109" t="s">
        <v>523</v>
      </c>
      <c r="C2643" s="109" t="s">
        <v>203</v>
      </c>
      <c r="D2643" s="109">
        <v>5561353687</v>
      </c>
      <c r="E2643" s="109">
        <v>358722</v>
      </c>
      <c r="F2643" s="110">
        <v>13120</v>
      </c>
      <c r="G2643" s="111">
        <v>46186</v>
      </c>
    </row>
    <row r="2644" spans="1:14" hidden="1" x14ac:dyDescent="0.3">
      <c r="A2644" s="44" t="s">
        <v>2446</v>
      </c>
      <c r="B2644" s="44" t="s">
        <v>523</v>
      </c>
      <c r="C2644" s="44" t="s">
        <v>2179</v>
      </c>
      <c r="D2644" s="44">
        <v>5561353687</v>
      </c>
      <c r="E2644" s="44">
        <v>358720</v>
      </c>
      <c r="F2644" s="87">
        <v>1565</v>
      </c>
      <c r="G2644" s="46">
        <v>46186</v>
      </c>
    </row>
    <row r="2645" spans="1:14" s="109" customFormat="1" hidden="1" x14ac:dyDescent="0.3">
      <c r="A2645" s="109" t="s">
        <v>2446</v>
      </c>
      <c r="B2645" s="109" t="s">
        <v>2121</v>
      </c>
      <c r="C2645" s="109" t="s">
        <v>724</v>
      </c>
      <c r="D2645" s="109">
        <v>5511246208</v>
      </c>
      <c r="E2645" s="109">
        <v>197148</v>
      </c>
      <c r="F2645" s="110">
        <v>2835</v>
      </c>
      <c r="G2645" s="111">
        <v>46186</v>
      </c>
    </row>
    <row r="2646" spans="1:14" hidden="1" x14ac:dyDescent="0.3">
      <c r="A2646" s="44" t="s">
        <v>890</v>
      </c>
      <c r="B2646" s="44" t="s">
        <v>2447</v>
      </c>
      <c r="C2646" s="44" t="s">
        <v>2320</v>
      </c>
      <c r="D2646" s="44">
        <v>5513740358</v>
      </c>
      <c r="E2646" s="44">
        <v>197458</v>
      </c>
      <c r="F2646" s="87">
        <v>836</v>
      </c>
      <c r="G2646" s="46">
        <v>46186</v>
      </c>
    </row>
    <row r="2647" spans="1:14" s="109" customFormat="1" hidden="1" x14ac:dyDescent="0.3">
      <c r="A2647" s="109" t="s">
        <v>890</v>
      </c>
      <c r="B2647" s="109" t="s">
        <v>1736</v>
      </c>
      <c r="C2647" s="109" t="s">
        <v>2251</v>
      </c>
      <c r="D2647" s="109">
        <v>5591940032</v>
      </c>
      <c r="E2647" s="109">
        <v>305719</v>
      </c>
      <c r="F2647" s="110">
        <v>23450</v>
      </c>
      <c r="G2647" s="111">
        <v>46186</v>
      </c>
    </row>
    <row r="2648" spans="1:14" hidden="1" x14ac:dyDescent="0.3">
      <c r="A2648" s="44" t="s">
        <v>890</v>
      </c>
      <c r="B2648" s="44" t="s">
        <v>2449</v>
      </c>
      <c r="C2648" s="44" t="s">
        <v>2450</v>
      </c>
      <c r="D2648" s="44">
        <v>5647659138</v>
      </c>
      <c r="E2648" s="44">
        <v>167646</v>
      </c>
      <c r="F2648" s="87">
        <v>3268</v>
      </c>
      <c r="G2648" s="46">
        <v>46186</v>
      </c>
    </row>
    <row r="2649" spans="1:14" s="109" customFormat="1" hidden="1" x14ac:dyDescent="0.3">
      <c r="A2649" s="109" t="s">
        <v>890</v>
      </c>
      <c r="B2649" s="109" t="s">
        <v>1736</v>
      </c>
      <c r="C2649" s="109" t="s">
        <v>2251</v>
      </c>
      <c r="D2649" s="109">
        <v>5591940032</v>
      </c>
      <c r="E2649" s="109">
        <v>305717</v>
      </c>
      <c r="F2649" s="110">
        <v>1010</v>
      </c>
      <c r="G2649" s="111">
        <v>46186</v>
      </c>
    </row>
    <row r="2650" spans="1:14" hidden="1" x14ac:dyDescent="0.3">
      <c r="A2650" s="44" t="s">
        <v>11</v>
      </c>
      <c r="B2650" s="44" t="s">
        <v>2448</v>
      </c>
      <c r="C2650" s="44" t="s">
        <v>435</v>
      </c>
      <c r="D2650" s="44">
        <v>5626120614</v>
      </c>
      <c r="E2650" s="44">
        <v>305465</v>
      </c>
      <c r="F2650" s="87">
        <v>18952</v>
      </c>
      <c r="G2650" s="46">
        <v>46186</v>
      </c>
    </row>
    <row r="2651" spans="1:14" s="109" customFormat="1" hidden="1" x14ac:dyDescent="0.3">
      <c r="A2651" s="109" t="s">
        <v>955</v>
      </c>
      <c r="B2651" s="109" t="s">
        <v>7</v>
      </c>
      <c r="C2651" s="109" t="s">
        <v>2390</v>
      </c>
      <c r="D2651" s="109">
        <v>5545758293</v>
      </c>
      <c r="E2651" s="109">
        <v>305693</v>
      </c>
      <c r="F2651" s="110">
        <v>8832</v>
      </c>
      <c r="G2651" s="111">
        <v>46186</v>
      </c>
    </row>
    <row r="2652" spans="1:14" hidden="1" x14ac:dyDescent="0.3">
      <c r="A2652" s="44" t="s">
        <v>955</v>
      </c>
      <c r="B2652" s="44" t="s">
        <v>7</v>
      </c>
      <c r="C2652" s="44" t="s">
        <v>2390</v>
      </c>
      <c r="D2652" s="44">
        <v>5545758293</v>
      </c>
      <c r="E2652" s="44">
        <v>305861</v>
      </c>
      <c r="F2652" s="85">
        <v>6152</v>
      </c>
      <c r="G2652" s="46">
        <v>46186</v>
      </c>
    </row>
    <row r="2653" spans="1:14" s="109" customFormat="1" hidden="1" x14ac:dyDescent="0.3">
      <c r="A2653" s="109" t="s">
        <v>955</v>
      </c>
      <c r="B2653" s="109" t="s">
        <v>2451</v>
      </c>
      <c r="C2653" s="109" t="s">
        <v>1948</v>
      </c>
      <c r="D2653" s="109">
        <v>5623396967</v>
      </c>
      <c r="E2653" s="109">
        <v>196960</v>
      </c>
      <c r="F2653" s="110">
        <v>818</v>
      </c>
      <c r="G2653" s="111">
        <v>46186</v>
      </c>
    </row>
    <row r="2654" spans="1:14" hidden="1" x14ac:dyDescent="0.3">
      <c r="A2654" s="44" t="s">
        <v>264</v>
      </c>
      <c r="B2654" s="44" t="s">
        <v>2452</v>
      </c>
      <c r="C2654" s="44" t="s">
        <v>46</v>
      </c>
      <c r="D2654" s="44">
        <v>5626977758</v>
      </c>
      <c r="E2654" s="44">
        <v>358225</v>
      </c>
      <c r="F2654" s="87">
        <v>9812</v>
      </c>
      <c r="G2654" s="46">
        <v>46186</v>
      </c>
    </row>
    <row r="2655" spans="1:14" s="147" customFormat="1" x14ac:dyDescent="0.3">
      <c r="F2655" s="148"/>
      <c r="G2655" s="149"/>
    </row>
    <row r="2656" spans="1:14" s="42" customFormat="1" x14ac:dyDescent="0.3">
      <c r="A2656" s="42" t="s">
        <v>2141</v>
      </c>
      <c r="B2656" s="42" t="s">
        <v>2453</v>
      </c>
      <c r="C2656" s="42" t="s">
        <v>1496</v>
      </c>
      <c r="D2656" s="42">
        <v>5512987999</v>
      </c>
      <c r="E2656" s="42">
        <v>358603</v>
      </c>
      <c r="F2656" s="86">
        <v>1628</v>
      </c>
      <c r="G2656" s="43">
        <v>46188</v>
      </c>
      <c r="N2656" s="146">
        <v>1</v>
      </c>
    </row>
    <row r="2657" spans="1:14" s="42" customFormat="1" x14ac:dyDescent="0.3">
      <c r="A2657" s="42" t="s">
        <v>2141</v>
      </c>
      <c r="B2657" s="42" t="s">
        <v>2454</v>
      </c>
      <c r="C2657" s="42" t="s">
        <v>1902</v>
      </c>
      <c r="D2657" s="42">
        <v>5514851554</v>
      </c>
      <c r="E2657" s="42">
        <v>197176</v>
      </c>
      <c r="F2657" s="86">
        <v>2314</v>
      </c>
      <c r="G2657" s="43">
        <v>46188</v>
      </c>
      <c r="N2657" s="146">
        <v>2</v>
      </c>
    </row>
    <row r="2658" spans="1:14" s="150" customFormat="1" x14ac:dyDescent="0.3">
      <c r="A2658" s="150" t="s">
        <v>890</v>
      </c>
      <c r="B2658" s="150" t="s">
        <v>2455</v>
      </c>
      <c r="C2658" s="150" t="s">
        <v>115</v>
      </c>
      <c r="D2658" s="150">
        <v>5557572636</v>
      </c>
      <c r="E2658" s="150">
        <v>305777</v>
      </c>
      <c r="F2658" s="151">
        <v>7729</v>
      </c>
      <c r="G2658" s="152">
        <v>46188</v>
      </c>
      <c r="N2658" s="153">
        <v>1</v>
      </c>
    </row>
    <row r="2659" spans="1:14" s="150" customFormat="1" x14ac:dyDescent="0.3">
      <c r="A2659" s="150" t="s">
        <v>890</v>
      </c>
      <c r="B2659" s="150" t="s">
        <v>2455</v>
      </c>
      <c r="C2659" s="150" t="s">
        <v>115</v>
      </c>
      <c r="D2659" s="150">
        <v>5557572636</v>
      </c>
      <c r="E2659" s="150">
        <v>305839</v>
      </c>
      <c r="F2659" s="151">
        <v>6639</v>
      </c>
      <c r="G2659" s="152">
        <v>46188</v>
      </c>
      <c r="N2659" s="153">
        <v>1</v>
      </c>
    </row>
    <row r="2660" spans="1:14" s="150" customFormat="1" x14ac:dyDescent="0.3">
      <c r="A2660" s="150" t="s">
        <v>890</v>
      </c>
      <c r="B2660" s="150" t="s">
        <v>1702</v>
      </c>
      <c r="C2660" s="150" t="s">
        <v>2114</v>
      </c>
      <c r="D2660" s="150">
        <v>5610944519</v>
      </c>
      <c r="E2660" s="150">
        <v>197014</v>
      </c>
      <c r="F2660" s="151">
        <v>3250</v>
      </c>
      <c r="G2660" s="152">
        <v>46188</v>
      </c>
      <c r="N2660" s="153">
        <v>2</v>
      </c>
    </row>
    <row r="2661" spans="1:14" s="150" customFormat="1" x14ac:dyDescent="0.3">
      <c r="A2661" s="150" t="s">
        <v>890</v>
      </c>
      <c r="B2661" s="150" t="s">
        <v>2456</v>
      </c>
      <c r="C2661" s="150" t="s">
        <v>2457</v>
      </c>
      <c r="D2661" s="150">
        <v>5656507979</v>
      </c>
      <c r="E2661" s="150">
        <v>358556</v>
      </c>
      <c r="F2661" s="151">
        <v>1581</v>
      </c>
      <c r="G2661" s="152">
        <v>46188</v>
      </c>
      <c r="N2661" s="153">
        <v>3</v>
      </c>
    </row>
    <row r="2662" spans="1:14" s="150" customFormat="1" x14ac:dyDescent="0.3">
      <c r="A2662" s="150" t="s">
        <v>890</v>
      </c>
      <c r="B2662" s="150" t="s">
        <v>539</v>
      </c>
      <c r="C2662" s="150" t="s">
        <v>540</v>
      </c>
      <c r="D2662" s="150">
        <v>5561080792</v>
      </c>
      <c r="E2662" s="150">
        <v>197010</v>
      </c>
      <c r="F2662" s="151">
        <v>5535</v>
      </c>
      <c r="G2662" s="152">
        <v>46188</v>
      </c>
      <c r="N2662" s="153">
        <v>4</v>
      </c>
    </row>
    <row r="2663" spans="1:14" s="150" customFormat="1" x14ac:dyDescent="0.3">
      <c r="A2663" s="150" t="s">
        <v>890</v>
      </c>
      <c r="B2663" s="150" t="s">
        <v>2458</v>
      </c>
      <c r="C2663" s="150" t="s">
        <v>2252</v>
      </c>
      <c r="D2663" s="150">
        <v>5631653944</v>
      </c>
      <c r="E2663" s="150">
        <v>358535</v>
      </c>
      <c r="F2663" s="151">
        <v>1565</v>
      </c>
      <c r="G2663" s="152">
        <v>46188</v>
      </c>
      <c r="N2663" s="153">
        <v>5</v>
      </c>
    </row>
    <row r="2664" spans="1:14" s="42" customFormat="1" x14ac:dyDescent="0.3">
      <c r="A2664" s="42" t="s">
        <v>2141</v>
      </c>
      <c r="B2664" s="42" t="s">
        <v>2463</v>
      </c>
      <c r="C2664" s="42" t="s">
        <v>2464</v>
      </c>
      <c r="D2664" s="42">
        <v>5544640832</v>
      </c>
      <c r="E2664" s="42">
        <v>197727</v>
      </c>
      <c r="F2664" s="86">
        <v>3667</v>
      </c>
      <c r="G2664" s="43">
        <v>46189</v>
      </c>
      <c r="N2664" s="146">
        <v>1</v>
      </c>
    </row>
    <row r="2665" spans="1:14" s="42" customFormat="1" x14ac:dyDescent="0.3">
      <c r="A2665" s="42" t="s">
        <v>2141</v>
      </c>
      <c r="B2665" s="42" t="s">
        <v>2466</v>
      </c>
      <c r="C2665" s="42" t="s">
        <v>2467</v>
      </c>
      <c r="D2665" s="42">
        <v>5536628033</v>
      </c>
      <c r="E2665" s="42">
        <v>197514</v>
      </c>
      <c r="F2665" s="86">
        <v>6930</v>
      </c>
      <c r="G2665" s="43">
        <v>46189</v>
      </c>
      <c r="N2665" s="146">
        <v>2</v>
      </c>
    </row>
    <row r="2666" spans="1:14" s="42" customFormat="1" x14ac:dyDescent="0.3">
      <c r="A2666" s="42" t="s">
        <v>2141</v>
      </c>
      <c r="B2666" s="42" t="s">
        <v>2472</v>
      </c>
      <c r="C2666" s="42" t="s">
        <v>2468</v>
      </c>
      <c r="D2666" s="42">
        <v>5531672584</v>
      </c>
      <c r="E2666" s="42">
        <v>197454</v>
      </c>
      <c r="F2666" s="86">
        <v>2768</v>
      </c>
      <c r="G2666" s="43">
        <v>46189</v>
      </c>
      <c r="N2666" s="146">
        <v>3</v>
      </c>
    </row>
    <row r="2667" spans="1:14" s="42" customFormat="1" x14ac:dyDescent="0.3">
      <c r="A2667" s="42" t="s">
        <v>2141</v>
      </c>
      <c r="B2667" s="42" t="s">
        <v>2465</v>
      </c>
      <c r="C2667" s="42" t="s">
        <v>2017</v>
      </c>
      <c r="D2667" s="42">
        <v>5619563790</v>
      </c>
      <c r="E2667" s="42">
        <v>358810</v>
      </c>
      <c r="F2667" s="86">
        <v>2451</v>
      </c>
      <c r="G2667" s="43">
        <v>46189</v>
      </c>
      <c r="N2667" s="146">
        <v>4</v>
      </c>
    </row>
    <row r="2668" spans="1:14" s="42" customFormat="1" x14ac:dyDescent="0.3">
      <c r="A2668" s="42" t="s">
        <v>2141</v>
      </c>
      <c r="B2668" s="42" t="s">
        <v>2462</v>
      </c>
      <c r="C2668" s="42" t="s">
        <v>2017</v>
      </c>
      <c r="D2668" s="42">
        <v>5550543681</v>
      </c>
      <c r="E2668" s="42">
        <v>358861</v>
      </c>
      <c r="F2668" s="86">
        <v>1275</v>
      </c>
      <c r="G2668" s="43">
        <v>46189</v>
      </c>
      <c r="N2668" s="146">
        <v>4</v>
      </c>
    </row>
    <row r="2669" spans="1:14" s="42" customFormat="1" x14ac:dyDescent="0.3">
      <c r="A2669" s="42" t="s">
        <v>2141</v>
      </c>
      <c r="B2669" s="42" t="s">
        <v>2462</v>
      </c>
      <c r="C2669" s="42" t="s">
        <v>2017</v>
      </c>
      <c r="D2669" s="42">
        <v>5550543681</v>
      </c>
      <c r="E2669" s="42">
        <v>358862</v>
      </c>
      <c r="F2669" s="86">
        <v>749</v>
      </c>
      <c r="G2669" s="43">
        <v>46189</v>
      </c>
      <c r="N2669" s="146">
        <v>4</v>
      </c>
    </row>
    <row r="2670" spans="1:14" s="42" customFormat="1" x14ac:dyDescent="0.3">
      <c r="A2670" s="42" t="s">
        <v>2141</v>
      </c>
      <c r="B2670" s="42" t="s">
        <v>2462</v>
      </c>
      <c r="C2670" s="42" t="s">
        <v>2017</v>
      </c>
      <c r="D2670" s="42">
        <v>5550543681</v>
      </c>
      <c r="E2670" s="42">
        <v>358863</v>
      </c>
      <c r="F2670" s="86">
        <v>536</v>
      </c>
      <c r="G2670" s="43">
        <v>46189</v>
      </c>
      <c r="N2670" s="146">
        <v>4</v>
      </c>
    </row>
    <row r="2671" spans="1:14" s="150" customFormat="1" x14ac:dyDescent="0.3">
      <c r="A2671" s="150" t="s">
        <v>890</v>
      </c>
      <c r="B2671" s="150" t="s">
        <v>2473</v>
      </c>
      <c r="C2671" s="150" t="s">
        <v>2287</v>
      </c>
      <c r="D2671" s="150">
        <v>5513450372</v>
      </c>
      <c r="E2671" s="150">
        <v>197632</v>
      </c>
      <c r="F2671" s="151">
        <v>1300</v>
      </c>
      <c r="G2671" s="152">
        <v>46189</v>
      </c>
      <c r="N2671" s="153">
        <v>1</v>
      </c>
    </row>
    <row r="2672" spans="1:14" s="150" customFormat="1" x14ac:dyDescent="0.3">
      <c r="A2672" s="150" t="s">
        <v>890</v>
      </c>
      <c r="B2672" s="150" t="s">
        <v>2143</v>
      </c>
      <c r="C2672" s="150" t="s">
        <v>2144</v>
      </c>
      <c r="D2672" s="150">
        <v>5526636766</v>
      </c>
      <c r="E2672" s="150">
        <v>306323</v>
      </c>
      <c r="F2672" s="151">
        <v>5306</v>
      </c>
      <c r="G2672" s="152">
        <v>46189</v>
      </c>
      <c r="N2672" s="153">
        <v>2</v>
      </c>
    </row>
    <row r="2673" spans="1:14" s="150" customFormat="1" x14ac:dyDescent="0.3">
      <c r="A2673" s="150" t="s">
        <v>890</v>
      </c>
      <c r="B2673" s="150" t="s">
        <v>2143</v>
      </c>
      <c r="C2673" s="150" t="s">
        <v>2144</v>
      </c>
      <c r="D2673" s="150">
        <v>5526636766</v>
      </c>
      <c r="E2673" s="150">
        <v>306324</v>
      </c>
      <c r="F2673" s="151">
        <v>9475</v>
      </c>
      <c r="G2673" s="152">
        <v>46189</v>
      </c>
      <c r="N2673" s="153">
        <v>2</v>
      </c>
    </row>
    <row r="2674" spans="1:14" s="150" customFormat="1" x14ac:dyDescent="0.3">
      <c r="A2674" s="150" t="s">
        <v>890</v>
      </c>
      <c r="B2674" s="150" t="s">
        <v>2143</v>
      </c>
      <c r="C2674" s="150" t="s">
        <v>2144</v>
      </c>
      <c r="D2674" s="150">
        <v>5526636766</v>
      </c>
      <c r="E2674" s="150">
        <v>306325</v>
      </c>
      <c r="F2674" s="151">
        <v>12950</v>
      </c>
      <c r="G2674" s="152">
        <v>46189</v>
      </c>
      <c r="N2674" s="153">
        <v>2</v>
      </c>
    </row>
    <row r="2675" spans="1:14" s="150" customFormat="1" x14ac:dyDescent="0.3">
      <c r="A2675" s="150" t="s">
        <v>890</v>
      </c>
      <c r="B2675" s="150" t="s">
        <v>2469</v>
      </c>
      <c r="C2675" s="150" t="s">
        <v>2470</v>
      </c>
      <c r="D2675" s="150">
        <v>5534760016</v>
      </c>
      <c r="E2675" s="150">
        <v>305550</v>
      </c>
      <c r="F2675" s="151">
        <v>2842</v>
      </c>
      <c r="G2675" s="152">
        <v>46189</v>
      </c>
      <c r="N2675" s="153">
        <v>3</v>
      </c>
    </row>
    <row r="2676" spans="1:14" s="150" customFormat="1" x14ac:dyDescent="0.3">
      <c r="A2676" s="150" t="s">
        <v>890</v>
      </c>
      <c r="B2676" s="150" t="s">
        <v>2471</v>
      </c>
      <c r="C2676" s="150" t="s">
        <v>2316</v>
      </c>
      <c r="D2676" s="150">
        <v>5544414442</v>
      </c>
      <c r="E2676" s="150">
        <v>358772</v>
      </c>
      <c r="F2676" s="151">
        <v>1406</v>
      </c>
      <c r="G2676" s="152">
        <v>46189</v>
      </c>
      <c r="N2676" s="153">
        <v>4</v>
      </c>
    </row>
    <row r="2677" spans="1:14" s="150" customFormat="1" x14ac:dyDescent="0.3">
      <c r="A2677" s="150" t="s">
        <v>890</v>
      </c>
      <c r="B2677" s="150" t="s">
        <v>2471</v>
      </c>
      <c r="C2677" s="150" t="s">
        <v>2316</v>
      </c>
      <c r="D2677" s="150">
        <v>5544414442</v>
      </c>
      <c r="E2677" s="150">
        <v>358773</v>
      </c>
      <c r="F2677" s="151">
        <v>862</v>
      </c>
      <c r="G2677" s="152">
        <v>46189</v>
      </c>
      <c r="N2677" s="153">
        <v>4</v>
      </c>
    </row>
    <row r="2678" spans="1:14" s="150" customFormat="1" x14ac:dyDescent="0.3">
      <c r="A2678" s="150" t="s">
        <v>890</v>
      </c>
      <c r="B2678" s="150" t="s">
        <v>2474</v>
      </c>
      <c r="C2678" s="150" t="s">
        <v>1914</v>
      </c>
      <c r="D2678" s="150">
        <v>5547402145</v>
      </c>
      <c r="E2678" s="150">
        <v>306381</v>
      </c>
      <c r="F2678" s="151">
        <v>1860</v>
      </c>
      <c r="G2678" s="152">
        <v>46189</v>
      </c>
      <c r="N2678" s="153">
        <v>5</v>
      </c>
    </row>
    <row r="2679" spans="1:14" s="80" customFormat="1" x14ac:dyDescent="0.3">
      <c r="A2679" s="80" t="s">
        <v>264</v>
      </c>
      <c r="B2679" s="80" t="s">
        <v>2459</v>
      </c>
      <c r="C2679" s="80" t="s">
        <v>2460</v>
      </c>
      <c r="D2679" s="80">
        <v>5563020807</v>
      </c>
      <c r="E2679" s="80">
        <v>197835</v>
      </c>
      <c r="F2679" s="96">
        <v>5281</v>
      </c>
      <c r="G2679" s="81">
        <v>46189</v>
      </c>
      <c r="N2679" s="154">
        <v>1</v>
      </c>
    </row>
    <row r="2680" spans="1:14" s="80" customFormat="1" x14ac:dyDescent="0.3">
      <c r="A2680" s="80" t="s">
        <v>264</v>
      </c>
      <c r="B2680" s="80" t="s">
        <v>2461</v>
      </c>
      <c r="C2680" s="80" t="s">
        <v>1902</v>
      </c>
      <c r="D2680" s="80">
        <v>5617482656</v>
      </c>
      <c r="E2680" s="80">
        <v>306092</v>
      </c>
      <c r="F2680" s="96">
        <v>10410</v>
      </c>
      <c r="G2680" s="81">
        <v>46189</v>
      </c>
      <c r="N2680" s="154">
        <v>2</v>
      </c>
    </row>
    <row r="2681" spans="1:14" s="80" customFormat="1" x14ac:dyDescent="0.3">
      <c r="A2681" s="80" t="s">
        <v>264</v>
      </c>
      <c r="B2681" s="80" t="s">
        <v>2461</v>
      </c>
      <c r="C2681" s="80" t="s">
        <v>1902</v>
      </c>
      <c r="D2681" s="80">
        <v>5617482656</v>
      </c>
      <c r="E2681" s="80">
        <v>306093</v>
      </c>
      <c r="F2681" s="96">
        <v>1962</v>
      </c>
      <c r="G2681" s="81">
        <v>46189</v>
      </c>
      <c r="H2681" s="80" t="s">
        <v>1461</v>
      </c>
      <c r="N2681" s="154">
        <v>2</v>
      </c>
    </row>
    <row r="2682" spans="1:14" s="150" customFormat="1" x14ac:dyDescent="0.3">
      <c r="A2682" s="150" t="s">
        <v>890</v>
      </c>
      <c r="B2682" s="150" t="s">
        <v>2475</v>
      </c>
      <c r="C2682" s="150" t="s">
        <v>548</v>
      </c>
      <c r="D2682" s="150">
        <v>5588004047</v>
      </c>
      <c r="E2682" s="150">
        <v>197303</v>
      </c>
      <c r="F2682" s="151">
        <v>12193</v>
      </c>
      <c r="G2682" s="152">
        <v>46189</v>
      </c>
      <c r="N2682" s="153">
        <v>6</v>
      </c>
    </row>
    <row r="2683" spans="1:14" s="150" customFormat="1" x14ac:dyDescent="0.3">
      <c r="A2683" s="150" t="s">
        <v>890</v>
      </c>
      <c r="B2683" s="150" t="s">
        <v>2475</v>
      </c>
      <c r="C2683" s="150" t="s">
        <v>548</v>
      </c>
      <c r="D2683" s="150">
        <v>5588004047</v>
      </c>
      <c r="E2683" s="150">
        <v>197304</v>
      </c>
      <c r="F2683" s="151">
        <v>1562</v>
      </c>
      <c r="G2683" s="152">
        <v>46189</v>
      </c>
      <c r="N2683" s="153">
        <v>6</v>
      </c>
    </row>
    <row r="2684" spans="1:14" s="80" customFormat="1" x14ac:dyDescent="0.3">
      <c r="A2684" s="80" t="s">
        <v>264</v>
      </c>
      <c r="B2684" s="80" t="s">
        <v>869</v>
      </c>
      <c r="C2684" s="80" t="s">
        <v>2476</v>
      </c>
      <c r="D2684" s="80">
        <v>5515986862</v>
      </c>
      <c r="E2684" s="80">
        <v>196776</v>
      </c>
      <c r="F2684" s="96">
        <v>4714</v>
      </c>
      <c r="G2684" s="81">
        <v>46189</v>
      </c>
      <c r="N2684" s="154">
        <v>3</v>
      </c>
    </row>
    <row r="2685" spans="1:14" s="150" customFormat="1" x14ac:dyDescent="0.3">
      <c r="A2685" s="150" t="s">
        <v>890</v>
      </c>
      <c r="B2685" s="150" t="s">
        <v>2478</v>
      </c>
      <c r="C2685" s="150" t="s">
        <v>2479</v>
      </c>
      <c r="D2685" s="150">
        <v>5512999634</v>
      </c>
      <c r="E2685" s="150">
        <v>358809</v>
      </c>
      <c r="F2685" s="151">
        <v>8365</v>
      </c>
      <c r="G2685" s="152">
        <v>46190</v>
      </c>
      <c r="N2685" s="153">
        <v>1</v>
      </c>
    </row>
    <row r="2686" spans="1:14" s="150" customFormat="1" x14ac:dyDescent="0.3">
      <c r="A2686" s="150" t="s">
        <v>890</v>
      </c>
      <c r="B2686" s="150" t="s">
        <v>2488</v>
      </c>
      <c r="C2686" s="150" t="s">
        <v>2489</v>
      </c>
      <c r="D2686" s="150">
        <v>5636874171</v>
      </c>
      <c r="E2686" s="150">
        <v>197960</v>
      </c>
      <c r="F2686" s="151">
        <v>706</v>
      </c>
      <c r="G2686" s="152">
        <v>46190</v>
      </c>
      <c r="N2686" s="153">
        <v>2</v>
      </c>
    </row>
    <row r="2687" spans="1:14" s="150" customFormat="1" x14ac:dyDescent="0.3">
      <c r="A2687" s="150" t="s">
        <v>890</v>
      </c>
      <c r="B2687" s="150" t="s">
        <v>2477</v>
      </c>
      <c r="C2687" s="150" t="s">
        <v>2341</v>
      </c>
      <c r="D2687" s="150">
        <v>7299388892</v>
      </c>
      <c r="E2687" s="150">
        <v>197591</v>
      </c>
      <c r="F2687" s="151">
        <v>5919</v>
      </c>
      <c r="G2687" s="152">
        <v>46190</v>
      </c>
      <c r="N2687" s="153">
        <v>3</v>
      </c>
    </row>
    <row r="2688" spans="1:14" s="150" customFormat="1" x14ac:dyDescent="0.3">
      <c r="A2688" s="150" t="s">
        <v>890</v>
      </c>
      <c r="B2688" s="150" t="s">
        <v>2490</v>
      </c>
      <c r="C2688" s="150" t="s">
        <v>800</v>
      </c>
      <c r="D2688" s="150">
        <v>5557800399</v>
      </c>
      <c r="E2688" s="150">
        <v>197433</v>
      </c>
      <c r="F2688" s="151">
        <v>4539</v>
      </c>
      <c r="G2688" s="152">
        <v>46190</v>
      </c>
      <c r="N2688" s="153">
        <v>4</v>
      </c>
    </row>
    <row r="2689" spans="1:14" s="42" customFormat="1" x14ac:dyDescent="0.3">
      <c r="A2689" s="42" t="s">
        <v>2480</v>
      </c>
      <c r="B2689" s="42" t="s">
        <v>2481</v>
      </c>
      <c r="C2689" s="42" t="s">
        <v>923</v>
      </c>
      <c r="D2689" s="42">
        <v>5540809412</v>
      </c>
      <c r="E2689" s="42">
        <v>302828</v>
      </c>
      <c r="F2689" s="86">
        <v>101878</v>
      </c>
      <c r="G2689" s="43">
        <v>46190</v>
      </c>
      <c r="H2689" s="42" t="s">
        <v>2491</v>
      </c>
      <c r="N2689" s="146">
        <v>1</v>
      </c>
    </row>
    <row r="2690" spans="1:14" s="42" customFormat="1" x14ac:dyDescent="0.3">
      <c r="A2690" s="42" t="s">
        <v>2480</v>
      </c>
      <c r="B2690" s="42" t="s">
        <v>2481</v>
      </c>
      <c r="C2690" s="42" t="s">
        <v>923</v>
      </c>
      <c r="D2690" s="42">
        <v>5540809412</v>
      </c>
      <c r="E2690" s="42">
        <v>302826</v>
      </c>
      <c r="F2690" s="86">
        <v>119026</v>
      </c>
      <c r="G2690" s="43">
        <v>46190</v>
      </c>
      <c r="H2690" s="42" t="s">
        <v>2482</v>
      </c>
      <c r="N2690" s="146">
        <v>1</v>
      </c>
    </row>
    <row r="2691" spans="1:14" s="80" customFormat="1" x14ac:dyDescent="0.3">
      <c r="A2691" s="80" t="s">
        <v>264</v>
      </c>
      <c r="B2691" s="80" t="s">
        <v>2486</v>
      </c>
      <c r="C2691" s="80" t="s">
        <v>1639</v>
      </c>
      <c r="D2691" s="80">
        <v>5520738198</v>
      </c>
      <c r="E2691" s="80">
        <v>358766</v>
      </c>
      <c r="F2691" s="96">
        <v>2117</v>
      </c>
      <c r="G2691" s="81">
        <v>46190</v>
      </c>
      <c r="N2691" s="154">
        <v>1</v>
      </c>
    </row>
    <row r="2692" spans="1:14" s="80" customFormat="1" x14ac:dyDescent="0.3">
      <c r="A2692" s="80" t="s">
        <v>264</v>
      </c>
      <c r="B2692" s="80" t="s">
        <v>146</v>
      </c>
      <c r="C2692" s="80" t="s">
        <v>285</v>
      </c>
      <c r="D2692" s="80">
        <v>5517709331</v>
      </c>
      <c r="E2692" s="80">
        <v>358927</v>
      </c>
      <c r="F2692" s="96">
        <v>4262</v>
      </c>
      <c r="G2692" s="81">
        <v>46190</v>
      </c>
      <c r="N2692" s="154">
        <v>2</v>
      </c>
    </row>
    <row r="2693" spans="1:14" s="80" customFormat="1" x14ac:dyDescent="0.3">
      <c r="A2693" s="80" t="s">
        <v>264</v>
      </c>
      <c r="B2693" s="80" t="s">
        <v>2487</v>
      </c>
      <c r="C2693" s="80" t="s">
        <v>2030</v>
      </c>
      <c r="D2693" s="80">
        <v>5520393826</v>
      </c>
      <c r="E2693" s="80">
        <v>197939</v>
      </c>
      <c r="F2693" s="96">
        <v>2912</v>
      </c>
      <c r="G2693" s="81">
        <v>46190</v>
      </c>
      <c r="N2693" s="154">
        <v>3</v>
      </c>
    </row>
    <row r="2694" spans="1:14" s="80" customFormat="1" x14ac:dyDescent="0.3">
      <c r="A2694" s="80" t="s">
        <v>264</v>
      </c>
      <c r="B2694" s="80" t="s">
        <v>1266</v>
      </c>
      <c r="C2694" s="80" t="s">
        <v>2485</v>
      </c>
      <c r="D2694" s="80">
        <v>5536546165</v>
      </c>
      <c r="E2694" s="80">
        <v>358561</v>
      </c>
      <c r="F2694" s="96">
        <v>7925</v>
      </c>
      <c r="G2694" s="81">
        <v>46190</v>
      </c>
      <c r="N2694" s="154">
        <v>4</v>
      </c>
    </row>
    <row r="2695" spans="1:14" s="80" customFormat="1" x14ac:dyDescent="0.3">
      <c r="A2695" s="80" t="s">
        <v>264</v>
      </c>
      <c r="B2695" s="80" t="s">
        <v>2483</v>
      </c>
      <c r="C2695" s="80" t="s">
        <v>2484</v>
      </c>
      <c r="D2695" s="80">
        <v>5620278989</v>
      </c>
      <c r="E2695" s="80">
        <v>358896</v>
      </c>
      <c r="F2695" s="96">
        <v>7873</v>
      </c>
      <c r="G2695" s="81">
        <v>46190</v>
      </c>
      <c r="N2695" s="154">
        <v>5</v>
      </c>
    </row>
    <row r="2696" spans="1:14" s="150" customFormat="1" x14ac:dyDescent="0.3">
      <c r="A2696" s="150" t="s">
        <v>890</v>
      </c>
      <c r="B2696" s="150" t="s">
        <v>2494</v>
      </c>
      <c r="C2696" s="150" t="s">
        <v>2495</v>
      </c>
      <c r="D2696" s="150">
        <v>5561720546</v>
      </c>
      <c r="E2696" s="150">
        <v>197326</v>
      </c>
      <c r="F2696" s="151">
        <v>5044</v>
      </c>
      <c r="G2696" s="152">
        <v>46190</v>
      </c>
      <c r="N2696" s="153">
        <v>5</v>
      </c>
    </row>
    <row r="2697" spans="1:14" s="150" customFormat="1" x14ac:dyDescent="0.3">
      <c r="A2697" s="150" t="s">
        <v>890</v>
      </c>
      <c r="B2697" s="150" t="s">
        <v>2492</v>
      </c>
      <c r="C2697" s="150" t="s">
        <v>2493</v>
      </c>
      <c r="D2697" s="150">
        <v>5534704647</v>
      </c>
      <c r="E2697" s="150">
        <v>305761</v>
      </c>
      <c r="F2697" s="151">
        <v>6273</v>
      </c>
      <c r="G2697" s="152">
        <v>46190</v>
      </c>
      <c r="N2697" s="153">
        <v>6</v>
      </c>
    </row>
    <row r="2698" spans="1:14" s="150" customFormat="1" x14ac:dyDescent="0.3">
      <c r="A2698" s="150" t="s">
        <v>890</v>
      </c>
      <c r="B2698" s="150" t="s">
        <v>2492</v>
      </c>
      <c r="C2698" s="150" t="s">
        <v>2493</v>
      </c>
      <c r="D2698" s="150">
        <v>5534704647</v>
      </c>
      <c r="E2698" s="150">
        <v>306304</v>
      </c>
      <c r="F2698" s="151">
        <v>1633</v>
      </c>
      <c r="G2698" s="152">
        <v>46190</v>
      </c>
      <c r="N2698" s="153">
        <v>6</v>
      </c>
    </row>
    <row r="2699" spans="1:14" s="80" customFormat="1" x14ac:dyDescent="0.3">
      <c r="A2699" s="80" t="s">
        <v>264</v>
      </c>
      <c r="B2699" s="80" t="s">
        <v>2496</v>
      </c>
      <c r="C2699" s="80" t="s">
        <v>2497</v>
      </c>
      <c r="D2699" s="80">
        <v>5538803024</v>
      </c>
      <c r="E2699" s="80">
        <v>306262</v>
      </c>
      <c r="F2699" s="96">
        <v>500</v>
      </c>
      <c r="G2699" s="81">
        <v>46191</v>
      </c>
      <c r="N2699" s="154">
        <v>1</v>
      </c>
    </row>
    <row r="2700" spans="1:14" s="80" customFormat="1" x14ac:dyDescent="0.3">
      <c r="A2700" s="80" t="s">
        <v>264</v>
      </c>
      <c r="B2700" s="80" t="s">
        <v>2496</v>
      </c>
      <c r="C2700" s="80" t="s">
        <v>2497</v>
      </c>
      <c r="D2700" s="80">
        <v>5538803024</v>
      </c>
      <c r="E2700" s="80">
        <v>306203</v>
      </c>
      <c r="F2700" s="96">
        <v>8457</v>
      </c>
      <c r="G2700" s="81">
        <v>46191</v>
      </c>
      <c r="N2700" s="154">
        <v>1</v>
      </c>
    </row>
    <row r="2701" spans="1:14" s="80" customFormat="1" x14ac:dyDescent="0.3">
      <c r="A2701" s="80" t="s">
        <v>264</v>
      </c>
      <c r="B2701" s="80" t="s">
        <v>2498</v>
      </c>
      <c r="C2701" s="80" t="s">
        <v>2499</v>
      </c>
      <c r="D2701" s="80">
        <v>5625350935</v>
      </c>
      <c r="E2701" s="80">
        <v>198035</v>
      </c>
      <c r="F2701" s="96">
        <v>7576</v>
      </c>
      <c r="G2701" s="81">
        <v>46191</v>
      </c>
      <c r="H2701" s="80" t="s">
        <v>2505</v>
      </c>
      <c r="N2701" s="154">
        <v>1</v>
      </c>
    </row>
    <row r="2702" spans="1:14" s="80" customFormat="1" x14ac:dyDescent="0.3">
      <c r="A2702" s="80" t="s">
        <v>264</v>
      </c>
      <c r="B2702" s="80" t="s">
        <v>2500</v>
      </c>
      <c r="C2702" s="80" t="s">
        <v>2403</v>
      </c>
      <c r="D2702" s="80">
        <v>5519501593</v>
      </c>
      <c r="E2702" s="80">
        <v>358793</v>
      </c>
      <c r="F2702" s="96">
        <v>3009</v>
      </c>
      <c r="G2702" s="81">
        <v>46191</v>
      </c>
      <c r="N2702" s="154">
        <v>2</v>
      </c>
    </row>
    <row r="2703" spans="1:14" s="80" customFormat="1" x14ac:dyDescent="0.3">
      <c r="A2703" s="80" t="s">
        <v>264</v>
      </c>
      <c r="B2703" s="80" t="s">
        <v>2501</v>
      </c>
      <c r="C2703" s="80" t="s">
        <v>1496</v>
      </c>
      <c r="D2703" s="80">
        <v>5568734619</v>
      </c>
      <c r="E2703" s="80">
        <v>358936</v>
      </c>
      <c r="F2703" s="96">
        <v>3825</v>
      </c>
      <c r="G2703" s="81">
        <v>46191</v>
      </c>
      <c r="N2703" s="154">
        <v>3</v>
      </c>
    </row>
    <row r="2704" spans="1:14" s="80" customFormat="1" x14ac:dyDescent="0.3">
      <c r="A2704" s="80" t="s">
        <v>264</v>
      </c>
      <c r="B2704" s="80" t="s">
        <v>2502</v>
      </c>
      <c r="C2704" s="80" t="s">
        <v>2503</v>
      </c>
      <c r="D2704" s="80">
        <v>5517482656</v>
      </c>
      <c r="E2704" s="80">
        <v>306423</v>
      </c>
      <c r="F2704" s="96">
        <v>9093</v>
      </c>
      <c r="G2704" s="81">
        <v>46191</v>
      </c>
      <c r="N2704" s="154">
        <v>4</v>
      </c>
    </row>
    <row r="2705" spans="1:14" s="109" customFormat="1" x14ac:dyDescent="0.3">
      <c r="A2705" s="109" t="s">
        <v>955</v>
      </c>
      <c r="B2705" s="109" t="s">
        <v>2283</v>
      </c>
      <c r="C2705" s="109" t="s">
        <v>2504</v>
      </c>
      <c r="D2705" s="109">
        <v>5526894705</v>
      </c>
      <c r="E2705" s="109">
        <v>306602</v>
      </c>
      <c r="F2705" s="110">
        <v>6342</v>
      </c>
      <c r="G2705" s="111">
        <v>46191</v>
      </c>
      <c r="N2705" s="155">
        <v>1</v>
      </c>
    </row>
    <row r="2706" spans="1:14" s="109" customFormat="1" x14ac:dyDescent="0.3">
      <c r="A2706" s="109" t="s">
        <v>955</v>
      </c>
      <c r="B2706" s="109" t="s">
        <v>2100</v>
      </c>
      <c r="C2706" s="109" t="s">
        <v>1866</v>
      </c>
      <c r="D2706" s="109">
        <v>5568022987</v>
      </c>
      <c r="E2706" s="109">
        <v>197369</v>
      </c>
      <c r="F2706" s="110">
        <v>15619</v>
      </c>
      <c r="G2706" s="111">
        <v>46191</v>
      </c>
      <c r="N2706" s="155">
        <v>2</v>
      </c>
    </row>
    <row r="2707" spans="1:14" s="150" customFormat="1" x14ac:dyDescent="0.3">
      <c r="A2707" s="150" t="s">
        <v>17</v>
      </c>
      <c r="B2707" s="150" t="s">
        <v>2506</v>
      </c>
      <c r="C2707" s="150" t="s">
        <v>2507</v>
      </c>
      <c r="D2707" s="150">
        <v>5582020722</v>
      </c>
      <c r="E2707" s="150">
        <v>197598</v>
      </c>
      <c r="F2707" s="151">
        <v>726</v>
      </c>
      <c r="G2707" s="152">
        <v>46191</v>
      </c>
      <c r="N2707" s="153">
        <v>1</v>
      </c>
    </row>
    <row r="2708" spans="1:14" s="150" customFormat="1" x14ac:dyDescent="0.3">
      <c r="A2708" s="150" t="s">
        <v>17</v>
      </c>
      <c r="B2708" s="150" t="s">
        <v>2508</v>
      </c>
      <c r="C2708" s="150" t="s">
        <v>2509</v>
      </c>
      <c r="D2708" s="150">
        <v>5512596512</v>
      </c>
      <c r="E2708" s="150">
        <v>197842</v>
      </c>
      <c r="F2708" s="151">
        <v>1102</v>
      </c>
      <c r="G2708" s="152">
        <v>46191</v>
      </c>
      <c r="N2708" s="153">
        <v>2</v>
      </c>
    </row>
    <row r="2709" spans="1:14" s="150" customFormat="1" x14ac:dyDescent="0.3">
      <c r="A2709" s="150" t="s">
        <v>17</v>
      </c>
      <c r="B2709" s="150" t="s">
        <v>2510</v>
      </c>
      <c r="C2709" s="150" t="s">
        <v>2511</v>
      </c>
      <c r="D2709" s="150">
        <v>5527328748</v>
      </c>
      <c r="E2709" s="150">
        <v>306386</v>
      </c>
      <c r="F2709" s="151">
        <v>8625</v>
      </c>
      <c r="G2709" s="152">
        <v>46191</v>
      </c>
      <c r="N2709" s="153">
        <v>3</v>
      </c>
    </row>
    <row r="2710" spans="1:14" s="150" customFormat="1" x14ac:dyDescent="0.3">
      <c r="A2710" s="150" t="s">
        <v>17</v>
      </c>
      <c r="B2710" s="150" t="s">
        <v>964</v>
      </c>
      <c r="C2710" s="150" t="s">
        <v>2511</v>
      </c>
      <c r="D2710" s="150">
        <v>2206119277</v>
      </c>
      <c r="E2710" s="150">
        <v>306152</v>
      </c>
      <c r="F2710" s="151">
        <v>9377</v>
      </c>
      <c r="G2710" s="152">
        <v>46191</v>
      </c>
      <c r="N2710" s="153">
        <v>3</v>
      </c>
    </row>
    <row r="2711" spans="1:14" s="150" customFormat="1" x14ac:dyDescent="0.3">
      <c r="A2711" s="150" t="s">
        <v>17</v>
      </c>
      <c r="B2711" s="150" t="s">
        <v>964</v>
      </c>
      <c r="C2711" s="150" t="s">
        <v>2511</v>
      </c>
      <c r="D2711" s="150">
        <v>2206119277</v>
      </c>
      <c r="E2711" s="150">
        <v>306155</v>
      </c>
      <c r="F2711" s="151">
        <v>6351</v>
      </c>
      <c r="G2711" s="152">
        <v>46191</v>
      </c>
      <c r="N2711" s="153">
        <v>3</v>
      </c>
    </row>
    <row r="2712" spans="1:14" s="150" customFormat="1" x14ac:dyDescent="0.3">
      <c r="A2712" s="150" t="s">
        <v>17</v>
      </c>
      <c r="B2712" s="150" t="s">
        <v>2512</v>
      </c>
      <c r="C2712" s="150" t="s">
        <v>2353</v>
      </c>
      <c r="D2712" s="150">
        <v>5540442312</v>
      </c>
      <c r="E2712" s="150">
        <v>358888</v>
      </c>
      <c r="F2712" s="151">
        <v>1728</v>
      </c>
      <c r="G2712" s="152">
        <v>46191</v>
      </c>
      <c r="N2712" s="153">
        <v>4</v>
      </c>
    </row>
    <row r="2713" spans="1:14" s="150" customFormat="1" x14ac:dyDescent="0.3">
      <c r="A2713" s="150" t="s">
        <v>17</v>
      </c>
      <c r="B2713" s="150" t="s">
        <v>2513</v>
      </c>
      <c r="C2713" s="150" t="s">
        <v>2514</v>
      </c>
      <c r="D2713" s="150">
        <v>5610186288</v>
      </c>
      <c r="E2713" s="150">
        <v>197763</v>
      </c>
      <c r="F2713" s="151">
        <v>1590</v>
      </c>
      <c r="G2713" s="152">
        <v>46191</v>
      </c>
      <c r="N2713" s="153">
        <v>5</v>
      </c>
    </row>
    <row r="2714" spans="1:14" s="150" customFormat="1" x14ac:dyDescent="0.3">
      <c r="A2714" s="150" t="s">
        <v>17</v>
      </c>
      <c r="B2714" s="151" t="s">
        <v>2143</v>
      </c>
      <c r="C2714" s="152" t="s">
        <v>2144</v>
      </c>
      <c r="D2714" s="150">
        <v>5526636766</v>
      </c>
      <c r="E2714" s="150">
        <v>306325</v>
      </c>
      <c r="F2714" s="151">
        <v>9001</v>
      </c>
      <c r="G2714" s="152">
        <v>46191</v>
      </c>
      <c r="N2714" s="153">
        <v>6</v>
      </c>
    </row>
    <row r="2715" spans="1:14" s="42" customFormat="1" x14ac:dyDescent="0.3">
      <c r="A2715" s="42" t="s">
        <v>2141</v>
      </c>
      <c r="B2715" s="42" t="s">
        <v>2515</v>
      </c>
      <c r="C2715" s="42" t="s">
        <v>2516</v>
      </c>
      <c r="D2715" s="42">
        <v>5574225649</v>
      </c>
      <c r="E2715" s="42">
        <v>197612</v>
      </c>
      <c r="F2715" s="86">
        <v>3520</v>
      </c>
      <c r="G2715" s="43">
        <v>46191</v>
      </c>
      <c r="N2715" s="146">
        <v>1</v>
      </c>
    </row>
    <row r="2716" spans="1:14" s="42" customFormat="1" x14ac:dyDescent="0.3">
      <c r="A2716" s="42" t="s">
        <v>2141</v>
      </c>
      <c r="B2716" s="42" t="s">
        <v>2517</v>
      </c>
      <c r="C2716" s="42" t="s">
        <v>2086</v>
      </c>
      <c r="D2716" s="42">
        <v>5533352197</v>
      </c>
      <c r="E2716" s="42">
        <v>306317</v>
      </c>
      <c r="F2716" s="86">
        <v>16159</v>
      </c>
      <c r="G2716" s="43">
        <v>46191</v>
      </c>
      <c r="N2716" s="146">
        <v>2</v>
      </c>
    </row>
    <row r="2717" spans="1:14" s="42" customFormat="1" x14ac:dyDescent="0.3">
      <c r="A2717" s="42" t="s">
        <v>2141</v>
      </c>
      <c r="B2717" s="42" t="s">
        <v>2521</v>
      </c>
      <c r="C2717" s="42" t="s">
        <v>2518</v>
      </c>
      <c r="D2717" s="42">
        <v>5524143275</v>
      </c>
      <c r="E2717" s="42">
        <v>358858</v>
      </c>
      <c r="F2717" s="86">
        <v>5314</v>
      </c>
      <c r="G2717" s="43">
        <v>46191</v>
      </c>
      <c r="N2717" s="146">
        <v>3</v>
      </c>
    </row>
    <row r="2718" spans="1:14" s="42" customFormat="1" x14ac:dyDescent="0.3">
      <c r="A2718" s="42" t="s">
        <v>2141</v>
      </c>
      <c r="B2718" s="42" t="s">
        <v>2519</v>
      </c>
      <c r="C2718" s="42" t="s">
        <v>2520</v>
      </c>
      <c r="D2718" s="42">
        <v>5520192096</v>
      </c>
      <c r="E2718" s="42">
        <v>358754</v>
      </c>
      <c r="F2718" s="86">
        <v>1717</v>
      </c>
      <c r="G2718" s="43">
        <v>46191</v>
      </c>
      <c r="N2718" s="146">
        <v>4</v>
      </c>
    </row>
    <row r="2719" spans="1:14" s="42" customFormat="1" x14ac:dyDescent="0.3">
      <c r="A2719" s="42" t="s">
        <v>2141</v>
      </c>
      <c r="B2719" s="42" t="s">
        <v>2519</v>
      </c>
      <c r="C2719" s="42" t="s">
        <v>2520</v>
      </c>
      <c r="D2719" s="42">
        <v>5520192096</v>
      </c>
      <c r="E2719" s="42">
        <v>358753</v>
      </c>
      <c r="F2719" s="86">
        <v>621</v>
      </c>
      <c r="G2719" s="43">
        <v>46191</v>
      </c>
      <c r="N2719" s="146">
        <v>4</v>
      </c>
    </row>
    <row r="2720" spans="1:14" s="80" customFormat="1" x14ac:dyDescent="0.3">
      <c r="A2720" s="80" t="s">
        <v>264</v>
      </c>
      <c r="B2720" s="80" t="s">
        <v>2435</v>
      </c>
      <c r="C2720" s="80" t="s">
        <v>285</v>
      </c>
      <c r="D2720" s="80">
        <v>5570855960</v>
      </c>
      <c r="E2720" s="80">
        <v>359024</v>
      </c>
      <c r="F2720" s="96">
        <v>630</v>
      </c>
      <c r="G2720" s="81">
        <v>46192</v>
      </c>
      <c r="N2720" s="154">
        <v>1</v>
      </c>
    </row>
    <row r="2721" spans="1:14" s="80" customFormat="1" x14ac:dyDescent="0.3">
      <c r="A2721" s="80" t="s">
        <v>264</v>
      </c>
      <c r="B2721" s="80" t="s">
        <v>2435</v>
      </c>
      <c r="C2721" s="80" t="s">
        <v>285</v>
      </c>
      <c r="D2721" s="80">
        <v>5570855960</v>
      </c>
      <c r="E2721" s="80">
        <v>359025</v>
      </c>
      <c r="F2721" s="96">
        <v>208</v>
      </c>
      <c r="G2721" s="81">
        <v>46192</v>
      </c>
      <c r="N2721" s="154">
        <v>1</v>
      </c>
    </row>
    <row r="2722" spans="1:14" s="80" customFormat="1" x14ac:dyDescent="0.3">
      <c r="A2722" s="80" t="s">
        <v>264</v>
      </c>
      <c r="B2722" s="80" t="s">
        <v>428</v>
      </c>
      <c r="C2722" s="80" t="s">
        <v>1947</v>
      </c>
      <c r="D2722" s="80">
        <v>5521687373</v>
      </c>
      <c r="E2722" s="80">
        <v>359060</v>
      </c>
      <c r="F2722" s="96">
        <v>1885</v>
      </c>
      <c r="G2722" s="81">
        <v>46192</v>
      </c>
      <c r="N2722" s="154">
        <v>2</v>
      </c>
    </row>
    <row r="2723" spans="1:14" s="80" customFormat="1" x14ac:dyDescent="0.3">
      <c r="A2723" s="80" t="s">
        <v>264</v>
      </c>
      <c r="B2723" s="80" t="s">
        <v>1360</v>
      </c>
      <c r="C2723" s="80" t="s">
        <v>1902</v>
      </c>
      <c r="D2723" s="80">
        <v>5583835529</v>
      </c>
      <c r="E2723" s="80">
        <v>306709</v>
      </c>
      <c r="F2723" s="96">
        <v>2508</v>
      </c>
      <c r="G2723" s="81">
        <v>46192</v>
      </c>
      <c r="N2723" s="154">
        <v>3</v>
      </c>
    </row>
    <row r="2724" spans="1:14" s="80" customFormat="1" x14ac:dyDescent="0.3">
      <c r="A2724" s="80" t="s">
        <v>264</v>
      </c>
      <c r="B2724" s="80" t="s">
        <v>1963</v>
      </c>
      <c r="C2724" s="80" t="s">
        <v>1964</v>
      </c>
      <c r="D2724" s="80">
        <v>5520066060</v>
      </c>
      <c r="E2724" s="80">
        <v>359074</v>
      </c>
      <c r="F2724" s="96">
        <v>6725</v>
      </c>
      <c r="G2724" s="81">
        <v>46192</v>
      </c>
      <c r="N2724" s="154">
        <v>4</v>
      </c>
    </row>
    <row r="2725" spans="1:14" s="80" customFormat="1" x14ac:dyDescent="0.3">
      <c r="A2725" s="80" t="s">
        <v>264</v>
      </c>
      <c r="B2725" s="80" t="s">
        <v>2210</v>
      </c>
      <c r="C2725" s="80" t="s">
        <v>2191</v>
      </c>
      <c r="D2725" s="80">
        <v>5582860407</v>
      </c>
      <c r="E2725" s="80">
        <v>306242</v>
      </c>
      <c r="F2725" s="96">
        <v>13910</v>
      </c>
      <c r="G2725" s="81">
        <v>46192</v>
      </c>
      <c r="N2725" s="154">
        <v>5</v>
      </c>
    </row>
    <row r="2726" spans="1:14" s="109" customFormat="1" x14ac:dyDescent="0.3">
      <c r="A2726" s="109" t="s">
        <v>955</v>
      </c>
      <c r="B2726" s="109" t="s">
        <v>2522</v>
      </c>
      <c r="C2726" s="109" t="s">
        <v>1936</v>
      </c>
      <c r="D2726" s="109">
        <v>5557703397</v>
      </c>
      <c r="E2726" s="109">
        <v>198159</v>
      </c>
      <c r="F2726" s="110">
        <v>6180</v>
      </c>
      <c r="G2726" s="111">
        <v>46192</v>
      </c>
    </row>
    <row r="2727" spans="1:14" s="109" customFormat="1" x14ac:dyDescent="0.3">
      <c r="A2727" s="109" t="s">
        <v>955</v>
      </c>
      <c r="B2727" s="109" t="s">
        <v>926</v>
      </c>
      <c r="C2727" s="109" t="s">
        <v>46</v>
      </c>
      <c r="D2727" s="109">
        <v>5557557036</v>
      </c>
      <c r="E2727" s="109">
        <v>306695</v>
      </c>
      <c r="F2727" s="110">
        <v>1140</v>
      </c>
      <c r="G2727" s="111">
        <v>46192</v>
      </c>
    </row>
    <row r="2728" spans="1:14" s="109" customFormat="1" x14ac:dyDescent="0.3">
      <c r="A2728" s="109" t="s">
        <v>955</v>
      </c>
      <c r="B2728" s="109" t="s">
        <v>146</v>
      </c>
      <c r="C2728" s="109" t="s">
        <v>1939</v>
      </c>
      <c r="D2728" s="109">
        <v>5591708125</v>
      </c>
      <c r="E2728" s="109">
        <v>35361</v>
      </c>
      <c r="F2728" s="110">
        <v>2694</v>
      </c>
      <c r="G2728" s="111">
        <v>46192</v>
      </c>
    </row>
    <row r="2729" spans="1:14" s="109" customFormat="1" x14ac:dyDescent="0.3">
      <c r="A2729" s="109" t="s">
        <v>955</v>
      </c>
      <c r="B2729" s="109" t="s">
        <v>2363</v>
      </c>
      <c r="C2729" s="109" t="s">
        <v>2523</v>
      </c>
      <c r="D2729" s="109">
        <v>5515383507</v>
      </c>
      <c r="E2729" s="109">
        <v>197969</v>
      </c>
      <c r="F2729" s="110">
        <v>1647</v>
      </c>
      <c r="G2729" s="111">
        <v>46192</v>
      </c>
    </row>
    <row r="2730" spans="1:14" s="109" customFormat="1" x14ac:dyDescent="0.3">
      <c r="A2730" s="109" t="s">
        <v>955</v>
      </c>
      <c r="B2730" s="109" t="s">
        <v>2363</v>
      </c>
      <c r="C2730" s="109" t="s">
        <v>2523</v>
      </c>
      <c r="D2730" s="109">
        <v>5515383507</v>
      </c>
      <c r="E2730" s="109">
        <v>35330</v>
      </c>
      <c r="F2730" s="110">
        <v>2110</v>
      </c>
      <c r="G2730" s="111">
        <v>46192</v>
      </c>
    </row>
    <row r="2731" spans="1:14" s="150" customFormat="1" x14ac:dyDescent="0.3">
      <c r="A2731" s="150" t="s">
        <v>890</v>
      </c>
      <c r="B2731" s="150" t="s">
        <v>2524</v>
      </c>
      <c r="C2731" s="150" t="s">
        <v>1955</v>
      </c>
      <c r="D2731" s="150">
        <v>5565319683</v>
      </c>
      <c r="E2731" s="150">
        <v>198158</v>
      </c>
      <c r="F2731" s="151">
        <v>117</v>
      </c>
      <c r="G2731" s="152">
        <v>46192</v>
      </c>
    </row>
    <row r="2732" spans="1:14" s="150" customFormat="1" x14ac:dyDescent="0.3">
      <c r="A2732" s="150" t="s">
        <v>890</v>
      </c>
      <c r="B2732" s="150" t="s">
        <v>2530</v>
      </c>
      <c r="C2732" s="150" t="s">
        <v>2026</v>
      </c>
      <c r="D2732" s="150">
        <v>5529896715</v>
      </c>
      <c r="E2732" s="150">
        <v>358638</v>
      </c>
      <c r="F2732" s="151">
        <v>6020</v>
      </c>
      <c r="G2732" s="152">
        <v>46192</v>
      </c>
    </row>
    <row r="2733" spans="1:14" s="150" customFormat="1" x14ac:dyDescent="0.3">
      <c r="A2733" s="150" t="s">
        <v>890</v>
      </c>
      <c r="B2733" s="150" t="s">
        <v>1702</v>
      </c>
      <c r="C2733" s="150" t="s">
        <v>2114</v>
      </c>
      <c r="D2733" s="150">
        <v>5610944519</v>
      </c>
      <c r="E2733" s="150">
        <v>359841</v>
      </c>
      <c r="F2733" s="151">
        <v>2946</v>
      </c>
      <c r="G2733" s="152">
        <v>46192</v>
      </c>
    </row>
    <row r="2734" spans="1:14" s="150" customFormat="1" x14ac:dyDescent="0.3">
      <c r="A2734" s="150" t="s">
        <v>890</v>
      </c>
      <c r="B2734" s="150" t="s">
        <v>2525</v>
      </c>
      <c r="C2734" s="150" t="s">
        <v>2341</v>
      </c>
      <c r="D2734" s="150">
        <v>5513206351</v>
      </c>
      <c r="E2734" s="150">
        <v>306650</v>
      </c>
      <c r="F2734" s="151">
        <v>4232</v>
      </c>
      <c r="G2734" s="152">
        <v>46192</v>
      </c>
      <c r="H2734" s="150" t="s">
        <v>2526</v>
      </c>
    </row>
    <row r="2735" spans="1:14" s="42" customFormat="1" x14ac:dyDescent="0.3">
      <c r="A2735" s="42" t="s">
        <v>2141</v>
      </c>
      <c r="B2735" s="42" t="s">
        <v>2527</v>
      </c>
      <c r="C2735" s="42" t="s">
        <v>1914</v>
      </c>
      <c r="D2735" s="42">
        <v>5545740789</v>
      </c>
      <c r="E2735" s="42">
        <v>358841</v>
      </c>
      <c r="F2735" s="86">
        <v>11923</v>
      </c>
      <c r="G2735" s="43">
        <v>46192</v>
      </c>
    </row>
    <row r="2736" spans="1:14" s="42" customFormat="1" x14ac:dyDescent="0.3">
      <c r="A2736" s="42" t="s">
        <v>2141</v>
      </c>
      <c r="B2736" s="42" t="s">
        <v>2449</v>
      </c>
      <c r="C2736" s="42" t="s">
        <v>2450</v>
      </c>
      <c r="D2736" s="42">
        <v>5647659138</v>
      </c>
      <c r="E2736" s="42">
        <v>359065</v>
      </c>
      <c r="F2736" s="86">
        <v>1309</v>
      </c>
      <c r="G2736" s="43">
        <v>46192</v>
      </c>
    </row>
    <row r="2737" spans="1:7" s="42" customFormat="1" x14ac:dyDescent="0.3">
      <c r="A2737" s="42" t="s">
        <v>2141</v>
      </c>
      <c r="B2737" s="42" t="s">
        <v>2528</v>
      </c>
      <c r="C2737" s="42" t="s">
        <v>1351</v>
      </c>
      <c r="D2737" s="42">
        <v>5622127000</v>
      </c>
      <c r="E2737" s="42">
        <v>359070</v>
      </c>
      <c r="F2737" s="86">
        <v>5661</v>
      </c>
      <c r="G2737" s="43">
        <v>46192</v>
      </c>
    </row>
    <row r="2738" spans="1:7" s="42" customFormat="1" x14ac:dyDescent="0.3">
      <c r="A2738" s="42" t="s">
        <v>2141</v>
      </c>
      <c r="B2738" s="42" t="s">
        <v>2529</v>
      </c>
      <c r="C2738" s="42" t="s">
        <v>909</v>
      </c>
      <c r="D2738" s="42">
        <v>5579944084</v>
      </c>
      <c r="E2738" s="42">
        <v>306274</v>
      </c>
      <c r="F2738" s="86">
        <v>11573</v>
      </c>
      <c r="G2738" s="43">
        <v>46192</v>
      </c>
    </row>
    <row r="2739" spans="1:7" s="150" customFormat="1" x14ac:dyDescent="0.3">
      <c r="A2739" s="150" t="s">
        <v>890</v>
      </c>
      <c r="B2739" s="150" t="s">
        <v>1714</v>
      </c>
      <c r="C2739" s="150" t="s">
        <v>103</v>
      </c>
      <c r="D2739" s="150">
        <v>5586772887</v>
      </c>
      <c r="E2739" s="150">
        <v>197804</v>
      </c>
      <c r="F2739" s="151">
        <v>13143</v>
      </c>
      <c r="G2739" s="152">
        <v>46192</v>
      </c>
    </row>
    <row r="2740" spans="1:7" s="150" customFormat="1" x14ac:dyDescent="0.3">
      <c r="A2740" s="150" t="s">
        <v>890</v>
      </c>
      <c r="B2740" s="150" t="s">
        <v>2295</v>
      </c>
      <c r="C2740" s="150" t="s">
        <v>2119</v>
      </c>
      <c r="D2740" s="150">
        <v>5570826626</v>
      </c>
      <c r="E2740" s="150">
        <v>306477</v>
      </c>
      <c r="F2740" s="151">
        <v>5621</v>
      </c>
      <c r="G2740" s="152">
        <v>46192</v>
      </c>
    </row>
    <row r="2741" spans="1:7" s="80" customFormat="1" x14ac:dyDescent="0.3">
      <c r="A2741" s="80" t="s">
        <v>264</v>
      </c>
      <c r="B2741" s="80" t="s">
        <v>998</v>
      </c>
      <c r="C2741" s="80" t="s">
        <v>2531</v>
      </c>
      <c r="D2741" s="80">
        <v>5518666206</v>
      </c>
      <c r="E2741" s="80">
        <v>197752</v>
      </c>
      <c r="F2741" s="96">
        <v>1073</v>
      </c>
      <c r="G2741" s="81">
        <v>46193</v>
      </c>
    </row>
    <row r="2742" spans="1:7" s="80" customFormat="1" x14ac:dyDescent="0.3">
      <c r="A2742" s="80" t="s">
        <v>264</v>
      </c>
      <c r="B2742" s="80" t="s">
        <v>998</v>
      </c>
      <c r="C2742" s="80" t="s">
        <v>2531</v>
      </c>
      <c r="D2742" s="80">
        <v>5518666206</v>
      </c>
      <c r="E2742" s="80">
        <v>358357</v>
      </c>
      <c r="F2742" s="96">
        <v>31106</v>
      </c>
      <c r="G2742" s="81">
        <v>46193</v>
      </c>
    </row>
    <row r="2743" spans="1:7" s="80" customFormat="1" x14ac:dyDescent="0.3">
      <c r="A2743" s="80" t="s">
        <v>264</v>
      </c>
      <c r="B2743" s="80" t="s">
        <v>998</v>
      </c>
      <c r="C2743" s="80" t="s">
        <v>2531</v>
      </c>
      <c r="D2743" s="80">
        <v>5518666206</v>
      </c>
      <c r="E2743" s="80">
        <v>197434</v>
      </c>
      <c r="F2743" s="96">
        <v>11631</v>
      </c>
      <c r="G2743" s="81">
        <v>46193</v>
      </c>
    </row>
    <row r="2744" spans="1:7" s="150" customFormat="1" x14ac:dyDescent="0.3">
      <c r="A2744" s="150" t="s">
        <v>890</v>
      </c>
      <c r="B2744" s="150" t="s">
        <v>428</v>
      </c>
      <c r="C2744" s="150" t="s">
        <v>1947</v>
      </c>
      <c r="D2744" s="150">
        <v>5521687373</v>
      </c>
      <c r="E2744" s="150">
        <v>198239</v>
      </c>
      <c r="F2744" s="151">
        <v>193</v>
      </c>
      <c r="G2744" s="152">
        <v>46193</v>
      </c>
    </row>
    <row r="2745" spans="1:7" s="150" customFormat="1" x14ac:dyDescent="0.3">
      <c r="A2745" s="150" t="s">
        <v>890</v>
      </c>
      <c r="B2745" s="150" t="s">
        <v>2532</v>
      </c>
      <c r="C2745" s="150" t="s">
        <v>2533</v>
      </c>
      <c r="D2745" s="150">
        <v>5630067875</v>
      </c>
      <c r="E2745" s="150">
        <v>359153</v>
      </c>
      <c r="F2745" s="151">
        <v>3530</v>
      </c>
      <c r="G2745" s="152">
        <v>46193</v>
      </c>
    </row>
    <row r="2746" spans="1:7" s="150" customFormat="1" x14ac:dyDescent="0.3">
      <c r="A2746" s="150" t="s">
        <v>890</v>
      </c>
      <c r="B2746" s="150" t="s">
        <v>2534</v>
      </c>
      <c r="C2746" s="150" t="s">
        <v>1920</v>
      </c>
      <c r="D2746" s="150">
        <v>5547956325</v>
      </c>
      <c r="E2746" s="150">
        <v>198120</v>
      </c>
      <c r="F2746" s="151">
        <v>1512</v>
      </c>
      <c r="G2746" s="152">
        <v>46193</v>
      </c>
    </row>
    <row r="2747" spans="1:7" s="42" customFormat="1" x14ac:dyDescent="0.3">
      <c r="A2747" s="42" t="s">
        <v>2141</v>
      </c>
      <c r="B2747" s="42" t="s">
        <v>2535</v>
      </c>
      <c r="C2747" s="42" t="s">
        <v>2536</v>
      </c>
      <c r="D2747" s="42">
        <v>5618360495</v>
      </c>
      <c r="E2747" s="42">
        <v>198095</v>
      </c>
      <c r="F2747" s="86">
        <v>650</v>
      </c>
      <c r="G2747" s="43">
        <v>46193</v>
      </c>
    </row>
    <row r="2748" spans="1:7" s="42" customFormat="1" x14ac:dyDescent="0.3">
      <c r="A2748" s="42" t="s">
        <v>2141</v>
      </c>
      <c r="B2748" s="42" t="s">
        <v>146</v>
      </c>
      <c r="C2748" s="42" t="s">
        <v>1948</v>
      </c>
      <c r="D2748" s="42">
        <v>5518088706</v>
      </c>
      <c r="E2748" s="42">
        <v>197673</v>
      </c>
      <c r="F2748" s="86">
        <v>5607</v>
      </c>
      <c r="G2748" s="43">
        <v>46193</v>
      </c>
    </row>
    <row r="2749" spans="1:7" s="42" customFormat="1" x14ac:dyDescent="0.3">
      <c r="A2749" s="42" t="s">
        <v>2141</v>
      </c>
      <c r="B2749" s="42" t="s">
        <v>146</v>
      </c>
      <c r="C2749" s="42" t="s">
        <v>2539</v>
      </c>
      <c r="D2749" s="42">
        <v>5521386839</v>
      </c>
      <c r="E2749" s="42">
        <v>198041</v>
      </c>
      <c r="F2749" s="86">
        <v>8535</v>
      </c>
      <c r="G2749" s="43">
        <v>46193</v>
      </c>
    </row>
    <row r="2750" spans="1:7" s="42" customFormat="1" x14ac:dyDescent="0.3">
      <c r="A2750" s="42" t="s">
        <v>2141</v>
      </c>
      <c r="B2750" s="42" t="s">
        <v>2537</v>
      </c>
      <c r="C2750" s="42" t="s">
        <v>2538</v>
      </c>
      <c r="D2750" s="42">
        <v>5575044605</v>
      </c>
      <c r="E2750" s="42">
        <v>197686</v>
      </c>
      <c r="F2750" s="86">
        <v>1844</v>
      </c>
      <c r="G2750" s="43">
        <v>46193</v>
      </c>
    </row>
    <row r="2751" spans="1:7" s="42" customFormat="1" x14ac:dyDescent="0.3">
      <c r="A2751" s="42" t="s">
        <v>2141</v>
      </c>
      <c r="B2751" s="42" t="s">
        <v>1854</v>
      </c>
      <c r="C2751" s="42" t="s">
        <v>2540</v>
      </c>
      <c r="D2751" s="42">
        <v>5525582081</v>
      </c>
      <c r="E2751" s="42">
        <v>198285</v>
      </c>
      <c r="F2751" s="86">
        <v>5662</v>
      </c>
      <c r="G2751" s="43">
        <v>46193</v>
      </c>
    </row>
    <row r="2752" spans="1:7" s="150" customFormat="1" x14ac:dyDescent="0.3">
      <c r="A2752" s="150" t="s">
        <v>17</v>
      </c>
      <c r="B2752" s="150" t="s">
        <v>2524</v>
      </c>
      <c r="C2752" s="150" t="s">
        <v>1955</v>
      </c>
      <c r="D2752" s="150">
        <v>5565319683</v>
      </c>
      <c r="E2752" s="150">
        <v>359212</v>
      </c>
      <c r="F2752" s="151">
        <v>650</v>
      </c>
      <c r="G2752" s="152">
        <v>46195</v>
      </c>
    </row>
    <row r="2753" spans="1:8" s="150" customFormat="1" x14ac:dyDescent="0.3">
      <c r="A2753" s="150" t="s">
        <v>17</v>
      </c>
      <c r="B2753" s="150" t="s">
        <v>2541</v>
      </c>
      <c r="C2753" s="150" t="s">
        <v>2194</v>
      </c>
      <c r="D2753" s="150">
        <v>5548617128</v>
      </c>
      <c r="E2753" s="150">
        <v>359192</v>
      </c>
      <c r="F2753" s="151">
        <v>3741</v>
      </c>
      <c r="G2753" s="152">
        <v>46195</v>
      </c>
    </row>
    <row r="2754" spans="1:8" s="150" customFormat="1" x14ac:dyDescent="0.3">
      <c r="A2754" s="150" t="s">
        <v>17</v>
      </c>
      <c r="B2754" s="150" t="s">
        <v>872</v>
      </c>
      <c r="C2754" s="150" t="s">
        <v>259</v>
      </c>
      <c r="D2754" s="150">
        <v>5528872468</v>
      </c>
      <c r="E2754" s="150">
        <v>198362</v>
      </c>
      <c r="F2754" s="151">
        <v>890</v>
      </c>
      <c r="G2754" s="152">
        <v>46195</v>
      </c>
    </row>
    <row r="2755" spans="1:8" s="150" customFormat="1" x14ac:dyDescent="0.3">
      <c r="A2755" s="150" t="s">
        <v>17</v>
      </c>
      <c r="B2755" s="150" t="s">
        <v>872</v>
      </c>
      <c r="C2755" s="150" t="s">
        <v>259</v>
      </c>
      <c r="D2755" s="150">
        <v>5528872468</v>
      </c>
      <c r="E2755" s="150">
        <v>306697</v>
      </c>
      <c r="F2755" s="151">
        <v>250</v>
      </c>
      <c r="G2755" s="152">
        <v>46195</v>
      </c>
    </row>
    <row r="2756" spans="1:8" s="150" customFormat="1" x14ac:dyDescent="0.3">
      <c r="A2756" s="150" t="s">
        <v>17</v>
      </c>
      <c r="B2756" s="150" t="s">
        <v>2542</v>
      </c>
      <c r="C2756" s="150" t="s">
        <v>2543</v>
      </c>
      <c r="D2756" s="150">
        <v>5598800324</v>
      </c>
      <c r="E2756" s="150">
        <v>306810</v>
      </c>
      <c r="F2756" s="151">
        <v>5408</v>
      </c>
      <c r="G2756" s="152">
        <v>46195</v>
      </c>
    </row>
    <row r="2757" spans="1:8" s="150" customFormat="1" x14ac:dyDescent="0.3">
      <c r="A2757" s="150" t="s">
        <v>17</v>
      </c>
      <c r="B2757" s="150" t="s">
        <v>2490</v>
      </c>
      <c r="C2757" s="150" t="s">
        <v>800</v>
      </c>
      <c r="D2757" s="150">
        <v>5557800399</v>
      </c>
      <c r="E2757" s="150">
        <v>197879</v>
      </c>
      <c r="F2757" s="151">
        <v>5920</v>
      </c>
      <c r="G2757" s="152">
        <v>46195</v>
      </c>
    </row>
    <row r="2758" spans="1:8" s="42" customFormat="1" x14ac:dyDescent="0.3">
      <c r="A2758" s="42" t="s">
        <v>2141</v>
      </c>
      <c r="B2758" s="42" t="s">
        <v>2544</v>
      </c>
      <c r="C2758" s="42" t="s">
        <v>28</v>
      </c>
      <c r="D2758" s="42">
        <v>5585779304</v>
      </c>
      <c r="E2758" s="42">
        <v>198094</v>
      </c>
      <c r="F2758" s="86">
        <v>3744</v>
      </c>
      <c r="G2758" s="43">
        <v>46195</v>
      </c>
    </row>
    <row r="2759" spans="1:8" s="42" customFormat="1" x14ac:dyDescent="0.3">
      <c r="A2759" s="42" t="s">
        <v>2141</v>
      </c>
      <c r="B2759" s="42" t="s">
        <v>2545</v>
      </c>
      <c r="C2759" s="42" t="s">
        <v>2546</v>
      </c>
      <c r="D2759" s="42">
        <v>5535676545</v>
      </c>
      <c r="E2759" s="42">
        <v>306589</v>
      </c>
      <c r="F2759" s="86">
        <v>490</v>
      </c>
      <c r="G2759" s="43">
        <v>46195</v>
      </c>
    </row>
    <row r="2760" spans="1:8" s="42" customFormat="1" x14ac:dyDescent="0.3">
      <c r="A2760" s="42" t="s">
        <v>2141</v>
      </c>
      <c r="B2760" s="42" t="s">
        <v>2545</v>
      </c>
      <c r="C2760" s="42" t="s">
        <v>2546</v>
      </c>
      <c r="D2760" s="42">
        <v>5535676545</v>
      </c>
      <c r="E2760" s="42">
        <v>306594</v>
      </c>
      <c r="F2760" s="86">
        <v>263</v>
      </c>
      <c r="G2760" s="43">
        <v>46195</v>
      </c>
    </row>
    <row r="2761" spans="1:8" s="42" customFormat="1" x14ac:dyDescent="0.3">
      <c r="A2761" s="42" t="s">
        <v>2141</v>
      </c>
      <c r="B2761" s="42" t="s">
        <v>2547</v>
      </c>
      <c r="C2761" s="42" t="s">
        <v>2274</v>
      </c>
      <c r="D2761" s="42">
        <v>5568993346</v>
      </c>
      <c r="E2761" s="42">
        <v>198343</v>
      </c>
      <c r="F2761" s="86">
        <v>6530</v>
      </c>
      <c r="G2761" s="43">
        <v>46195</v>
      </c>
      <c r="H2761" s="42" t="s">
        <v>1461</v>
      </c>
    </row>
    <row r="2762" spans="1:8" s="42" customFormat="1" x14ac:dyDescent="0.3">
      <c r="A2762" s="42" t="s">
        <v>2141</v>
      </c>
      <c r="B2762" s="42" t="s">
        <v>2547</v>
      </c>
      <c r="C2762" s="42" t="s">
        <v>2274</v>
      </c>
      <c r="D2762" s="42">
        <v>5568993346</v>
      </c>
      <c r="E2762" s="42">
        <v>198344</v>
      </c>
      <c r="F2762" s="86">
        <v>5260</v>
      </c>
      <c r="G2762" s="43">
        <v>46195</v>
      </c>
    </row>
    <row r="2763" spans="1:8" s="42" customFormat="1" x14ac:dyDescent="0.3">
      <c r="A2763" s="42" t="s">
        <v>2141</v>
      </c>
      <c r="B2763" s="42" t="s">
        <v>2554</v>
      </c>
      <c r="C2763" s="42" t="s">
        <v>2201</v>
      </c>
      <c r="D2763" s="42">
        <v>5551109058</v>
      </c>
      <c r="E2763" s="42">
        <v>198357</v>
      </c>
      <c r="F2763" s="86">
        <v>3094</v>
      </c>
      <c r="G2763" s="43">
        <v>46195</v>
      </c>
    </row>
    <row r="2764" spans="1:8" s="109" customFormat="1" x14ac:dyDescent="0.3">
      <c r="A2764" s="109" t="s">
        <v>955</v>
      </c>
      <c r="B2764" s="109" t="s">
        <v>2548</v>
      </c>
      <c r="C2764" s="109" t="s">
        <v>1914</v>
      </c>
      <c r="D2764" s="109">
        <v>5527577305</v>
      </c>
      <c r="E2764" s="109">
        <v>197787</v>
      </c>
      <c r="F2764" s="110">
        <v>2747</v>
      </c>
      <c r="G2764" s="111">
        <v>46195</v>
      </c>
    </row>
    <row r="2765" spans="1:8" s="109" customFormat="1" x14ac:dyDescent="0.3">
      <c r="A2765" s="109" t="s">
        <v>955</v>
      </c>
      <c r="B2765" s="109" t="s">
        <v>2549</v>
      </c>
      <c r="C2765" s="109" t="s">
        <v>2114</v>
      </c>
      <c r="D2765" s="109">
        <v>5610944519</v>
      </c>
      <c r="E2765" s="109">
        <v>358941</v>
      </c>
      <c r="F2765" s="110">
        <v>2946</v>
      </c>
      <c r="G2765" s="111">
        <v>46195</v>
      </c>
    </row>
    <row r="2766" spans="1:8" s="109" customFormat="1" x14ac:dyDescent="0.3">
      <c r="A2766" s="109" t="s">
        <v>955</v>
      </c>
      <c r="B2766" s="109" t="s">
        <v>2550</v>
      </c>
      <c r="C2766" s="109" t="s">
        <v>2476</v>
      </c>
      <c r="D2766" s="109">
        <v>5540498614</v>
      </c>
      <c r="E2766" s="109">
        <v>306464</v>
      </c>
      <c r="F2766" s="110">
        <v>6069</v>
      </c>
      <c r="G2766" s="111">
        <v>46195</v>
      </c>
    </row>
    <row r="2767" spans="1:8" s="109" customFormat="1" x14ac:dyDescent="0.3">
      <c r="A2767" s="109" t="s">
        <v>955</v>
      </c>
      <c r="B2767" s="109" t="s">
        <v>2550</v>
      </c>
      <c r="C2767" s="109" t="s">
        <v>2476</v>
      </c>
      <c r="D2767" s="109">
        <v>5540498614</v>
      </c>
      <c r="E2767" s="109">
        <v>306472</v>
      </c>
      <c r="F2767" s="110">
        <v>1838</v>
      </c>
      <c r="G2767" s="111">
        <v>46195</v>
      </c>
      <c r="H2767" s="109" t="s">
        <v>2551</v>
      </c>
    </row>
    <row r="2768" spans="1:8" s="80" customFormat="1" x14ac:dyDescent="0.3">
      <c r="A2768" s="80" t="s">
        <v>264</v>
      </c>
      <c r="B2768" s="80" t="s">
        <v>488</v>
      </c>
      <c r="C2768" s="80" t="s">
        <v>2552</v>
      </c>
      <c r="D2768" s="80">
        <v>5563020807</v>
      </c>
      <c r="E2768" s="80">
        <v>198393</v>
      </c>
      <c r="F2768" s="96">
        <v>4756</v>
      </c>
      <c r="G2768" s="81">
        <v>46195</v>
      </c>
    </row>
    <row r="2769" spans="1:8" s="80" customFormat="1" x14ac:dyDescent="0.3">
      <c r="A2769" s="80" t="s">
        <v>264</v>
      </c>
      <c r="B2769" s="80" t="s">
        <v>1980</v>
      </c>
      <c r="C2769" s="80" t="s">
        <v>2553</v>
      </c>
      <c r="D2769" s="80">
        <v>5632685547</v>
      </c>
      <c r="E2769" s="80">
        <v>359126</v>
      </c>
      <c r="F2769" s="96">
        <v>5181</v>
      </c>
      <c r="G2769" s="81">
        <v>46195</v>
      </c>
    </row>
    <row r="2770" spans="1:8" s="109" customFormat="1" x14ac:dyDescent="0.3">
      <c r="A2770" s="109" t="s">
        <v>955</v>
      </c>
      <c r="B2770" s="109" t="s">
        <v>2555</v>
      </c>
      <c r="C2770" s="109" t="s">
        <v>115</v>
      </c>
      <c r="D2770" s="109">
        <v>5557572636</v>
      </c>
      <c r="E2770" s="109">
        <v>306576</v>
      </c>
      <c r="F2770" s="110">
        <v>13036</v>
      </c>
      <c r="G2770" s="111">
        <v>46195</v>
      </c>
    </row>
    <row r="2771" spans="1:8" s="109" customFormat="1" x14ac:dyDescent="0.3">
      <c r="A2771" s="109" t="s">
        <v>955</v>
      </c>
      <c r="B2771" s="109" t="s">
        <v>2556</v>
      </c>
      <c r="C2771" s="109" t="s">
        <v>41</v>
      </c>
      <c r="D2771" s="109">
        <v>5536628033</v>
      </c>
      <c r="E2771" s="109">
        <v>359044</v>
      </c>
      <c r="F2771" s="110">
        <v>2420</v>
      </c>
      <c r="G2771" s="111">
        <v>46195</v>
      </c>
    </row>
    <row r="2772" spans="1:8" s="109" customFormat="1" x14ac:dyDescent="0.3">
      <c r="A2772" s="109" t="s">
        <v>2141</v>
      </c>
      <c r="B2772" s="109" t="s">
        <v>2557</v>
      </c>
      <c r="C2772" s="109" t="s">
        <v>2423</v>
      </c>
      <c r="D2772" s="109">
        <v>5579132415</v>
      </c>
      <c r="E2772" s="109">
        <v>198104</v>
      </c>
      <c r="F2772" s="110">
        <v>3280</v>
      </c>
      <c r="G2772" s="111">
        <v>46195</v>
      </c>
    </row>
    <row r="2773" spans="1:8" s="80" customFormat="1" x14ac:dyDescent="0.3">
      <c r="A2773" s="80" t="s">
        <v>264</v>
      </c>
      <c r="B2773" s="80" t="s">
        <v>249</v>
      </c>
      <c r="C2773" s="80" t="s">
        <v>1989</v>
      </c>
      <c r="D2773" s="80">
        <v>5535334019</v>
      </c>
      <c r="E2773" s="80">
        <v>358606</v>
      </c>
      <c r="F2773" s="96">
        <v>3607</v>
      </c>
      <c r="G2773" s="81">
        <v>46195</v>
      </c>
    </row>
    <row r="2774" spans="1:8" s="80" customFormat="1" x14ac:dyDescent="0.3">
      <c r="A2774" s="80" t="s">
        <v>264</v>
      </c>
      <c r="B2774" s="80" t="s">
        <v>249</v>
      </c>
      <c r="C2774" s="80" t="s">
        <v>1989</v>
      </c>
      <c r="D2774" s="80">
        <v>5535334019</v>
      </c>
      <c r="E2774" s="80">
        <v>358605</v>
      </c>
      <c r="F2774" s="96">
        <v>4640</v>
      </c>
      <c r="G2774" s="81">
        <v>46195</v>
      </c>
      <c r="H2774" s="80" t="s">
        <v>1461</v>
      </c>
    </row>
    <row r="2775" spans="1:8" s="80" customFormat="1" x14ac:dyDescent="0.3">
      <c r="A2775" s="80" t="s">
        <v>264</v>
      </c>
      <c r="B2775" s="80" t="s">
        <v>249</v>
      </c>
      <c r="C2775" s="80" t="s">
        <v>1989</v>
      </c>
      <c r="D2775" s="80">
        <v>5535334019</v>
      </c>
      <c r="E2775" s="80">
        <v>358607</v>
      </c>
      <c r="F2775" s="96">
        <v>1882</v>
      </c>
      <c r="G2775" s="81">
        <v>46195</v>
      </c>
      <c r="H2775" s="80" t="s">
        <v>2382</v>
      </c>
    </row>
    <row r="2776" spans="1:8" s="150" customFormat="1" x14ac:dyDescent="0.3">
      <c r="A2776" s="150" t="s">
        <v>890</v>
      </c>
      <c r="B2776" s="150" t="s">
        <v>2558</v>
      </c>
      <c r="C2776" s="150" t="s">
        <v>2507</v>
      </c>
      <c r="D2776" s="150">
        <v>5554353331</v>
      </c>
      <c r="E2776" s="150">
        <v>306640</v>
      </c>
      <c r="F2776" s="151">
        <v>7333</v>
      </c>
      <c r="G2776" s="152">
        <v>46195</v>
      </c>
    </row>
    <row r="2777" spans="1:8" s="150" customFormat="1" x14ac:dyDescent="0.3">
      <c r="A2777" s="150" t="s">
        <v>890</v>
      </c>
      <c r="B2777" s="150" t="s">
        <v>2559</v>
      </c>
      <c r="C2777" s="150" t="s">
        <v>2560</v>
      </c>
      <c r="D2777" s="150">
        <v>5591695795</v>
      </c>
      <c r="E2777" s="150">
        <v>198172</v>
      </c>
      <c r="F2777" s="151">
        <v>6424</v>
      </c>
      <c r="G2777" s="152">
        <v>46195</v>
      </c>
    </row>
    <row r="2778" spans="1:8" s="42" customFormat="1" x14ac:dyDescent="0.3">
      <c r="A2778" s="42" t="s">
        <v>2141</v>
      </c>
      <c r="B2778" s="42" t="s">
        <v>2258</v>
      </c>
      <c r="C2778" s="42" t="s">
        <v>2561</v>
      </c>
      <c r="D2778" s="42">
        <v>5535892760</v>
      </c>
      <c r="E2778" s="42">
        <v>198369</v>
      </c>
      <c r="F2778" s="86">
        <v>2900</v>
      </c>
      <c r="G2778" s="43">
        <v>46196</v>
      </c>
    </row>
    <row r="2779" spans="1:8" s="42" customFormat="1" x14ac:dyDescent="0.3">
      <c r="A2779" s="42" t="s">
        <v>2141</v>
      </c>
      <c r="B2779" s="42" t="s">
        <v>2562</v>
      </c>
      <c r="C2779" s="42" t="s">
        <v>2563</v>
      </c>
      <c r="D2779" s="42">
        <v>5539096836</v>
      </c>
      <c r="E2779" s="42">
        <v>302769</v>
      </c>
      <c r="F2779" s="86">
        <v>2340</v>
      </c>
      <c r="G2779" s="43">
        <v>46196</v>
      </c>
    </row>
    <row r="2780" spans="1:8" s="42" customFormat="1" x14ac:dyDescent="0.3">
      <c r="A2780" s="42" t="s">
        <v>2141</v>
      </c>
      <c r="B2780" s="43" t="s">
        <v>2564</v>
      </c>
      <c r="C2780" s="42" t="s">
        <v>2565</v>
      </c>
      <c r="D2780" s="42">
        <v>5517807990</v>
      </c>
      <c r="E2780" s="42">
        <v>198488</v>
      </c>
      <c r="F2780" s="86">
        <v>13895</v>
      </c>
      <c r="G2780" s="43">
        <v>46196</v>
      </c>
    </row>
    <row r="2781" spans="1:8" s="42" customFormat="1" x14ac:dyDescent="0.3">
      <c r="A2781" s="42" t="s">
        <v>2141</v>
      </c>
      <c r="B2781" s="42" t="s">
        <v>2566</v>
      </c>
      <c r="C2781" s="42" t="s">
        <v>2567</v>
      </c>
      <c r="D2781" s="42">
        <v>5518121123</v>
      </c>
      <c r="E2781" s="42">
        <v>198463</v>
      </c>
      <c r="F2781" s="86">
        <v>16500</v>
      </c>
      <c r="G2781" s="43">
        <v>46196</v>
      </c>
    </row>
    <row r="2782" spans="1:8" s="42" customFormat="1" x14ac:dyDescent="0.3">
      <c r="A2782" s="42" t="s">
        <v>2141</v>
      </c>
      <c r="B2782" s="42" t="s">
        <v>2272</v>
      </c>
      <c r="C2782" s="42" t="s">
        <v>285</v>
      </c>
      <c r="D2782" s="42">
        <v>5575268727</v>
      </c>
      <c r="E2782" s="42">
        <v>359278</v>
      </c>
      <c r="F2782" s="86">
        <v>2548</v>
      </c>
      <c r="G2782" s="43">
        <v>46196</v>
      </c>
    </row>
    <row r="2783" spans="1:8" s="42" customFormat="1" x14ac:dyDescent="0.3">
      <c r="A2783" s="42" t="s">
        <v>2141</v>
      </c>
      <c r="B2783" s="42" t="s">
        <v>1448</v>
      </c>
      <c r="C2783" s="42" t="s">
        <v>1496</v>
      </c>
      <c r="D2783" s="42">
        <v>5566404547</v>
      </c>
      <c r="E2783" s="42">
        <v>359009</v>
      </c>
      <c r="F2783" s="86">
        <v>1670</v>
      </c>
      <c r="G2783" s="43">
        <v>46196</v>
      </c>
    </row>
    <row r="2784" spans="1:8" s="42" customFormat="1" x14ac:dyDescent="0.3">
      <c r="A2784" s="42" t="s">
        <v>2141</v>
      </c>
      <c r="B2784" s="42" t="s">
        <v>1448</v>
      </c>
      <c r="C2784" s="42" t="s">
        <v>1496</v>
      </c>
      <c r="D2784" s="42">
        <v>5566404547</v>
      </c>
      <c r="E2784" s="42">
        <v>359010</v>
      </c>
      <c r="F2784" s="86">
        <v>4694</v>
      </c>
      <c r="G2784" s="43">
        <v>46196</v>
      </c>
    </row>
    <row r="2785" spans="1:7" s="42" customFormat="1" x14ac:dyDescent="0.3">
      <c r="A2785" s="42" t="s">
        <v>2141</v>
      </c>
      <c r="B2785" s="42" t="s">
        <v>1886</v>
      </c>
      <c r="C2785" s="42" t="s">
        <v>478</v>
      </c>
      <c r="D2785" s="42">
        <v>5527842592</v>
      </c>
      <c r="E2785" s="42">
        <v>197867</v>
      </c>
      <c r="F2785" s="86">
        <v>1065</v>
      </c>
      <c r="G2785" s="43">
        <v>46196</v>
      </c>
    </row>
    <row r="2786" spans="1:7" s="109" customFormat="1" x14ac:dyDescent="0.3">
      <c r="A2786" s="109" t="s">
        <v>955</v>
      </c>
      <c r="B2786" s="109" t="s">
        <v>2568</v>
      </c>
      <c r="C2786" s="109" t="s">
        <v>2569</v>
      </c>
      <c r="D2786" s="109">
        <v>5516804643</v>
      </c>
      <c r="E2786" s="109">
        <v>306279</v>
      </c>
      <c r="F2786" s="110">
        <v>1806</v>
      </c>
      <c r="G2786" s="111">
        <v>46196</v>
      </c>
    </row>
    <row r="2787" spans="1:7" s="109" customFormat="1" x14ac:dyDescent="0.3">
      <c r="A2787" s="109" t="s">
        <v>955</v>
      </c>
      <c r="B2787" s="109" t="s">
        <v>2568</v>
      </c>
      <c r="C2787" s="109" t="s">
        <v>2569</v>
      </c>
      <c r="D2787" s="109">
        <v>5516804643</v>
      </c>
      <c r="E2787" s="109">
        <v>306278</v>
      </c>
      <c r="F2787" s="110">
        <v>16824</v>
      </c>
      <c r="G2787" s="111">
        <v>46196</v>
      </c>
    </row>
    <row r="2788" spans="1:7" s="80" customFormat="1" x14ac:dyDescent="0.3">
      <c r="A2788" s="80" t="s">
        <v>264</v>
      </c>
      <c r="B2788" s="80" t="s">
        <v>2570</v>
      </c>
      <c r="C2788" s="80" t="s">
        <v>2511</v>
      </c>
      <c r="D2788" s="80">
        <v>5516841620</v>
      </c>
      <c r="E2788" s="80">
        <v>359179</v>
      </c>
      <c r="F2788" s="96">
        <v>4750</v>
      </c>
      <c r="G2788" s="81">
        <v>46196</v>
      </c>
    </row>
    <row r="2789" spans="1:7" s="80" customFormat="1" x14ac:dyDescent="0.3">
      <c r="A2789" s="80" t="s">
        <v>264</v>
      </c>
      <c r="B2789" s="80" t="s">
        <v>2571</v>
      </c>
      <c r="C2789" s="80" t="s">
        <v>117</v>
      </c>
      <c r="D2789" s="80">
        <v>5596872479</v>
      </c>
      <c r="E2789" s="80">
        <v>359303</v>
      </c>
      <c r="F2789" s="96">
        <v>3700</v>
      </c>
      <c r="G2789" s="81">
        <v>46196</v>
      </c>
    </row>
    <row r="2790" spans="1:7" s="80" customFormat="1" x14ac:dyDescent="0.3">
      <c r="A2790" s="80" t="s">
        <v>264</v>
      </c>
      <c r="B2790" s="80" t="s">
        <v>2572</v>
      </c>
      <c r="C2790" s="80" t="s">
        <v>555</v>
      </c>
      <c r="D2790" s="80">
        <v>5580885800</v>
      </c>
      <c r="E2790" s="80">
        <v>198140</v>
      </c>
      <c r="F2790" s="96">
        <v>1383</v>
      </c>
      <c r="G2790" s="81">
        <v>46196</v>
      </c>
    </row>
    <row r="2791" spans="1:7" s="80" customFormat="1" x14ac:dyDescent="0.3">
      <c r="A2791" s="80" t="s">
        <v>264</v>
      </c>
      <c r="B2791" s="80" t="s">
        <v>2474</v>
      </c>
      <c r="C2791" s="80" t="s">
        <v>1914</v>
      </c>
      <c r="D2791" s="80">
        <v>5547402145</v>
      </c>
      <c r="E2791" s="80">
        <v>306856</v>
      </c>
      <c r="F2791" s="96">
        <v>1619</v>
      </c>
      <c r="G2791" s="81">
        <v>46196</v>
      </c>
    </row>
    <row r="2792" spans="1:7" s="115" customFormat="1" x14ac:dyDescent="0.3">
      <c r="A2792" s="115" t="s">
        <v>2575</v>
      </c>
      <c r="B2792" s="115" t="s">
        <v>2573</v>
      </c>
      <c r="C2792" s="115" t="s">
        <v>2574</v>
      </c>
      <c r="D2792" s="115">
        <v>5527440374</v>
      </c>
      <c r="E2792" s="115" t="s">
        <v>907</v>
      </c>
      <c r="F2792" s="116">
        <v>18121</v>
      </c>
      <c r="G2792" s="117">
        <v>46196</v>
      </c>
    </row>
    <row r="2793" spans="1:7" s="115" customFormat="1" x14ac:dyDescent="0.3">
      <c r="A2793" s="115" t="s">
        <v>2575</v>
      </c>
      <c r="B2793" s="115" t="s">
        <v>2573</v>
      </c>
      <c r="C2793" s="115" t="s">
        <v>2574</v>
      </c>
      <c r="D2793" s="115">
        <v>5527440374</v>
      </c>
      <c r="E2793" s="115">
        <v>358748</v>
      </c>
      <c r="F2793" s="116">
        <v>4566</v>
      </c>
      <c r="G2793" s="117">
        <v>46196</v>
      </c>
    </row>
    <row r="2794" spans="1:7" s="80" customFormat="1" x14ac:dyDescent="0.3">
      <c r="A2794" s="80" t="s">
        <v>264</v>
      </c>
      <c r="B2794" s="80" t="s">
        <v>828</v>
      </c>
      <c r="C2794" s="80" t="s">
        <v>2129</v>
      </c>
      <c r="D2794" s="80">
        <v>5514795402</v>
      </c>
      <c r="E2794" s="80">
        <v>198472</v>
      </c>
      <c r="F2794" s="96">
        <v>6030</v>
      </c>
      <c r="G2794" s="81">
        <v>46197</v>
      </c>
    </row>
    <row r="2795" spans="1:7" s="80" customFormat="1" x14ac:dyDescent="0.3">
      <c r="A2795" s="80" t="s">
        <v>264</v>
      </c>
      <c r="B2795" s="80" t="s">
        <v>2266</v>
      </c>
      <c r="C2795" s="80" t="s">
        <v>2576</v>
      </c>
      <c r="D2795" s="80">
        <v>5617764060</v>
      </c>
      <c r="E2795" s="80">
        <v>359263</v>
      </c>
      <c r="F2795" s="96">
        <v>3848</v>
      </c>
      <c r="G2795" s="81">
        <v>46197</v>
      </c>
    </row>
    <row r="2796" spans="1:7" s="80" customFormat="1" x14ac:dyDescent="0.3">
      <c r="A2796" s="80" t="s">
        <v>264</v>
      </c>
      <c r="B2796" s="80" t="s">
        <v>325</v>
      </c>
      <c r="C2796" s="80" t="s">
        <v>76</v>
      </c>
      <c r="D2796" s="80">
        <v>5613869199</v>
      </c>
      <c r="E2796" s="80">
        <v>197839</v>
      </c>
      <c r="F2796" s="96">
        <v>17733</v>
      </c>
      <c r="G2796" s="81">
        <v>46197</v>
      </c>
    </row>
    <row r="2797" spans="1:7" s="80" customFormat="1" x14ac:dyDescent="0.3">
      <c r="A2797" s="80" t="s">
        <v>264</v>
      </c>
      <c r="B2797" s="80" t="s">
        <v>146</v>
      </c>
      <c r="C2797" s="80" t="s">
        <v>2577</v>
      </c>
      <c r="D2797" s="80">
        <v>5533062846</v>
      </c>
      <c r="E2797" s="80">
        <v>198643</v>
      </c>
      <c r="F2797" s="96">
        <v>2990</v>
      </c>
      <c r="G2797" s="81">
        <v>46197</v>
      </c>
    </row>
    <row r="2798" spans="1:7" s="42" customFormat="1" x14ac:dyDescent="0.3">
      <c r="A2798" s="42" t="s">
        <v>2141</v>
      </c>
      <c r="B2798" s="42" t="s">
        <v>146</v>
      </c>
      <c r="C2798" s="42" t="s">
        <v>1873</v>
      </c>
      <c r="D2798" s="42">
        <v>5540177546</v>
      </c>
      <c r="E2798" s="42">
        <v>358994</v>
      </c>
      <c r="F2798" s="86">
        <v>10239</v>
      </c>
      <c r="G2798" s="43">
        <v>46197</v>
      </c>
    </row>
    <row r="2799" spans="1:7" s="42" customFormat="1" x14ac:dyDescent="0.3">
      <c r="A2799" s="42" t="s">
        <v>2141</v>
      </c>
      <c r="B2799" s="42" t="s">
        <v>2558</v>
      </c>
      <c r="C2799" s="42" t="s">
        <v>1873</v>
      </c>
      <c r="D2799" s="42">
        <v>5554353331</v>
      </c>
      <c r="E2799" s="42">
        <v>306794</v>
      </c>
      <c r="F2799" s="86">
        <v>3565</v>
      </c>
      <c r="G2799" s="43">
        <v>46197</v>
      </c>
    </row>
    <row r="2800" spans="1:7" s="42" customFormat="1" x14ac:dyDescent="0.3">
      <c r="A2800" s="42" t="s">
        <v>2141</v>
      </c>
      <c r="B2800" s="42" t="s">
        <v>1822</v>
      </c>
      <c r="C2800" s="42" t="s">
        <v>2114</v>
      </c>
      <c r="D2800" s="42">
        <v>5610944519</v>
      </c>
      <c r="E2800" s="42">
        <v>198527</v>
      </c>
      <c r="F2800" s="86">
        <v>2563</v>
      </c>
      <c r="G2800" s="43">
        <v>46197</v>
      </c>
    </row>
    <row r="2801" spans="1:8" s="42" customFormat="1" x14ac:dyDescent="0.3">
      <c r="A2801" s="42" t="s">
        <v>2141</v>
      </c>
      <c r="B2801" s="42" t="s">
        <v>1523</v>
      </c>
      <c r="C2801" s="42" t="s">
        <v>2119</v>
      </c>
      <c r="D2801" s="42">
        <v>5648838275</v>
      </c>
      <c r="E2801" s="42">
        <v>354651</v>
      </c>
      <c r="F2801" s="86">
        <v>528</v>
      </c>
      <c r="G2801" s="43">
        <v>46197</v>
      </c>
      <c r="H2801" s="42" t="s">
        <v>2551</v>
      </c>
    </row>
    <row r="2802" spans="1:8" s="42" customFormat="1" x14ac:dyDescent="0.3">
      <c r="A2802" s="42" t="s">
        <v>2141</v>
      </c>
      <c r="B2802" s="42" t="s">
        <v>1523</v>
      </c>
      <c r="C2802" s="42" t="s">
        <v>2119</v>
      </c>
      <c r="D2802" s="42">
        <v>5648838275</v>
      </c>
      <c r="E2802" s="42">
        <v>35460</v>
      </c>
      <c r="F2802" s="86">
        <v>633</v>
      </c>
      <c r="G2802" s="43">
        <v>46197</v>
      </c>
      <c r="H2802" s="42" t="s">
        <v>2578</v>
      </c>
    </row>
    <row r="2803" spans="1:8" s="42" customFormat="1" x14ac:dyDescent="0.3">
      <c r="A2803" s="42" t="s">
        <v>2141</v>
      </c>
      <c r="B2803" s="42" t="s">
        <v>1523</v>
      </c>
      <c r="C2803" s="42" t="s">
        <v>2119</v>
      </c>
      <c r="D2803" s="42">
        <v>5648838275</v>
      </c>
      <c r="E2803" s="42">
        <v>198651</v>
      </c>
      <c r="F2803" s="86">
        <v>2999</v>
      </c>
      <c r="G2803" s="43">
        <v>46197</v>
      </c>
    </row>
    <row r="2804" spans="1:8" s="42" customFormat="1" x14ac:dyDescent="0.3">
      <c r="A2804" s="42" t="s">
        <v>2141</v>
      </c>
      <c r="B2804" s="42" t="s">
        <v>2579</v>
      </c>
      <c r="C2804" s="42" t="s">
        <v>2580</v>
      </c>
      <c r="D2804" s="42">
        <v>5562296090</v>
      </c>
      <c r="E2804" s="42">
        <v>198231</v>
      </c>
      <c r="F2804" s="86">
        <v>780</v>
      </c>
      <c r="G2804" s="43">
        <v>46197</v>
      </c>
    </row>
    <row r="2805" spans="1:8" s="42" customFormat="1" x14ac:dyDescent="0.3">
      <c r="A2805" s="42" t="s">
        <v>2141</v>
      </c>
      <c r="B2805" s="42" t="s">
        <v>2581</v>
      </c>
      <c r="C2805" s="42" t="s">
        <v>2582</v>
      </c>
      <c r="D2805" s="42">
        <v>5613536877</v>
      </c>
      <c r="E2805" s="42">
        <v>198594</v>
      </c>
      <c r="F2805" s="86">
        <v>11730</v>
      </c>
      <c r="G2805" s="43">
        <v>46197</v>
      </c>
    </row>
    <row r="2806" spans="1:8" s="42" customFormat="1" x14ac:dyDescent="0.3">
      <c r="A2806" s="42" t="s">
        <v>2141</v>
      </c>
      <c r="B2806" s="42" t="s">
        <v>2583</v>
      </c>
      <c r="C2806" s="42" t="s">
        <v>1860</v>
      </c>
      <c r="D2806" s="42">
        <v>5532476516</v>
      </c>
      <c r="E2806" s="42">
        <v>306954</v>
      </c>
      <c r="F2806" s="86">
        <v>3754</v>
      </c>
      <c r="G2806" s="43">
        <v>46197</v>
      </c>
    </row>
    <row r="2807" spans="1:8" s="42" customFormat="1" x14ac:dyDescent="0.3">
      <c r="A2807" s="42" t="s">
        <v>2141</v>
      </c>
      <c r="B2807" s="42" t="s">
        <v>2524</v>
      </c>
      <c r="C2807" s="42" t="s">
        <v>1955</v>
      </c>
      <c r="D2807" s="42">
        <v>5565519683</v>
      </c>
      <c r="E2807" s="42">
        <v>359319</v>
      </c>
      <c r="F2807" s="86">
        <v>650</v>
      </c>
      <c r="G2807" s="43">
        <v>46197</v>
      </c>
    </row>
    <row r="2808" spans="1:8" s="109" customFormat="1" x14ac:dyDescent="0.3">
      <c r="A2808" s="109" t="s">
        <v>955</v>
      </c>
      <c r="B2808" s="109" t="s">
        <v>2584</v>
      </c>
      <c r="C2808" s="109" t="s">
        <v>2516</v>
      </c>
      <c r="D2808" s="109">
        <v>5568635123</v>
      </c>
      <c r="E2808" s="109">
        <v>198602</v>
      </c>
      <c r="F2808" s="110">
        <v>1240</v>
      </c>
      <c r="G2808" s="111">
        <v>46197</v>
      </c>
    </row>
    <row r="2809" spans="1:8" s="109" customFormat="1" x14ac:dyDescent="0.3">
      <c r="A2809" s="109" t="s">
        <v>955</v>
      </c>
      <c r="B2809" s="109" t="s">
        <v>1978</v>
      </c>
      <c r="C2809" s="109" t="s">
        <v>2444</v>
      </c>
      <c r="D2809" s="109">
        <v>5545758293</v>
      </c>
      <c r="E2809" s="109">
        <v>306732</v>
      </c>
      <c r="F2809" s="110">
        <v>5831</v>
      </c>
      <c r="G2809" s="111">
        <v>46197</v>
      </c>
    </row>
    <row r="2810" spans="1:8" s="109" customFormat="1" x14ac:dyDescent="0.3">
      <c r="A2810" s="109" t="s">
        <v>955</v>
      </c>
      <c r="B2810" s="109" t="s">
        <v>2585</v>
      </c>
      <c r="C2810" s="109" t="s">
        <v>2433</v>
      </c>
      <c r="D2810" s="109">
        <v>5540133386</v>
      </c>
      <c r="E2810" s="109">
        <v>306798</v>
      </c>
      <c r="F2810" s="110">
        <v>6622</v>
      </c>
      <c r="G2810" s="111">
        <v>46197</v>
      </c>
    </row>
    <row r="2811" spans="1:8" s="109" customFormat="1" x14ac:dyDescent="0.3">
      <c r="A2811" s="109" t="s">
        <v>955</v>
      </c>
      <c r="B2811" s="109" t="s">
        <v>1427</v>
      </c>
      <c r="C2811" s="109" t="s">
        <v>28</v>
      </c>
      <c r="D2811" s="109">
        <v>5545146284</v>
      </c>
      <c r="E2811" s="109">
        <v>198315</v>
      </c>
      <c r="F2811" s="110">
        <v>2674</v>
      </c>
      <c r="G2811" s="111">
        <v>46197</v>
      </c>
    </row>
    <row r="2812" spans="1:8" s="109" customFormat="1" x14ac:dyDescent="0.3">
      <c r="A2812" s="109" t="s">
        <v>955</v>
      </c>
      <c r="B2812" s="109" t="s">
        <v>2586</v>
      </c>
      <c r="C2812" s="109" t="s">
        <v>2495</v>
      </c>
      <c r="D2812" s="109">
        <v>5561720546</v>
      </c>
      <c r="E2812" s="109">
        <v>198148</v>
      </c>
      <c r="F2812" s="110">
        <v>3427</v>
      </c>
      <c r="G2812" s="111">
        <v>46197</v>
      </c>
    </row>
    <row r="2813" spans="1:8" s="109" customFormat="1" x14ac:dyDescent="0.3">
      <c r="A2813" s="109" t="s">
        <v>955</v>
      </c>
      <c r="B2813" s="109" t="s">
        <v>2587</v>
      </c>
      <c r="C2813" s="109" t="s">
        <v>2403</v>
      </c>
      <c r="D2813" s="109">
        <v>5557783248</v>
      </c>
      <c r="E2813" s="109">
        <v>359307</v>
      </c>
      <c r="F2813" s="110">
        <v>1630</v>
      </c>
      <c r="G2813" s="111">
        <v>46197</v>
      </c>
    </row>
    <row r="2814" spans="1:8" s="109" customFormat="1" x14ac:dyDescent="0.3">
      <c r="A2814" s="109" t="s">
        <v>955</v>
      </c>
      <c r="B2814" s="109" t="s">
        <v>2138</v>
      </c>
      <c r="C2814" s="109" t="s">
        <v>2588</v>
      </c>
      <c r="D2814" s="109">
        <v>5521264726</v>
      </c>
      <c r="E2814" s="109">
        <v>198639</v>
      </c>
      <c r="F2814" s="110">
        <v>1974</v>
      </c>
      <c r="G2814" s="111">
        <v>46197</v>
      </c>
    </row>
    <row r="2815" spans="1:8" s="109" customFormat="1" x14ac:dyDescent="0.3">
      <c r="A2815" s="109" t="s">
        <v>955</v>
      </c>
      <c r="B2815" s="109" t="s">
        <v>2589</v>
      </c>
      <c r="C2815" s="109" t="s">
        <v>2590</v>
      </c>
      <c r="D2815" s="109">
        <v>5572197163</v>
      </c>
      <c r="E2815" s="109">
        <v>359357</v>
      </c>
      <c r="F2815" s="110">
        <v>3094</v>
      </c>
      <c r="G2815" s="111">
        <v>46197</v>
      </c>
    </row>
    <row r="2816" spans="1:8" s="80" customFormat="1" x14ac:dyDescent="0.3">
      <c r="A2816" s="80" t="s">
        <v>264</v>
      </c>
      <c r="B2816" s="80" t="s">
        <v>2591</v>
      </c>
      <c r="C2816" s="80" t="s">
        <v>285</v>
      </c>
      <c r="D2816" s="80">
        <v>55752956</v>
      </c>
      <c r="E2816" s="80">
        <v>198459</v>
      </c>
      <c r="F2816" s="96">
        <v>9100</v>
      </c>
      <c r="G2816" s="81">
        <v>46197</v>
      </c>
    </row>
    <row r="2817" spans="1:8" s="80" customFormat="1" x14ac:dyDescent="0.3">
      <c r="A2817" s="80" t="s">
        <v>264</v>
      </c>
      <c r="B2817" s="80" t="s">
        <v>179</v>
      </c>
      <c r="C2817" s="80" t="s">
        <v>2592</v>
      </c>
      <c r="D2817" s="80">
        <v>5573435841</v>
      </c>
      <c r="E2817" s="80">
        <v>1765</v>
      </c>
      <c r="F2817" s="96">
        <v>74479</v>
      </c>
      <c r="G2817" s="81">
        <v>46198</v>
      </c>
    </row>
    <row r="2818" spans="1:8" s="80" customFormat="1" x14ac:dyDescent="0.3">
      <c r="A2818" s="80" t="s">
        <v>264</v>
      </c>
      <c r="B2818" s="80" t="s">
        <v>2593</v>
      </c>
      <c r="C2818" s="80" t="s">
        <v>2594</v>
      </c>
      <c r="D2818" s="80">
        <v>5526798693</v>
      </c>
      <c r="E2818" s="80">
        <v>307086</v>
      </c>
      <c r="F2818" s="96">
        <v>43256</v>
      </c>
      <c r="G2818" s="81">
        <v>46198</v>
      </c>
    </row>
    <row r="2819" spans="1:8" s="109" customFormat="1" x14ac:dyDescent="0.3">
      <c r="A2819" s="109" t="s">
        <v>955</v>
      </c>
      <c r="B2819" s="109" t="s">
        <v>680</v>
      </c>
      <c r="C2819" s="109" t="s">
        <v>1863</v>
      </c>
      <c r="D2819" s="109">
        <v>5510594860</v>
      </c>
      <c r="E2819" s="109">
        <v>198740</v>
      </c>
      <c r="F2819" s="110">
        <v>555</v>
      </c>
      <c r="G2819" s="111">
        <v>46198</v>
      </c>
    </row>
    <row r="2820" spans="1:8" s="109" customFormat="1" x14ac:dyDescent="0.3">
      <c r="A2820" s="109" t="s">
        <v>955</v>
      </c>
      <c r="B2820" s="109" t="s">
        <v>2595</v>
      </c>
      <c r="C2820" s="109" t="s">
        <v>2596</v>
      </c>
      <c r="D2820" s="109">
        <v>5511951359</v>
      </c>
      <c r="E2820" s="109">
        <v>198687</v>
      </c>
      <c r="F2820" s="110">
        <v>2390</v>
      </c>
      <c r="G2820" s="111">
        <v>46198</v>
      </c>
    </row>
    <row r="2821" spans="1:8" s="109" customFormat="1" x14ac:dyDescent="0.3">
      <c r="A2821" s="109" t="s">
        <v>955</v>
      </c>
      <c r="B2821" s="109" t="s">
        <v>2595</v>
      </c>
      <c r="C2821" s="109" t="s">
        <v>2596</v>
      </c>
      <c r="D2821" s="109">
        <v>5511951359</v>
      </c>
      <c r="E2821" s="109">
        <v>198688</v>
      </c>
      <c r="F2821" s="110">
        <v>2350</v>
      </c>
      <c r="G2821" s="111">
        <v>46198</v>
      </c>
    </row>
    <row r="2822" spans="1:8" s="109" customFormat="1" x14ac:dyDescent="0.3">
      <c r="A2822" s="109" t="s">
        <v>955</v>
      </c>
      <c r="B2822" s="109" t="s">
        <v>857</v>
      </c>
      <c r="C2822" s="109" t="s">
        <v>478</v>
      </c>
      <c r="D2822" s="109">
        <v>5512491180</v>
      </c>
      <c r="E2822" s="109">
        <v>198675</v>
      </c>
      <c r="F2822" s="110">
        <v>117</v>
      </c>
      <c r="G2822" s="111">
        <v>46198</v>
      </c>
    </row>
    <row r="2823" spans="1:8" s="109" customFormat="1" x14ac:dyDescent="0.3">
      <c r="A2823" s="109" t="s">
        <v>955</v>
      </c>
      <c r="B2823" s="109" t="s">
        <v>2595</v>
      </c>
      <c r="C2823" s="109" t="s">
        <v>2596</v>
      </c>
      <c r="D2823" s="109">
        <v>5511951359</v>
      </c>
      <c r="E2823" s="109">
        <v>198686</v>
      </c>
      <c r="F2823" s="110">
        <v>3900</v>
      </c>
      <c r="G2823" s="111">
        <v>46198</v>
      </c>
    </row>
    <row r="2824" spans="1:8" s="150" customFormat="1" x14ac:dyDescent="0.3">
      <c r="A2824" s="150" t="s">
        <v>890</v>
      </c>
      <c r="B2824" s="150" t="s">
        <v>2597</v>
      </c>
      <c r="C2824" s="150" t="s">
        <v>2341</v>
      </c>
      <c r="D2824" s="150">
        <v>5513985068</v>
      </c>
      <c r="E2824" s="150">
        <v>198391</v>
      </c>
      <c r="F2824" s="151">
        <v>9256</v>
      </c>
      <c r="G2824" s="111">
        <v>46198</v>
      </c>
    </row>
    <row r="2825" spans="1:8" s="150" customFormat="1" x14ac:dyDescent="0.3">
      <c r="A2825" s="150" t="s">
        <v>890</v>
      </c>
      <c r="B2825" s="150" t="s">
        <v>2598</v>
      </c>
      <c r="C2825" s="150" t="s">
        <v>2511</v>
      </c>
      <c r="D2825" s="150">
        <v>5532311152</v>
      </c>
      <c r="E2825" s="150">
        <v>198444</v>
      </c>
      <c r="F2825" s="151">
        <v>3812</v>
      </c>
      <c r="G2825" s="111">
        <v>46198</v>
      </c>
    </row>
    <row r="2826" spans="1:8" s="150" customFormat="1" x14ac:dyDescent="0.3">
      <c r="A2826" s="150" t="s">
        <v>890</v>
      </c>
      <c r="B2826" s="150" t="s">
        <v>685</v>
      </c>
      <c r="C2826" s="150" t="s">
        <v>2569</v>
      </c>
      <c r="D2826" s="150">
        <v>5561730787</v>
      </c>
      <c r="E2826" s="150">
        <v>359232</v>
      </c>
      <c r="F2826" s="151">
        <v>7615</v>
      </c>
      <c r="G2826" s="111">
        <v>46198</v>
      </c>
    </row>
    <row r="2827" spans="1:8" s="150" customFormat="1" x14ac:dyDescent="0.3">
      <c r="A2827" s="150" t="s">
        <v>890</v>
      </c>
      <c r="B2827" s="150" t="s">
        <v>2599</v>
      </c>
      <c r="C2827" s="150" t="s">
        <v>2600</v>
      </c>
      <c r="D2827" s="150">
        <v>5599553754</v>
      </c>
      <c r="E2827" s="150">
        <v>198487</v>
      </c>
      <c r="F2827" s="151">
        <v>487</v>
      </c>
      <c r="G2827" s="111">
        <v>46198</v>
      </c>
    </row>
    <row r="2828" spans="1:8" s="150" customFormat="1" x14ac:dyDescent="0.3">
      <c r="A2828" s="150" t="s">
        <v>890</v>
      </c>
      <c r="B2828" s="150" t="s">
        <v>2599</v>
      </c>
      <c r="C2828" s="150" t="s">
        <v>2600</v>
      </c>
      <c r="D2828" s="150">
        <v>5599553754</v>
      </c>
      <c r="E2828" s="150">
        <v>35425</v>
      </c>
      <c r="F2828" s="151">
        <v>2336</v>
      </c>
      <c r="G2828" s="111">
        <v>46198</v>
      </c>
      <c r="H2828" s="150" t="s">
        <v>2578</v>
      </c>
    </row>
    <row r="2829" spans="1:8" s="150" customFormat="1" x14ac:dyDescent="0.3">
      <c r="A2829" s="150" t="s">
        <v>890</v>
      </c>
      <c r="B2829" s="150" t="s">
        <v>2613</v>
      </c>
      <c r="C2829" s="150" t="s">
        <v>1974</v>
      </c>
      <c r="D2829" s="150">
        <v>5537962165</v>
      </c>
      <c r="E2829" s="150">
        <v>359446</v>
      </c>
      <c r="F2829" s="151">
        <v>3694</v>
      </c>
      <c r="G2829" s="111">
        <v>46198</v>
      </c>
    </row>
    <row r="2830" spans="1:8" s="150" customFormat="1" x14ac:dyDescent="0.3">
      <c r="A2830" s="150" t="s">
        <v>890</v>
      </c>
      <c r="B2830" s="150" t="s">
        <v>1932</v>
      </c>
      <c r="C2830" s="150" t="s">
        <v>2507</v>
      </c>
      <c r="D2830" s="150">
        <v>5621416797</v>
      </c>
      <c r="E2830" s="150">
        <v>198397</v>
      </c>
      <c r="F2830" s="151">
        <v>2035</v>
      </c>
      <c r="G2830" s="111">
        <v>46198</v>
      </c>
    </row>
    <row r="2831" spans="1:8" s="42" customFormat="1" x14ac:dyDescent="0.3">
      <c r="A2831" s="42" t="s">
        <v>2141</v>
      </c>
      <c r="B2831" s="42" t="s">
        <v>2601</v>
      </c>
      <c r="C2831" s="42" t="s">
        <v>2602</v>
      </c>
      <c r="D2831" s="42">
        <v>5525399020</v>
      </c>
      <c r="E2831" s="42">
        <v>559497</v>
      </c>
      <c r="F2831" s="86">
        <v>5200</v>
      </c>
      <c r="G2831" s="111">
        <v>46198</v>
      </c>
    </row>
    <row r="2832" spans="1:8" s="42" customFormat="1" x14ac:dyDescent="0.3">
      <c r="A2832" s="42" t="s">
        <v>2141</v>
      </c>
      <c r="B2832" s="42" t="s">
        <v>2603</v>
      </c>
      <c r="C2832" s="42" t="s">
        <v>2604</v>
      </c>
      <c r="D2832" s="42">
        <v>5535676545</v>
      </c>
      <c r="E2832" s="42">
        <v>307072</v>
      </c>
      <c r="F2832" s="86">
        <v>892</v>
      </c>
      <c r="G2832" s="111">
        <v>46198</v>
      </c>
    </row>
    <row r="2833" spans="1:7" s="42" customFormat="1" x14ac:dyDescent="0.3">
      <c r="A2833" s="42" t="s">
        <v>2141</v>
      </c>
      <c r="B2833" s="42" t="s">
        <v>2605</v>
      </c>
      <c r="C2833" s="42" t="s">
        <v>2387</v>
      </c>
      <c r="D2833" s="42">
        <v>5613706140</v>
      </c>
      <c r="E2833" s="42">
        <v>306634</v>
      </c>
      <c r="F2833" s="86">
        <v>541</v>
      </c>
      <c r="G2833" s="111">
        <v>46198</v>
      </c>
    </row>
    <row r="2834" spans="1:7" s="42" customFormat="1" x14ac:dyDescent="0.3">
      <c r="A2834" s="42" t="s">
        <v>2141</v>
      </c>
      <c r="B2834" s="42" t="s">
        <v>2605</v>
      </c>
      <c r="C2834" s="42" t="s">
        <v>2387</v>
      </c>
      <c r="D2834" s="42">
        <v>5613706140</v>
      </c>
      <c r="E2834" s="42">
        <v>306600</v>
      </c>
      <c r="F2834" s="86">
        <v>2631</v>
      </c>
      <c r="G2834" s="111">
        <v>46198</v>
      </c>
    </row>
    <row r="2835" spans="1:7" s="42" customFormat="1" x14ac:dyDescent="0.3">
      <c r="A2835" s="42" t="s">
        <v>2141</v>
      </c>
      <c r="B2835" s="42" t="s">
        <v>2605</v>
      </c>
      <c r="C2835" s="42" t="s">
        <v>2387</v>
      </c>
      <c r="D2835" s="42">
        <v>5613706140</v>
      </c>
      <c r="E2835" s="42">
        <v>306647</v>
      </c>
      <c r="F2835" s="86">
        <v>5700</v>
      </c>
      <c r="G2835" s="111">
        <v>46198</v>
      </c>
    </row>
    <row r="2836" spans="1:7" s="42" customFormat="1" x14ac:dyDescent="0.3">
      <c r="A2836" s="42" t="s">
        <v>2141</v>
      </c>
      <c r="B2836" s="42" t="s">
        <v>2611</v>
      </c>
      <c r="C2836" s="42" t="s">
        <v>2612</v>
      </c>
      <c r="D2836" s="42">
        <v>5587008612</v>
      </c>
      <c r="E2836" s="42">
        <v>359410</v>
      </c>
      <c r="F2836" s="86">
        <v>883</v>
      </c>
      <c r="G2836" s="111">
        <v>46198</v>
      </c>
    </row>
    <row r="2837" spans="1:7" s="42" customFormat="1" x14ac:dyDescent="0.3">
      <c r="A2837" s="42" t="s">
        <v>2141</v>
      </c>
      <c r="B2837" s="42" t="s">
        <v>1865</v>
      </c>
      <c r="C2837" s="42" t="s">
        <v>2178</v>
      </c>
      <c r="D2837" s="42">
        <v>5536791358</v>
      </c>
      <c r="E2837" s="42">
        <v>306705</v>
      </c>
      <c r="F2837" s="86">
        <v>9725</v>
      </c>
      <c r="G2837" s="111">
        <v>46198</v>
      </c>
    </row>
    <row r="2838" spans="1:7" s="42" customFormat="1" x14ac:dyDescent="0.3">
      <c r="A2838" s="42" t="s">
        <v>2141</v>
      </c>
      <c r="B2838" s="42" t="s">
        <v>146</v>
      </c>
      <c r="C2838" s="42" t="s">
        <v>2606</v>
      </c>
      <c r="D2838" s="42">
        <v>5513511316</v>
      </c>
      <c r="E2838" s="42">
        <v>198524</v>
      </c>
      <c r="F2838" s="86">
        <v>5680</v>
      </c>
      <c r="G2838" s="111">
        <v>46198</v>
      </c>
    </row>
    <row r="2839" spans="1:7" s="42" customFormat="1" x14ac:dyDescent="0.3">
      <c r="A2839" s="42" t="s">
        <v>2141</v>
      </c>
      <c r="B2839" s="42" t="s">
        <v>2607</v>
      </c>
      <c r="C2839" s="42" t="s">
        <v>614</v>
      </c>
      <c r="D2839" s="42">
        <v>5521747838</v>
      </c>
      <c r="E2839" s="42">
        <v>198432</v>
      </c>
      <c r="F2839" s="86">
        <v>3366</v>
      </c>
      <c r="G2839" s="111">
        <v>46198</v>
      </c>
    </row>
    <row r="2840" spans="1:7" s="42" customFormat="1" x14ac:dyDescent="0.3">
      <c r="A2840" s="42" t="s">
        <v>2141</v>
      </c>
      <c r="B2840" s="42" t="s">
        <v>2607</v>
      </c>
      <c r="C2840" s="42" t="s">
        <v>614</v>
      </c>
      <c r="D2840" s="42">
        <v>5521747838</v>
      </c>
      <c r="E2840" s="42">
        <v>194834</v>
      </c>
      <c r="F2840" s="86">
        <v>1020</v>
      </c>
      <c r="G2840" s="111">
        <v>46198</v>
      </c>
    </row>
    <row r="2841" spans="1:7" s="42" customFormat="1" x14ac:dyDescent="0.3">
      <c r="A2841" s="42" t="s">
        <v>2141</v>
      </c>
      <c r="B2841" s="42" t="s">
        <v>2607</v>
      </c>
      <c r="C2841" s="42" t="s">
        <v>614</v>
      </c>
      <c r="D2841" s="42">
        <v>5521747838</v>
      </c>
      <c r="E2841" s="42">
        <v>198440</v>
      </c>
      <c r="F2841" s="86">
        <v>1040</v>
      </c>
      <c r="G2841" s="111">
        <v>46198</v>
      </c>
    </row>
    <row r="2842" spans="1:7" s="42" customFormat="1" x14ac:dyDescent="0.3">
      <c r="A2842" s="42" t="s">
        <v>2141</v>
      </c>
      <c r="B2842" s="42" t="s">
        <v>2608</v>
      </c>
      <c r="C2842" s="42" t="s">
        <v>2614</v>
      </c>
      <c r="D2842" s="42">
        <v>5540020170</v>
      </c>
      <c r="E2842" s="42">
        <v>198382</v>
      </c>
      <c r="F2842" s="86">
        <v>3675</v>
      </c>
      <c r="G2842" s="111">
        <v>46198</v>
      </c>
    </row>
    <row r="2843" spans="1:7" s="42" customFormat="1" x14ac:dyDescent="0.3">
      <c r="A2843" s="42" t="s">
        <v>2141</v>
      </c>
      <c r="B2843" s="42" t="s">
        <v>2609</v>
      </c>
      <c r="C2843" s="42" t="s">
        <v>279</v>
      </c>
      <c r="D2843" s="42">
        <v>5571339143</v>
      </c>
      <c r="E2843" s="42">
        <v>198787</v>
      </c>
      <c r="F2843" s="86">
        <v>6124</v>
      </c>
      <c r="G2843" s="111">
        <v>46198</v>
      </c>
    </row>
    <row r="2844" spans="1:7" s="42" customFormat="1" x14ac:dyDescent="0.3">
      <c r="A2844" s="42" t="s">
        <v>2141</v>
      </c>
      <c r="B2844" s="42" t="s">
        <v>872</v>
      </c>
      <c r="C2844" s="42" t="s">
        <v>259</v>
      </c>
      <c r="D2844" s="42">
        <v>5528872468</v>
      </c>
      <c r="E2844" s="42">
        <v>306988</v>
      </c>
      <c r="F2844" s="86">
        <v>1300</v>
      </c>
      <c r="G2844" s="111">
        <v>46198</v>
      </c>
    </row>
    <row r="2845" spans="1:7" s="42" customFormat="1" x14ac:dyDescent="0.3">
      <c r="A2845" s="42" t="s">
        <v>2141</v>
      </c>
      <c r="B2845" s="42" t="s">
        <v>872</v>
      </c>
      <c r="C2845" s="42" t="s">
        <v>259</v>
      </c>
      <c r="D2845" s="42">
        <v>5528872468</v>
      </c>
      <c r="E2845" s="42">
        <v>306089</v>
      </c>
      <c r="F2845" s="86">
        <v>1641</v>
      </c>
      <c r="G2845" s="111">
        <v>46198</v>
      </c>
    </row>
    <row r="2846" spans="1:7" s="42" customFormat="1" x14ac:dyDescent="0.3">
      <c r="A2846" s="42" t="s">
        <v>2141</v>
      </c>
      <c r="B2846" s="42" t="s">
        <v>2610</v>
      </c>
      <c r="C2846" s="42" t="s">
        <v>1510</v>
      </c>
      <c r="D2846" s="42">
        <v>5574056332</v>
      </c>
      <c r="E2846" s="42">
        <v>359393</v>
      </c>
      <c r="F2846" s="86">
        <v>595</v>
      </c>
      <c r="G2846" s="111">
        <v>46198</v>
      </c>
    </row>
    <row r="2847" spans="1:7" s="42" customFormat="1" x14ac:dyDescent="0.3">
      <c r="A2847" s="42" t="s">
        <v>2141</v>
      </c>
      <c r="B2847" s="42" t="s">
        <v>2615</v>
      </c>
      <c r="C2847" s="42" t="s">
        <v>1947</v>
      </c>
      <c r="D2847" s="42">
        <v>5564001479</v>
      </c>
      <c r="E2847" s="42">
        <v>198436</v>
      </c>
      <c r="F2847" s="86">
        <v>4761</v>
      </c>
      <c r="G2847" s="43">
        <v>46198</v>
      </c>
    </row>
    <row r="2848" spans="1:7" s="42" customFormat="1" x14ac:dyDescent="0.3">
      <c r="A2848" s="42" t="s">
        <v>2141</v>
      </c>
      <c r="B2848" s="42" t="s">
        <v>2032</v>
      </c>
      <c r="C2848" s="42" t="s">
        <v>1947</v>
      </c>
      <c r="D2848" s="42">
        <v>5531994500</v>
      </c>
      <c r="E2848" s="42">
        <v>359144</v>
      </c>
      <c r="F2848" s="86">
        <v>4099</v>
      </c>
      <c r="G2848" s="43">
        <v>46198</v>
      </c>
    </row>
    <row r="2849" spans="1:7" s="42" customFormat="1" x14ac:dyDescent="0.3">
      <c r="A2849" s="42" t="s">
        <v>2141</v>
      </c>
      <c r="B2849" s="42" t="s">
        <v>2032</v>
      </c>
      <c r="C2849" s="42" t="s">
        <v>1947</v>
      </c>
      <c r="D2849" s="42">
        <v>5531994500</v>
      </c>
      <c r="E2849" s="42">
        <v>302751</v>
      </c>
      <c r="F2849" s="86">
        <v>211</v>
      </c>
      <c r="G2849" s="43">
        <v>46198</v>
      </c>
    </row>
    <row r="2850" spans="1:7" s="42" customFormat="1" x14ac:dyDescent="0.3">
      <c r="A2850" s="42" t="s">
        <v>2141</v>
      </c>
      <c r="B2850" s="42" t="s">
        <v>2616</v>
      </c>
      <c r="C2850" s="42" t="s">
        <v>1947</v>
      </c>
      <c r="D2850" s="42">
        <v>5557772823</v>
      </c>
      <c r="E2850" s="42">
        <v>359471</v>
      </c>
      <c r="F2850" s="86">
        <v>2731</v>
      </c>
      <c r="G2850" s="43">
        <v>46198</v>
      </c>
    </row>
    <row r="2851" spans="1:7" s="42" customFormat="1" x14ac:dyDescent="0.3">
      <c r="A2851" s="42" t="s">
        <v>2141</v>
      </c>
      <c r="B2851" s="42" t="s">
        <v>2617</v>
      </c>
      <c r="C2851" s="42" t="s">
        <v>1947</v>
      </c>
      <c r="D2851" s="42">
        <v>5537042471</v>
      </c>
      <c r="E2851" s="42">
        <v>306888</v>
      </c>
      <c r="F2851" s="86">
        <v>686</v>
      </c>
      <c r="G2851" s="43">
        <v>46198</v>
      </c>
    </row>
    <row r="2852" spans="1:7" s="150" customFormat="1" x14ac:dyDescent="0.3">
      <c r="A2852" s="150" t="s">
        <v>17</v>
      </c>
      <c r="B2852" s="150" t="s">
        <v>2618</v>
      </c>
      <c r="C2852" s="150" t="s">
        <v>2316</v>
      </c>
      <c r="D2852" s="150">
        <v>5624496384</v>
      </c>
      <c r="E2852" s="150">
        <v>198858</v>
      </c>
      <c r="F2852" s="151">
        <v>6930</v>
      </c>
      <c r="G2852" s="152">
        <v>46199</v>
      </c>
    </row>
    <row r="2853" spans="1:7" s="150" customFormat="1" x14ac:dyDescent="0.3">
      <c r="A2853" s="150" t="s">
        <v>17</v>
      </c>
      <c r="B2853" s="150" t="s">
        <v>2619</v>
      </c>
      <c r="C2853" s="150" t="s">
        <v>2620</v>
      </c>
      <c r="D2853" s="150">
        <v>5619575403</v>
      </c>
      <c r="E2853" s="150">
        <v>198487</v>
      </c>
      <c r="F2853" s="151">
        <v>481</v>
      </c>
      <c r="G2853" s="152">
        <v>46199</v>
      </c>
    </row>
    <row r="2854" spans="1:7" s="150" customFormat="1" x14ac:dyDescent="0.3">
      <c r="A2854" s="150" t="s">
        <v>17</v>
      </c>
      <c r="B2854" s="150" t="s">
        <v>2621</v>
      </c>
      <c r="C2854" s="150" t="s">
        <v>2622</v>
      </c>
      <c r="D2854" s="150">
        <v>5572111897</v>
      </c>
      <c r="E2854" s="150">
        <v>359387</v>
      </c>
      <c r="F2854" s="151">
        <v>650</v>
      </c>
      <c r="G2854" s="152">
        <v>46199</v>
      </c>
    </row>
    <row r="2855" spans="1:7" s="150" customFormat="1" x14ac:dyDescent="0.3">
      <c r="A2855" s="150" t="s">
        <v>17</v>
      </c>
      <c r="B2855" s="150" t="s">
        <v>2621</v>
      </c>
      <c r="C2855" s="150" t="s">
        <v>2622</v>
      </c>
      <c r="D2855" s="150">
        <v>5572111897</v>
      </c>
      <c r="E2855" s="150">
        <v>198653</v>
      </c>
      <c r="F2855" s="151">
        <v>4342</v>
      </c>
      <c r="G2855" s="152">
        <v>46199</v>
      </c>
    </row>
    <row r="2856" spans="1:7" s="150" customFormat="1" x14ac:dyDescent="0.3">
      <c r="A2856" s="150" t="s">
        <v>17</v>
      </c>
      <c r="B2856" s="150" t="s">
        <v>2623</v>
      </c>
      <c r="C2856" s="150" t="s">
        <v>2624</v>
      </c>
      <c r="D2856" s="150">
        <v>5543712398</v>
      </c>
      <c r="E2856" s="150">
        <v>198557</v>
      </c>
      <c r="F2856" s="151">
        <v>8420</v>
      </c>
      <c r="G2856" s="152">
        <v>46199</v>
      </c>
    </row>
    <row r="2857" spans="1:7" s="150" customFormat="1" x14ac:dyDescent="0.3">
      <c r="A2857" s="150" t="s">
        <v>17</v>
      </c>
      <c r="B2857" s="150" t="s">
        <v>2623</v>
      </c>
      <c r="C2857" s="150" t="s">
        <v>2624</v>
      </c>
      <c r="D2857" s="150">
        <v>5543712398</v>
      </c>
      <c r="E2857" s="150">
        <v>198560</v>
      </c>
      <c r="F2857" s="151">
        <v>450</v>
      </c>
      <c r="G2857" s="152">
        <v>46199</v>
      </c>
    </row>
    <row r="2858" spans="1:7" s="150" customFormat="1" x14ac:dyDescent="0.3">
      <c r="A2858" s="150" t="s">
        <v>17</v>
      </c>
      <c r="B2858" s="150" t="s">
        <v>2625</v>
      </c>
      <c r="C2858" s="150" t="s">
        <v>2172</v>
      </c>
      <c r="D2858" s="150">
        <v>5526754082</v>
      </c>
      <c r="E2858" s="150">
        <v>359554</v>
      </c>
      <c r="F2858" s="151">
        <v>284</v>
      </c>
      <c r="G2858" s="152">
        <v>46199</v>
      </c>
    </row>
    <row r="2859" spans="1:7" s="150" customFormat="1" x14ac:dyDescent="0.3">
      <c r="A2859" s="150" t="s">
        <v>17</v>
      </c>
      <c r="B2859" s="150" t="s">
        <v>121</v>
      </c>
      <c r="C2859" s="150" t="s">
        <v>2274</v>
      </c>
      <c r="D2859" s="150">
        <v>5612852406</v>
      </c>
      <c r="E2859" s="150">
        <v>198428</v>
      </c>
      <c r="F2859" s="151">
        <v>3334</v>
      </c>
      <c r="G2859" s="152">
        <v>46199</v>
      </c>
    </row>
    <row r="2860" spans="1:7" s="109" customFormat="1" x14ac:dyDescent="0.3">
      <c r="A2860" s="109" t="s">
        <v>955</v>
      </c>
      <c r="B2860" s="109" t="s">
        <v>2626</v>
      </c>
      <c r="C2860" s="109" t="s">
        <v>259</v>
      </c>
      <c r="D2860" s="109">
        <v>5540443958</v>
      </c>
      <c r="E2860" s="109">
        <v>307081</v>
      </c>
      <c r="F2860" s="110">
        <v>21575</v>
      </c>
      <c r="G2860" s="111">
        <v>46199</v>
      </c>
    </row>
    <row r="2861" spans="1:7" s="109" customFormat="1" x14ac:dyDescent="0.3">
      <c r="A2861" s="109" t="s">
        <v>955</v>
      </c>
      <c r="B2861" s="109" t="s">
        <v>2627</v>
      </c>
      <c r="C2861" s="109" t="s">
        <v>2628</v>
      </c>
      <c r="D2861" s="109">
        <v>5532311152</v>
      </c>
      <c r="E2861" s="109">
        <v>198444</v>
      </c>
      <c r="F2861" s="110">
        <v>3812</v>
      </c>
      <c r="G2861" s="111">
        <v>46199</v>
      </c>
    </row>
    <row r="2862" spans="1:7" s="109" customFormat="1" x14ac:dyDescent="0.3">
      <c r="A2862" s="109" t="s">
        <v>955</v>
      </c>
      <c r="B2862" s="109" t="s">
        <v>2615</v>
      </c>
      <c r="C2862" s="109" t="s">
        <v>1947</v>
      </c>
      <c r="D2862" s="109">
        <v>5564001479</v>
      </c>
      <c r="E2862" s="109">
        <v>198435</v>
      </c>
      <c r="F2862" s="110">
        <v>9298</v>
      </c>
      <c r="G2862" s="111">
        <v>46199</v>
      </c>
    </row>
    <row r="2863" spans="1:7" s="109" customFormat="1" x14ac:dyDescent="0.3">
      <c r="A2863" s="109" t="s">
        <v>955</v>
      </c>
      <c r="B2863" s="109" t="s">
        <v>2615</v>
      </c>
      <c r="C2863" s="109" t="s">
        <v>1947</v>
      </c>
      <c r="D2863" s="109">
        <v>5564001479</v>
      </c>
      <c r="E2863" s="109">
        <v>198437</v>
      </c>
      <c r="F2863" s="110">
        <v>2956</v>
      </c>
      <c r="G2863" s="111">
        <v>46199</v>
      </c>
    </row>
    <row r="2864" spans="1:7" s="109" customFormat="1" x14ac:dyDescent="0.3">
      <c r="A2864" s="109" t="s">
        <v>955</v>
      </c>
      <c r="B2864" s="109" t="s">
        <v>2629</v>
      </c>
      <c r="C2864" s="109" t="s">
        <v>1947</v>
      </c>
      <c r="D2864" s="109">
        <v>5528522239</v>
      </c>
      <c r="E2864" s="109">
        <v>198586</v>
      </c>
      <c r="F2864" s="110">
        <v>1759</v>
      </c>
      <c r="G2864" s="111">
        <v>46199</v>
      </c>
    </row>
    <row r="2865" spans="1:7" s="109" customFormat="1" x14ac:dyDescent="0.3">
      <c r="A2865" s="109" t="s">
        <v>955</v>
      </c>
      <c r="B2865" s="109" t="s">
        <v>2630</v>
      </c>
      <c r="C2865" s="109" t="s">
        <v>1947</v>
      </c>
      <c r="D2865" s="109">
        <v>5548703446</v>
      </c>
      <c r="E2865" s="109">
        <v>198562</v>
      </c>
      <c r="F2865" s="110">
        <v>3366</v>
      </c>
      <c r="G2865" s="111">
        <v>46199</v>
      </c>
    </row>
    <row r="2866" spans="1:7" s="109" customFormat="1" x14ac:dyDescent="0.3">
      <c r="A2866" s="109" t="s">
        <v>955</v>
      </c>
      <c r="B2866" s="109" t="s">
        <v>2630</v>
      </c>
      <c r="C2866" s="109" t="s">
        <v>1947</v>
      </c>
      <c r="D2866" s="109">
        <v>5548703446</v>
      </c>
      <c r="E2866" s="109">
        <v>198563</v>
      </c>
      <c r="F2866" s="110">
        <v>1950</v>
      </c>
      <c r="G2866" s="111">
        <v>46199</v>
      </c>
    </row>
    <row r="2867" spans="1:7" s="80" customFormat="1" x14ac:dyDescent="0.3">
      <c r="A2867" s="80" t="s">
        <v>264</v>
      </c>
      <c r="B2867" s="80" t="s">
        <v>998</v>
      </c>
      <c r="C2867" s="80" t="s">
        <v>41</v>
      </c>
      <c r="D2867" s="80">
        <v>5518666206</v>
      </c>
      <c r="E2867" s="80">
        <v>358770</v>
      </c>
      <c r="F2867" s="96">
        <v>32634</v>
      </c>
      <c r="G2867" s="81">
        <v>46199</v>
      </c>
    </row>
    <row r="2868" spans="1:7" s="80" customFormat="1" x14ac:dyDescent="0.3">
      <c r="A2868" s="80" t="s">
        <v>264</v>
      </c>
      <c r="B2868" s="80" t="s">
        <v>2181</v>
      </c>
      <c r="C2868" s="80" t="s">
        <v>2191</v>
      </c>
      <c r="D2868" s="80">
        <v>5551905191</v>
      </c>
      <c r="E2868" s="80">
        <v>306730</v>
      </c>
      <c r="F2868" s="96"/>
      <c r="G2868" s="81">
        <v>46199</v>
      </c>
    </row>
    <row r="2869" spans="1:7" s="80" customFormat="1" x14ac:dyDescent="0.3">
      <c r="A2869" s="80" t="s">
        <v>264</v>
      </c>
      <c r="B2869" s="80" t="s">
        <v>1634</v>
      </c>
      <c r="C2869" s="80" t="s">
        <v>2030</v>
      </c>
      <c r="D2869" s="80">
        <v>5521745267</v>
      </c>
      <c r="E2869" s="80">
        <v>198517</v>
      </c>
      <c r="F2869" s="96">
        <v>13108</v>
      </c>
      <c r="G2869" s="81">
        <v>46199</v>
      </c>
    </row>
    <row r="2870" spans="1:7" s="80" customFormat="1" x14ac:dyDescent="0.3">
      <c r="A2870" s="80" t="s">
        <v>264</v>
      </c>
      <c r="B2870" s="80" t="s">
        <v>1937</v>
      </c>
      <c r="C2870" s="80" t="s">
        <v>1938</v>
      </c>
      <c r="D2870" s="80">
        <v>5515369770</v>
      </c>
      <c r="E2870" s="80">
        <v>302752</v>
      </c>
      <c r="F2870" s="96">
        <v>2076</v>
      </c>
      <c r="G2870" s="81">
        <v>46199</v>
      </c>
    </row>
    <row r="2871" spans="1:7" s="150" customFormat="1" x14ac:dyDescent="0.3">
      <c r="A2871" s="150" t="s">
        <v>890</v>
      </c>
      <c r="B2871" s="150" t="s">
        <v>2121</v>
      </c>
      <c r="C2871" s="150" t="s">
        <v>2631</v>
      </c>
      <c r="D2871" s="150">
        <v>5511246208</v>
      </c>
      <c r="E2871" s="150">
        <v>359336</v>
      </c>
      <c r="F2871" s="151">
        <v>3452</v>
      </c>
      <c r="G2871" s="152">
        <v>46199</v>
      </c>
    </row>
    <row r="2872" spans="1:7" s="150" customFormat="1" x14ac:dyDescent="0.3">
      <c r="A2872" s="150" t="s">
        <v>890</v>
      </c>
      <c r="B2872" s="150" t="s">
        <v>2632</v>
      </c>
      <c r="C2872" s="150" t="s">
        <v>1379</v>
      </c>
      <c r="D2872" s="150">
        <v>5612830956</v>
      </c>
      <c r="E2872" s="150">
        <v>306929</v>
      </c>
      <c r="F2872" s="151">
        <v>1020</v>
      </c>
      <c r="G2872" s="152">
        <v>46199</v>
      </c>
    </row>
    <row r="2873" spans="1:7" s="109" customFormat="1" x14ac:dyDescent="0.3">
      <c r="A2873" s="109" t="s">
        <v>955</v>
      </c>
      <c r="B2873" s="109" t="s">
        <v>2633</v>
      </c>
      <c r="C2873" s="109" t="s">
        <v>2634</v>
      </c>
      <c r="D2873" s="109">
        <v>3223271287</v>
      </c>
      <c r="E2873" s="109">
        <v>359586</v>
      </c>
      <c r="F2873" s="110">
        <v>4265</v>
      </c>
      <c r="G2873" s="111">
        <v>46200</v>
      </c>
    </row>
    <row r="2874" spans="1:7" s="109" customFormat="1" x14ac:dyDescent="0.3">
      <c r="A2874" s="109" t="s">
        <v>955</v>
      </c>
      <c r="B2874" s="109" t="s">
        <v>2635</v>
      </c>
      <c r="C2874" s="109" t="s">
        <v>2105</v>
      </c>
      <c r="D2874" s="109">
        <v>4425055168</v>
      </c>
      <c r="E2874" s="109">
        <v>359369</v>
      </c>
      <c r="F2874" s="110">
        <v>1975</v>
      </c>
      <c r="G2874" s="111">
        <v>46200</v>
      </c>
    </row>
    <row r="2875" spans="1:7" s="150" customFormat="1" x14ac:dyDescent="0.3">
      <c r="A2875" s="150" t="s">
        <v>890</v>
      </c>
      <c r="B2875" s="150" t="s">
        <v>184</v>
      </c>
      <c r="C2875" s="150" t="s">
        <v>2622</v>
      </c>
      <c r="D2875" s="150">
        <v>5572111897</v>
      </c>
      <c r="E2875" s="150">
        <v>359386</v>
      </c>
      <c r="F2875" s="151">
        <v>11943</v>
      </c>
      <c r="G2875" s="152">
        <v>46200</v>
      </c>
    </row>
    <row r="2876" spans="1:7" s="150" customFormat="1" x14ac:dyDescent="0.3">
      <c r="A2876" s="150" t="s">
        <v>890</v>
      </c>
      <c r="B2876" s="150" t="s">
        <v>184</v>
      </c>
      <c r="C2876" s="150" t="s">
        <v>2622</v>
      </c>
      <c r="D2876" s="150">
        <v>5572111897</v>
      </c>
      <c r="E2876" s="150">
        <v>359387</v>
      </c>
      <c r="F2876" s="151">
        <v>650</v>
      </c>
      <c r="G2876" s="152">
        <v>46200</v>
      </c>
    </row>
    <row r="2877" spans="1:7" s="150" customFormat="1" x14ac:dyDescent="0.3">
      <c r="A2877" s="150" t="s">
        <v>890</v>
      </c>
      <c r="B2877" s="150" t="s">
        <v>184</v>
      </c>
      <c r="C2877" s="150" t="s">
        <v>2622</v>
      </c>
      <c r="D2877" s="150">
        <v>5572111897</v>
      </c>
      <c r="E2877" s="150">
        <v>198653</v>
      </c>
      <c r="F2877" s="151">
        <v>4342</v>
      </c>
      <c r="G2877" s="152">
        <v>46200</v>
      </c>
    </row>
    <row r="2878" spans="1:7" s="150" customFormat="1" x14ac:dyDescent="0.3">
      <c r="A2878" s="150" t="s">
        <v>890</v>
      </c>
      <c r="B2878" s="150" t="s">
        <v>2636</v>
      </c>
      <c r="C2878" s="150" t="s">
        <v>2084</v>
      </c>
      <c r="D2878" s="150">
        <v>5621030826</v>
      </c>
      <c r="E2878" s="150">
        <v>307156</v>
      </c>
      <c r="F2878" s="151">
        <v>1300</v>
      </c>
      <c r="G2878" s="152">
        <v>46200</v>
      </c>
    </row>
    <row r="2879" spans="1:7" s="150" customFormat="1" x14ac:dyDescent="0.3">
      <c r="A2879" s="150" t="s">
        <v>890</v>
      </c>
      <c r="B2879" s="150" t="s">
        <v>2121</v>
      </c>
      <c r="C2879" s="150" t="s">
        <v>2631</v>
      </c>
      <c r="D2879" s="150">
        <v>5511246208</v>
      </c>
      <c r="E2879" s="150">
        <v>359351</v>
      </c>
      <c r="F2879" s="151">
        <v>3249</v>
      </c>
      <c r="G2879" s="152">
        <v>46200</v>
      </c>
    </row>
    <row r="2880" spans="1:7" s="80" customFormat="1" x14ac:dyDescent="0.3">
      <c r="A2880" s="80" t="s">
        <v>264</v>
      </c>
      <c r="B2880" s="80" t="s">
        <v>651</v>
      </c>
      <c r="C2880" s="80" t="s">
        <v>2637</v>
      </c>
      <c r="D2880" s="80">
        <v>5573399384</v>
      </c>
      <c r="E2880" s="80">
        <v>359601</v>
      </c>
      <c r="F2880" s="96">
        <v>11550</v>
      </c>
      <c r="G2880" s="81">
        <v>46200</v>
      </c>
    </row>
    <row r="2881" spans="1:7" s="80" customFormat="1" x14ac:dyDescent="0.3">
      <c r="A2881" s="80" t="s">
        <v>264</v>
      </c>
      <c r="B2881" s="80" t="s">
        <v>2638</v>
      </c>
      <c r="C2881" s="80" t="s">
        <v>2639</v>
      </c>
      <c r="D2881" s="80">
        <v>5598951073</v>
      </c>
      <c r="E2881" s="80">
        <v>199046</v>
      </c>
      <c r="F2881" s="96">
        <v>2844</v>
      </c>
      <c r="G2881" s="81">
        <v>46200</v>
      </c>
    </row>
    <row r="2882" spans="1:7" s="80" customFormat="1" x14ac:dyDescent="0.3">
      <c r="A2882" s="80" t="s">
        <v>264</v>
      </c>
      <c r="B2882" s="80" t="s">
        <v>2640</v>
      </c>
      <c r="C2882" s="80" t="s">
        <v>614</v>
      </c>
      <c r="D2882" s="80">
        <v>5624251365</v>
      </c>
      <c r="E2882" s="80">
        <v>198625</v>
      </c>
      <c r="F2882" s="96">
        <v>5343</v>
      </c>
      <c r="G2882" s="81">
        <v>46200</v>
      </c>
    </row>
    <row r="2883" spans="1:7" s="80" customFormat="1" x14ac:dyDescent="0.3">
      <c r="A2883" s="80" t="s">
        <v>264</v>
      </c>
      <c r="B2883" s="80" t="s">
        <v>1631</v>
      </c>
      <c r="C2883" s="80" t="s">
        <v>1996</v>
      </c>
      <c r="D2883" s="80">
        <v>5517957453</v>
      </c>
      <c r="E2883" s="80">
        <v>198784</v>
      </c>
      <c r="F2883" s="96">
        <v>1211</v>
      </c>
      <c r="G2883" s="81">
        <v>46200</v>
      </c>
    </row>
    <row r="2884" spans="1:7" s="80" customFormat="1" x14ac:dyDescent="0.3">
      <c r="A2884" s="80" t="s">
        <v>264</v>
      </c>
      <c r="B2884" s="80" t="s">
        <v>2641</v>
      </c>
      <c r="C2884" s="80" t="s">
        <v>2642</v>
      </c>
      <c r="D2884" s="80">
        <v>5516505418</v>
      </c>
      <c r="E2884" s="80">
        <v>359211</v>
      </c>
      <c r="F2884" s="96">
        <v>7565</v>
      </c>
      <c r="G2884" s="81">
        <v>46200</v>
      </c>
    </row>
    <row r="2885" spans="1:7" s="150" customFormat="1" x14ac:dyDescent="0.3">
      <c r="A2885" s="150" t="s">
        <v>890</v>
      </c>
      <c r="B2885" s="150" t="s">
        <v>121</v>
      </c>
      <c r="C2885" s="150" t="s">
        <v>2274</v>
      </c>
      <c r="D2885" s="150">
        <v>5612852406</v>
      </c>
      <c r="E2885" s="150">
        <v>198613</v>
      </c>
      <c r="F2885" s="151">
        <v>3176</v>
      </c>
      <c r="G2885" s="152">
        <v>46202</v>
      </c>
    </row>
    <row r="2886" spans="1:7" s="150" customFormat="1" x14ac:dyDescent="0.3">
      <c r="A2886" s="150" t="s">
        <v>890</v>
      </c>
      <c r="B2886" s="150" t="s">
        <v>1912</v>
      </c>
      <c r="C2886" s="150" t="s">
        <v>2643</v>
      </c>
      <c r="D2886" s="150">
        <v>5579994084</v>
      </c>
      <c r="E2886" s="150">
        <v>306948</v>
      </c>
      <c r="F2886" s="151">
        <v>6458</v>
      </c>
      <c r="G2886" s="152">
        <v>46202</v>
      </c>
    </row>
    <row r="2887" spans="1:7" s="150" customFormat="1" x14ac:dyDescent="0.3">
      <c r="A2887" s="150" t="s">
        <v>890</v>
      </c>
      <c r="B2887" s="150" t="s">
        <v>2645</v>
      </c>
      <c r="C2887" s="150" t="s">
        <v>2644</v>
      </c>
      <c r="D2887" s="150">
        <v>5569191915</v>
      </c>
      <c r="E2887" s="150">
        <v>306995</v>
      </c>
      <c r="F2887" s="151">
        <v>1012</v>
      </c>
      <c r="G2887" s="152">
        <v>46202</v>
      </c>
    </row>
    <row r="2888" spans="1:7" s="150" customFormat="1" x14ac:dyDescent="0.3">
      <c r="A2888" s="150" t="s">
        <v>890</v>
      </c>
      <c r="B2888" s="150" t="s">
        <v>2646</v>
      </c>
      <c r="C2888" s="150" t="s">
        <v>1968</v>
      </c>
      <c r="D2888" s="150">
        <v>5582863806</v>
      </c>
      <c r="E2888" s="150">
        <v>307056</v>
      </c>
      <c r="F2888" s="151">
        <v>13035</v>
      </c>
      <c r="G2888" s="152">
        <v>46202</v>
      </c>
    </row>
    <row r="2889" spans="1:7" s="150" customFormat="1" x14ac:dyDescent="0.3">
      <c r="A2889" s="150" t="s">
        <v>890</v>
      </c>
      <c r="B2889" s="150" t="s">
        <v>2646</v>
      </c>
      <c r="C2889" s="150" t="s">
        <v>1968</v>
      </c>
      <c r="D2889" s="150">
        <v>5582863806</v>
      </c>
      <c r="E2889" s="150">
        <v>307058</v>
      </c>
      <c r="F2889" s="151">
        <v>686</v>
      </c>
      <c r="G2889" s="152">
        <v>46202</v>
      </c>
    </row>
    <row r="2890" spans="1:7" s="80" customFormat="1" x14ac:dyDescent="0.3">
      <c r="A2890" s="80" t="s">
        <v>264</v>
      </c>
      <c r="B2890" s="80" t="s">
        <v>2500</v>
      </c>
      <c r="C2890" s="80" t="s">
        <v>2403</v>
      </c>
      <c r="D2890" s="80">
        <v>5519501593</v>
      </c>
      <c r="E2890" s="80">
        <v>359416</v>
      </c>
      <c r="F2890" s="96">
        <v>2732</v>
      </c>
      <c r="G2890" s="81">
        <v>46202</v>
      </c>
    </row>
    <row r="2891" spans="1:7" s="80" customFormat="1" x14ac:dyDescent="0.3">
      <c r="A2891" s="80" t="s">
        <v>264</v>
      </c>
      <c r="B2891" s="80" t="s">
        <v>2647</v>
      </c>
      <c r="C2891" s="80" t="s">
        <v>2648</v>
      </c>
      <c r="D2891" s="80">
        <v>5532418667</v>
      </c>
      <c r="E2891" s="80">
        <v>199011</v>
      </c>
      <c r="F2891" s="96">
        <v>3144</v>
      </c>
      <c r="G2891" s="81">
        <v>46202</v>
      </c>
    </row>
    <row r="2892" spans="1:7" s="80" customFormat="1" x14ac:dyDescent="0.3">
      <c r="A2892" s="80" t="s">
        <v>264</v>
      </c>
      <c r="B2892" s="80" t="s">
        <v>2652</v>
      </c>
      <c r="C2892" s="80" t="s">
        <v>2649</v>
      </c>
      <c r="D2892" s="80">
        <v>5518376045</v>
      </c>
      <c r="E2892" s="80">
        <v>199124</v>
      </c>
      <c r="F2892" s="96">
        <v>11050</v>
      </c>
      <c r="G2892" s="81">
        <v>46202</v>
      </c>
    </row>
    <row r="2893" spans="1:7" s="80" customFormat="1" x14ac:dyDescent="0.3">
      <c r="A2893" s="80" t="s">
        <v>264</v>
      </c>
      <c r="B2893" s="80" t="s">
        <v>1963</v>
      </c>
      <c r="C2893" s="80" t="s">
        <v>1964</v>
      </c>
      <c r="D2893" s="80">
        <v>5520266060</v>
      </c>
      <c r="E2893" s="80">
        <v>359633</v>
      </c>
      <c r="F2893" s="96">
        <v>7196</v>
      </c>
      <c r="G2893" s="81">
        <v>46202</v>
      </c>
    </row>
    <row r="2894" spans="1:7" s="42" customFormat="1" x14ac:dyDescent="0.3">
      <c r="A2894" s="42" t="s">
        <v>2666</v>
      </c>
      <c r="B2894" s="42" t="s">
        <v>1392</v>
      </c>
      <c r="C2894" s="42" t="s">
        <v>923</v>
      </c>
      <c r="D2894" s="42">
        <v>5540809412</v>
      </c>
      <c r="E2894" s="42">
        <v>304048</v>
      </c>
      <c r="F2894" s="86">
        <v>205849</v>
      </c>
      <c r="G2894" s="43">
        <v>46202</v>
      </c>
    </row>
    <row r="2895" spans="1:7" s="150" customFormat="1" x14ac:dyDescent="0.3">
      <c r="A2895" s="150" t="s">
        <v>17</v>
      </c>
      <c r="B2895" s="150" t="s">
        <v>2651</v>
      </c>
      <c r="C2895" s="150" t="s">
        <v>259</v>
      </c>
      <c r="D2895" s="150">
        <v>5614497268</v>
      </c>
      <c r="E2895" s="150">
        <v>359479</v>
      </c>
      <c r="F2895" s="151">
        <v>6634.24</v>
      </c>
      <c r="G2895" s="152">
        <v>46202</v>
      </c>
    </row>
    <row r="2896" spans="1:7" s="109" customFormat="1" x14ac:dyDescent="0.3">
      <c r="A2896" s="109" t="s">
        <v>955</v>
      </c>
      <c r="B2896" s="109" t="s">
        <v>2665</v>
      </c>
      <c r="C2896" s="109" t="s">
        <v>146</v>
      </c>
      <c r="D2896" s="109" t="s">
        <v>146</v>
      </c>
      <c r="E2896" s="109">
        <v>307055</v>
      </c>
      <c r="F2896" s="110">
        <v>16158</v>
      </c>
      <c r="G2896" s="111">
        <v>46203</v>
      </c>
    </row>
    <row r="2897" spans="1:9" s="109" customFormat="1" x14ac:dyDescent="0.3">
      <c r="A2897" s="109" t="s">
        <v>955</v>
      </c>
      <c r="B2897" s="109" t="s">
        <v>2665</v>
      </c>
      <c r="C2897" s="109" t="s">
        <v>146</v>
      </c>
      <c r="D2897" s="109" t="s">
        <v>146</v>
      </c>
      <c r="E2897" s="109">
        <v>307042</v>
      </c>
      <c r="F2897" s="110">
        <v>5073</v>
      </c>
      <c r="G2897" s="111">
        <v>46203</v>
      </c>
      <c r="H2897" s="109" t="s">
        <v>2112</v>
      </c>
    </row>
    <row r="2898" spans="1:9" s="42" customFormat="1" x14ac:dyDescent="0.3">
      <c r="A2898" s="42" t="s">
        <v>2141</v>
      </c>
      <c r="B2898" s="42" t="s">
        <v>2522</v>
      </c>
      <c r="C2898" s="42" t="s">
        <v>1936</v>
      </c>
      <c r="D2898" s="42">
        <v>5557703397</v>
      </c>
      <c r="E2898" s="42">
        <v>359735</v>
      </c>
      <c r="F2898" s="86">
        <v>2676</v>
      </c>
      <c r="G2898" s="43">
        <v>46203</v>
      </c>
    </row>
    <row r="2899" spans="1:9" s="42" customFormat="1" x14ac:dyDescent="0.3">
      <c r="A2899" s="42" t="s">
        <v>2141</v>
      </c>
      <c r="B2899" s="42" t="s">
        <v>868</v>
      </c>
      <c r="C2899" s="42" t="s">
        <v>1968</v>
      </c>
      <c r="D2899" s="42">
        <v>5520044132</v>
      </c>
      <c r="E2899" s="42">
        <v>359561</v>
      </c>
      <c r="F2899" s="86">
        <v>5427</v>
      </c>
      <c r="G2899" s="43">
        <v>46203</v>
      </c>
    </row>
    <row r="2900" spans="1:9" s="150" customFormat="1" x14ac:dyDescent="0.3">
      <c r="A2900" s="150" t="s">
        <v>890</v>
      </c>
      <c r="B2900" s="150" t="s">
        <v>2653</v>
      </c>
      <c r="C2900" s="150" t="s">
        <v>2654</v>
      </c>
      <c r="D2900" s="150">
        <v>5574641992</v>
      </c>
      <c r="E2900" s="150">
        <v>307346</v>
      </c>
      <c r="F2900" s="151">
        <v>6930</v>
      </c>
      <c r="G2900" s="152">
        <v>46203</v>
      </c>
    </row>
    <row r="2901" spans="1:9" s="150" customFormat="1" x14ac:dyDescent="0.3">
      <c r="A2901" s="150" t="s">
        <v>890</v>
      </c>
      <c r="B2901" s="150" t="s">
        <v>2655</v>
      </c>
      <c r="C2901" s="150" t="s">
        <v>46</v>
      </c>
      <c r="D2901" s="150">
        <v>5551397270</v>
      </c>
      <c r="E2901" s="150">
        <v>307316</v>
      </c>
      <c r="F2901" s="151">
        <v>7800</v>
      </c>
      <c r="G2901" s="152">
        <v>46203</v>
      </c>
    </row>
    <row r="2902" spans="1:9" s="150" customFormat="1" x14ac:dyDescent="0.3">
      <c r="A2902" s="150" t="s">
        <v>890</v>
      </c>
      <c r="B2902" s="150" t="s">
        <v>2655</v>
      </c>
      <c r="C2902" s="150" t="s">
        <v>46</v>
      </c>
      <c r="D2902" s="150">
        <v>5551397270</v>
      </c>
      <c r="E2902" s="150">
        <v>307317</v>
      </c>
      <c r="F2902" s="151">
        <v>7150</v>
      </c>
      <c r="G2902" s="152">
        <v>46203</v>
      </c>
      <c r="I2902" s="150" t="s">
        <v>2650</v>
      </c>
    </row>
    <row r="2903" spans="1:9" s="150" customFormat="1" x14ac:dyDescent="0.3">
      <c r="A2903" s="150" t="s">
        <v>890</v>
      </c>
      <c r="B2903" s="150" t="s">
        <v>522</v>
      </c>
      <c r="C2903" s="150" t="s">
        <v>2656</v>
      </c>
      <c r="D2903" s="150">
        <v>5551578445</v>
      </c>
      <c r="E2903" s="150">
        <v>199187</v>
      </c>
      <c r="F2903" s="151">
        <v>2505</v>
      </c>
      <c r="G2903" s="152">
        <v>46203</v>
      </c>
    </row>
    <row r="2904" spans="1:9" s="150" customFormat="1" x14ac:dyDescent="0.3">
      <c r="A2904" s="150" t="s">
        <v>890</v>
      </c>
      <c r="B2904" s="150" t="s">
        <v>2657</v>
      </c>
      <c r="C2904" s="150" t="s">
        <v>2658</v>
      </c>
      <c r="D2904" s="150">
        <v>5526991950</v>
      </c>
      <c r="E2904" s="150">
        <v>359694</v>
      </c>
      <c r="F2904" s="151">
        <v>1300</v>
      </c>
      <c r="G2904" s="152">
        <v>46203</v>
      </c>
    </row>
    <row r="2905" spans="1:9" s="150" customFormat="1" x14ac:dyDescent="0.3">
      <c r="A2905" s="150" t="s">
        <v>890</v>
      </c>
      <c r="B2905" s="150" t="s">
        <v>685</v>
      </c>
      <c r="C2905" s="150" t="s">
        <v>2119</v>
      </c>
      <c r="D2905" s="150">
        <v>5573743650</v>
      </c>
      <c r="E2905" s="150">
        <v>199213</v>
      </c>
      <c r="F2905" s="151">
        <v>5623</v>
      </c>
      <c r="G2905" s="152">
        <v>46203</v>
      </c>
    </row>
    <row r="2906" spans="1:9" s="150" customFormat="1" x14ac:dyDescent="0.3">
      <c r="A2906" s="150" t="s">
        <v>890</v>
      </c>
      <c r="B2906" s="150" t="s">
        <v>2659</v>
      </c>
      <c r="C2906" s="150" t="s">
        <v>2660</v>
      </c>
      <c r="D2906" s="150">
        <v>5511961619</v>
      </c>
      <c r="E2906" s="150">
        <v>359674</v>
      </c>
      <c r="F2906" s="151">
        <v>14784</v>
      </c>
      <c r="G2906" s="152">
        <v>46203</v>
      </c>
    </row>
    <row r="2907" spans="1:9" s="80" customFormat="1" x14ac:dyDescent="0.3">
      <c r="A2907" s="80" t="s">
        <v>264</v>
      </c>
      <c r="B2907" s="80" t="s">
        <v>2661</v>
      </c>
      <c r="C2907" s="80" t="s">
        <v>285</v>
      </c>
      <c r="D2907" s="80">
        <v>5525106292</v>
      </c>
      <c r="E2907" s="80">
        <v>359652</v>
      </c>
      <c r="F2907" s="96">
        <v>930</v>
      </c>
      <c r="G2907" s="81">
        <v>46203</v>
      </c>
    </row>
    <row r="2908" spans="1:9" s="80" customFormat="1" x14ac:dyDescent="0.3">
      <c r="A2908" s="80" t="s">
        <v>264</v>
      </c>
      <c r="B2908" s="80" t="s">
        <v>2272</v>
      </c>
      <c r="C2908" s="80" t="s">
        <v>2536</v>
      </c>
      <c r="D2908" s="80">
        <v>5575268727</v>
      </c>
      <c r="E2908" s="80">
        <v>199179</v>
      </c>
      <c r="F2908" s="96">
        <v>2875</v>
      </c>
      <c r="G2908" s="81">
        <v>46203</v>
      </c>
    </row>
    <row r="2909" spans="1:9" s="80" customFormat="1" x14ac:dyDescent="0.3">
      <c r="A2909" s="80" t="s">
        <v>264</v>
      </c>
      <c r="B2909" s="80" t="s">
        <v>2662</v>
      </c>
      <c r="C2909" s="80" t="s">
        <v>2663</v>
      </c>
      <c r="D2909" s="80">
        <v>5529662811</v>
      </c>
      <c r="E2909" s="80">
        <v>307332</v>
      </c>
      <c r="F2909" s="96">
        <v>3094</v>
      </c>
      <c r="G2909" s="81">
        <v>46203</v>
      </c>
    </row>
    <row r="2910" spans="1:9" s="80" customFormat="1" x14ac:dyDescent="0.3">
      <c r="A2910" s="80" t="s">
        <v>264</v>
      </c>
      <c r="B2910" s="80" t="s">
        <v>2664</v>
      </c>
      <c r="C2910" s="80" t="s">
        <v>2663</v>
      </c>
      <c r="D2910" s="80">
        <v>5529662811</v>
      </c>
      <c r="E2910" s="80">
        <v>307179</v>
      </c>
      <c r="F2910" s="96">
        <v>4255</v>
      </c>
      <c r="G2910" s="81">
        <v>46203</v>
      </c>
    </row>
    <row r="2911" spans="1:9" s="150" customFormat="1" x14ac:dyDescent="0.3">
      <c r="A2911" s="150" t="s">
        <v>890</v>
      </c>
      <c r="B2911" s="150" t="s">
        <v>2295</v>
      </c>
      <c r="C2911" s="150" t="s">
        <v>2119</v>
      </c>
      <c r="D2911" s="150">
        <v>5570826626</v>
      </c>
      <c r="E2911" s="150">
        <v>307113</v>
      </c>
      <c r="F2911" s="151">
        <v>4255</v>
      </c>
      <c r="G2911" s="152">
        <v>46203</v>
      </c>
    </row>
    <row r="2912" spans="1:9" s="150" customFormat="1" x14ac:dyDescent="0.3">
      <c r="A2912" s="150" t="s">
        <v>890</v>
      </c>
      <c r="B2912" s="150" t="s">
        <v>1205</v>
      </c>
      <c r="C2912" s="150" t="s">
        <v>2667</v>
      </c>
      <c r="D2912" s="150">
        <v>5521063861</v>
      </c>
      <c r="E2912" s="150">
        <v>198970</v>
      </c>
      <c r="F2912" s="151">
        <v>2345</v>
      </c>
      <c r="G2912" s="152">
        <v>46203</v>
      </c>
    </row>
    <row r="2913" spans="1:9" s="42" customFormat="1" x14ac:dyDescent="0.3">
      <c r="A2913" s="42" t="s">
        <v>10</v>
      </c>
      <c r="B2913" s="42" t="s">
        <v>2668</v>
      </c>
      <c r="C2913" s="42" t="s">
        <v>2252</v>
      </c>
      <c r="D2913" s="42">
        <v>5520035550</v>
      </c>
      <c r="E2913" s="42">
        <v>198830</v>
      </c>
      <c r="F2913" s="86">
        <v>5053</v>
      </c>
      <c r="G2913" s="43">
        <v>46203</v>
      </c>
    </row>
    <row r="2914" spans="1:9" s="150" customFormat="1" x14ac:dyDescent="0.3">
      <c r="A2914" s="150" t="s">
        <v>890</v>
      </c>
      <c r="B2914" s="150" t="s">
        <v>2669</v>
      </c>
      <c r="C2914" s="150" t="s">
        <v>2251</v>
      </c>
      <c r="D2914" s="150">
        <v>5591940032</v>
      </c>
      <c r="E2914" s="150">
        <v>307021</v>
      </c>
      <c r="F2914" s="151">
        <v>4994</v>
      </c>
      <c r="G2914" s="152">
        <v>46204</v>
      </c>
    </row>
    <row r="2915" spans="1:9" s="150" customFormat="1" x14ac:dyDescent="0.3">
      <c r="A2915" s="150" t="s">
        <v>890</v>
      </c>
      <c r="B2915" s="150" t="s">
        <v>2670</v>
      </c>
      <c r="C2915" s="150" t="s">
        <v>2671</v>
      </c>
      <c r="D2915" s="150">
        <v>5543876089</v>
      </c>
      <c r="E2915" s="150">
        <v>307425</v>
      </c>
      <c r="F2915" s="151">
        <v>9972</v>
      </c>
      <c r="G2915" s="152">
        <v>46204</v>
      </c>
    </row>
    <row r="2916" spans="1:9" s="150" customFormat="1" x14ac:dyDescent="0.3">
      <c r="A2916" s="150" t="s">
        <v>890</v>
      </c>
      <c r="B2916" s="150" t="s">
        <v>2672</v>
      </c>
      <c r="C2916" s="150" t="s">
        <v>2198</v>
      </c>
      <c r="D2916" s="150">
        <v>5578808418</v>
      </c>
      <c r="E2916" s="150">
        <v>307223</v>
      </c>
      <c r="F2916" s="151">
        <v>1861</v>
      </c>
      <c r="G2916" s="152">
        <v>46204</v>
      </c>
    </row>
    <row r="2917" spans="1:9" s="150" customFormat="1" x14ac:dyDescent="0.3">
      <c r="A2917" s="150" t="s">
        <v>890</v>
      </c>
      <c r="B2917" s="150" t="s">
        <v>2672</v>
      </c>
      <c r="C2917" s="150" t="s">
        <v>2198</v>
      </c>
      <c r="D2917" s="150">
        <v>5578808418</v>
      </c>
      <c r="E2917" s="150">
        <v>307141</v>
      </c>
      <c r="F2917" s="151">
        <v>9786</v>
      </c>
      <c r="G2917" s="152">
        <v>46204</v>
      </c>
      <c r="H2917" s="150" t="s">
        <v>2329</v>
      </c>
      <c r="I2917" s="150">
        <v>4</v>
      </c>
    </row>
    <row r="2918" spans="1:9" s="150" customFormat="1" x14ac:dyDescent="0.3">
      <c r="A2918" s="150" t="s">
        <v>890</v>
      </c>
      <c r="B2918" s="150" t="s">
        <v>2673</v>
      </c>
      <c r="C2918" s="150" t="s">
        <v>1858</v>
      </c>
      <c r="D2918" s="150">
        <v>5543153311</v>
      </c>
      <c r="E2918" s="150">
        <v>199103</v>
      </c>
      <c r="F2918" s="151">
        <v>4247</v>
      </c>
      <c r="G2918" s="152">
        <v>46204</v>
      </c>
    </row>
    <row r="2919" spans="1:9" s="150" customFormat="1" x14ac:dyDescent="0.3">
      <c r="A2919" s="150" t="s">
        <v>890</v>
      </c>
      <c r="B2919" s="150" t="s">
        <v>2674</v>
      </c>
      <c r="C2919" s="150" t="s">
        <v>2320</v>
      </c>
      <c r="D2919" s="150">
        <v>5574641992</v>
      </c>
      <c r="E2919" s="150">
        <v>307346</v>
      </c>
      <c r="F2919" s="151">
        <v>6930</v>
      </c>
      <c r="G2919" s="152">
        <v>46204</v>
      </c>
    </row>
    <row r="2920" spans="1:9" s="109" customFormat="1" x14ac:dyDescent="0.3">
      <c r="A2920" s="109" t="s">
        <v>955</v>
      </c>
      <c r="B2920" s="109" t="s">
        <v>2684</v>
      </c>
      <c r="C2920" s="109" t="s">
        <v>2675</v>
      </c>
      <c r="D2920" s="109">
        <v>5568088534</v>
      </c>
      <c r="E2920" s="109">
        <v>307034</v>
      </c>
      <c r="F2920" s="110">
        <v>19752</v>
      </c>
      <c r="G2920" s="111">
        <v>46204</v>
      </c>
    </row>
    <row r="2921" spans="1:9" s="74" customFormat="1" x14ac:dyDescent="0.3">
      <c r="A2921" s="74" t="s">
        <v>955</v>
      </c>
      <c r="B2921" s="74" t="s">
        <v>2676</v>
      </c>
      <c r="C2921" s="74" t="s">
        <v>1860</v>
      </c>
      <c r="D2921" s="74">
        <v>5531042806</v>
      </c>
      <c r="E2921" s="74">
        <v>359769</v>
      </c>
      <c r="F2921" s="94">
        <v>10620</v>
      </c>
      <c r="G2921" s="75">
        <v>46204</v>
      </c>
      <c r="H2921" s="74" t="s">
        <v>2695</v>
      </c>
    </row>
    <row r="2922" spans="1:9" s="109" customFormat="1" x14ac:dyDescent="0.3">
      <c r="A2922" s="109" t="s">
        <v>955</v>
      </c>
      <c r="B2922" s="109" t="s">
        <v>2677</v>
      </c>
      <c r="C2922" s="109" t="s">
        <v>2678</v>
      </c>
      <c r="D2922" s="109">
        <v>5610995231</v>
      </c>
      <c r="E2922" s="109">
        <v>359645</v>
      </c>
      <c r="F2922" s="110">
        <v>6188</v>
      </c>
      <c r="G2922" s="111">
        <v>46204</v>
      </c>
    </row>
    <row r="2923" spans="1:9" s="109" customFormat="1" x14ac:dyDescent="0.3">
      <c r="A2923" s="109" t="s">
        <v>955</v>
      </c>
      <c r="B2923" s="109" t="s">
        <v>2679</v>
      </c>
      <c r="C2923" s="109" t="s">
        <v>2680</v>
      </c>
      <c r="D2923" s="109">
        <v>5621030826</v>
      </c>
      <c r="E2923" s="109">
        <v>307404</v>
      </c>
      <c r="F2923" s="110">
        <v>1300</v>
      </c>
      <c r="G2923" s="111">
        <v>46204</v>
      </c>
    </row>
    <row r="2924" spans="1:9" s="109" customFormat="1" x14ac:dyDescent="0.3">
      <c r="A2924" s="109" t="s">
        <v>955</v>
      </c>
      <c r="B2924" s="109" t="s">
        <v>2679</v>
      </c>
      <c r="C2924" s="109" t="s">
        <v>2680</v>
      </c>
      <c r="D2924" s="109">
        <v>5621030826</v>
      </c>
      <c r="E2924" s="109">
        <v>307402</v>
      </c>
      <c r="F2924" s="110">
        <v>287</v>
      </c>
      <c r="G2924" s="111">
        <v>46204</v>
      </c>
    </row>
    <row r="2925" spans="1:9" s="80" customFormat="1" x14ac:dyDescent="0.3">
      <c r="A2925" s="80" t="s">
        <v>264</v>
      </c>
      <c r="B2925" s="80" t="s">
        <v>2681</v>
      </c>
      <c r="C2925" s="80" t="s">
        <v>2030</v>
      </c>
      <c r="D2925" s="80">
        <v>5521745267</v>
      </c>
      <c r="E2925" s="80">
        <v>199002</v>
      </c>
      <c r="F2925" s="96">
        <v>7818</v>
      </c>
      <c r="G2925" s="81">
        <v>46204</v>
      </c>
    </row>
    <row r="2926" spans="1:9" s="80" customFormat="1" x14ac:dyDescent="0.3">
      <c r="A2926" s="80" t="s">
        <v>264</v>
      </c>
      <c r="B2926" s="80" t="s">
        <v>2682</v>
      </c>
      <c r="C2926" s="80" t="s">
        <v>1906</v>
      </c>
      <c r="D2926" s="80">
        <v>5560819983</v>
      </c>
      <c r="E2926" s="80">
        <v>35595</v>
      </c>
      <c r="F2926" s="96">
        <v>520</v>
      </c>
      <c r="G2926" s="81">
        <v>46204</v>
      </c>
    </row>
    <row r="2927" spans="1:9" s="80" customFormat="1" x14ac:dyDescent="0.3">
      <c r="A2927" s="80" t="s">
        <v>264</v>
      </c>
      <c r="B2927" s="80" t="s">
        <v>2683</v>
      </c>
      <c r="C2927" s="80" t="s">
        <v>2030</v>
      </c>
      <c r="D2927" s="80">
        <v>5539511994</v>
      </c>
      <c r="E2927" s="80">
        <v>359793</v>
      </c>
      <c r="F2927" s="96">
        <v>3665</v>
      </c>
      <c r="G2927" s="81">
        <v>46204</v>
      </c>
    </row>
    <row r="2928" spans="1:9" s="80" customFormat="1" x14ac:dyDescent="0.3">
      <c r="A2928" s="80" t="s">
        <v>264</v>
      </c>
      <c r="B2928" s="80" t="s">
        <v>2691</v>
      </c>
      <c r="C2928" s="80" t="s">
        <v>1947</v>
      </c>
      <c r="D2928" s="80">
        <v>7208175800</v>
      </c>
      <c r="E2928" s="80">
        <v>359758</v>
      </c>
      <c r="F2928" s="96">
        <v>1044</v>
      </c>
      <c r="G2928" s="81">
        <v>46204</v>
      </c>
    </row>
    <row r="2929" spans="1:8" s="42" customFormat="1" x14ac:dyDescent="0.3">
      <c r="A2929" s="42" t="s">
        <v>2141</v>
      </c>
      <c r="B2929" s="42" t="s">
        <v>2685</v>
      </c>
      <c r="C2929" s="42" t="s">
        <v>2686</v>
      </c>
      <c r="D2929" s="42">
        <v>5538129406</v>
      </c>
      <c r="E2929" s="42">
        <v>197549</v>
      </c>
      <c r="F2929" s="86">
        <v>2694</v>
      </c>
      <c r="G2929" s="43">
        <v>46204</v>
      </c>
    </row>
    <row r="2930" spans="1:8" s="42" customFormat="1" x14ac:dyDescent="0.3">
      <c r="A2930" s="42" t="s">
        <v>2141</v>
      </c>
      <c r="B2930" s="42" t="s">
        <v>2687</v>
      </c>
      <c r="C2930" s="42" t="s">
        <v>2688</v>
      </c>
      <c r="D2930" s="42">
        <v>5530156123</v>
      </c>
      <c r="E2930" s="42">
        <v>198748</v>
      </c>
      <c r="F2930" s="86">
        <v>11099</v>
      </c>
      <c r="G2930" s="43">
        <v>46204</v>
      </c>
    </row>
    <row r="2931" spans="1:8" s="42" customFormat="1" x14ac:dyDescent="0.3">
      <c r="A2931" s="42" t="s">
        <v>2141</v>
      </c>
      <c r="B2931" s="42" t="s">
        <v>2689</v>
      </c>
      <c r="C2931" s="42" t="s">
        <v>2690</v>
      </c>
      <c r="D2931" s="42">
        <v>5538827672</v>
      </c>
      <c r="E2931" s="42">
        <v>199157</v>
      </c>
      <c r="F2931" s="86">
        <v>2047</v>
      </c>
      <c r="G2931" s="43">
        <v>46204</v>
      </c>
    </row>
    <row r="2932" spans="1:8" s="42" customFormat="1" x14ac:dyDescent="0.3">
      <c r="A2932" s="42" t="s">
        <v>2141</v>
      </c>
      <c r="B2932" s="42" t="s">
        <v>2689</v>
      </c>
      <c r="C2932" s="42" t="s">
        <v>2690</v>
      </c>
      <c r="D2932" s="42">
        <v>5538827672</v>
      </c>
      <c r="E2932" s="42">
        <v>359659</v>
      </c>
      <c r="F2932" s="86">
        <v>2347</v>
      </c>
      <c r="G2932" s="43">
        <v>46204</v>
      </c>
      <c r="H2932" s="42" t="s">
        <v>1861</v>
      </c>
    </row>
    <row r="2933" spans="1:8" s="80" customFormat="1" x14ac:dyDescent="0.3">
      <c r="A2933" s="80" t="s">
        <v>264</v>
      </c>
      <c r="B2933" s="80" t="s">
        <v>2692</v>
      </c>
      <c r="C2933" s="80" t="s">
        <v>2693</v>
      </c>
      <c r="D2933" s="80">
        <v>5539505043</v>
      </c>
      <c r="E2933" s="80">
        <v>198890</v>
      </c>
      <c r="F2933" s="96">
        <v>4501</v>
      </c>
      <c r="G2933" s="81">
        <v>46204</v>
      </c>
    </row>
    <row r="2934" spans="1:8" s="80" customFormat="1" x14ac:dyDescent="0.3">
      <c r="A2934" s="80" t="s">
        <v>264</v>
      </c>
      <c r="B2934" s="80" t="s">
        <v>2692</v>
      </c>
      <c r="C2934" s="80" t="s">
        <v>2693</v>
      </c>
      <c r="D2934" s="80">
        <v>5539505043</v>
      </c>
      <c r="E2934" s="80">
        <v>198891</v>
      </c>
      <c r="F2934" s="96">
        <v>773</v>
      </c>
      <c r="G2934" s="81">
        <v>46204</v>
      </c>
    </row>
    <row r="2935" spans="1:8" s="80" customFormat="1" x14ac:dyDescent="0.3">
      <c r="A2935" s="80" t="s">
        <v>264</v>
      </c>
      <c r="B2935" s="80" t="s">
        <v>2692</v>
      </c>
      <c r="C2935" s="80" t="s">
        <v>2693</v>
      </c>
      <c r="D2935" s="80">
        <v>5539505043</v>
      </c>
      <c r="E2935" s="80">
        <v>198889</v>
      </c>
      <c r="F2935" s="96">
        <v>6030</v>
      </c>
      <c r="G2935" s="81">
        <v>46204</v>
      </c>
    </row>
    <row r="2936" spans="1:8" s="150" customFormat="1" x14ac:dyDescent="0.3">
      <c r="A2936" s="150" t="s">
        <v>890</v>
      </c>
      <c r="B2936" s="150" t="s">
        <v>2694</v>
      </c>
      <c r="C2936" s="150" t="s">
        <v>2114</v>
      </c>
      <c r="D2936" s="150">
        <v>5514516659</v>
      </c>
      <c r="E2936" s="150">
        <v>198975</v>
      </c>
      <c r="F2936" s="151">
        <v>4312</v>
      </c>
      <c r="G2936" s="152">
        <v>46204</v>
      </c>
    </row>
    <row r="2937" spans="1:8" s="150" customFormat="1" x14ac:dyDescent="0.3">
      <c r="A2937" s="150" t="s">
        <v>890</v>
      </c>
      <c r="B2937" s="150" t="s">
        <v>2694</v>
      </c>
      <c r="C2937" s="150" t="s">
        <v>2114</v>
      </c>
      <c r="D2937" s="150">
        <v>5514516659</v>
      </c>
      <c r="E2937" s="150">
        <v>198976</v>
      </c>
      <c r="F2937" s="151">
        <v>462</v>
      </c>
      <c r="G2937" s="152">
        <v>46204</v>
      </c>
    </row>
    <row r="2938" spans="1:8" s="42" customFormat="1" x14ac:dyDescent="0.3">
      <c r="A2938" s="42" t="s">
        <v>10</v>
      </c>
      <c r="B2938" s="42" t="s">
        <v>2696</v>
      </c>
      <c r="C2938" s="42" t="s">
        <v>2394</v>
      </c>
      <c r="D2938" s="42">
        <v>5535173661</v>
      </c>
      <c r="E2938" s="42">
        <v>199068</v>
      </c>
      <c r="F2938" s="86">
        <v>13905</v>
      </c>
      <c r="G2938" s="43">
        <v>46205</v>
      </c>
    </row>
    <row r="2939" spans="1:8" s="42" customFormat="1" x14ac:dyDescent="0.3">
      <c r="A2939" s="42" t="s">
        <v>10</v>
      </c>
      <c r="B2939" s="42" t="s">
        <v>2697</v>
      </c>
      <c r="C2939" s="42" t="s">
        <v>2306</v>
      </c>
      <c r="D2939" s="42">
        <v>5523351022</v>
      </c>
      <c r="E2939" s="42">
        <v>307447</v>
      </c>
      <c r="F2939" s="86">
        <v>3284</v>
      </c>
      <c r="G2939" s="43">
        <v>46205</v>
      </c>
    </row>
    <row r="2940" spans="1:8" s="42" customFormat="1" x14ac:dyDescent="0.3">
      <c r="A2940" s="42" t="s">
        <v>10</v>
      </c>
      <c r="B2940" s="42" t="s">
        <v>2635</v>
      </c>
      <c r="C2940" s="42" t="s">
        <v>41</v>
      </c>
      <c r="D2940" s="42">
        <v>4425055168</v>
      </c>
      <c r="E2940" s="42">
        <v>199216</v>
      </c>
      <c r="F2940" s="86">
        <v>1358</v>
      </c>
      <c r="G2940" s="43">
        <v>46205</v>
      </c>
    </row>
    <row r="2941" spans="1:8" s="150" customFormat="1" x14ac:dyDescent="0.3">
      <c r="A2941" s="150" t="s">
        <v>890</v>
      </c>
      <c r="B2941" s="150" t="s">
        <v>2698</v>
      </c>
      <c r="C2941" s="150" t="s">
        <v>1692</v>
      </c>
      <c r="D2941" s="150">
        <v>5621179158</v>
      </c>
      <c r="E2941" s="150">
        <v>199539</v>
      </c>
      <c r="F2941" s="151">
        <v>20421</v>
      </c>
      <c r="G2941" s="152">
        <v>46205</v>
      </c>
    </row>
    <row r="2942" spans="1:8" s="150" customFormat="1" x14ac:dyDescent="0.3">
      <c r="A2942" s="150" t="s">
        <v>890</v>
      </c>
      <c r="B2942" s="150" t="s">
        <v>459</v>
      </c>
      <c r="C2942" s="150" t="s">
        <v>259</v>
      </c>
      <c r="D2942" s="150">
        <v>5542058607</v>
      </c>
      <c r="E2942" s="150">
        <v>307525</v>
      </c>
      <c r="F2942" s="151">
        <v>4317</v>
      </c>
      <c r="G2942" s="152">
        <v>46205</v>
      </c>
    </row>
    <row r="2943" spans="1:8" s="150" customFormat="1" x14ac:dyDescent="0.3">
      <c r="A2943" s="150" t="s">
        <v>890</v>
      </c>
      <c r="B2943" s="150" t="s">
        <v>685</v>
      </c>
      <c r="C2943" s="150" t="s">
        <v>2119</v>
      </c>
      <c r="D2943" s="150">
        <v>5573743760</v>
      </c>
      <c r="E2943" s="150">
        <v>199213</v>
      </c>
      <c r="F2943" s="151">
        <v>5623</v>
      </c>
      <c r="G2943" s="152">
        <v>46205</v>
      </c>
    </row>
    <row r="2944" spans="1:8" s="150" customFormat="1" x14ac:dyDescent="0.3">
      <c r="A2944" s="150" t="s">
        <v>890</v>
      </c>
      <c r="B2944" s="150" t="s">
        <v>2704</v>
      </c>
      <c r="C2944" s="150" t="s">
        <v>1708</v>
      </c>
      <c r="D2944" s="150">
        <v>5539998373</v>
      </c>
      <c r="E2944" s="150">
        <v>188959</v>
      </c>
      <c r="F2944" s="151">
        <v>3383</v>
      </c>
      <c r="G2944" s="152">
        <v>46205</v>
      </c>
    </row>
    <row r="2945" spans="1:10" s="109" customFormat="1" x14ac:dyDescent="0.3">
      <c r="A2945" s="109" t="s">
        <v>955</v>
      </c>
      <c r="B2945" s="109" t="s">
        <v>1822</v>
      </c>
      <c r="C2945" s="109" t="s">
        <v>2114</v>
      </c>
      <c r="D2945" s="109">
        <v>5610944519</v>
      </c>
      <c r="E2945" s="109">
        <v>359509</v>
      </c>
      <c r="F2945" s="110">
        <v>3202</v>
      </c>
      <c r="G2945" s="111">
        <v>46205</v>
      </c>
    </row>
    <row r="2946" spans="1:10" s="109" customFormat="1" x14ac:dyDescent="0.3">
      <c r="A2946" s="109" t="s">
        <v>955</v>
      </c>
      <c r="B2946" s="109" t="s">
        <v>1822</v>
      </c>
      <c r="C2946" s="109" t="s">
        <v>2114</v>
      </c>
      <c r="D2946" s="109">
        <v>5610944519</v>
      </c>
      <c r="E2946" s="109">
        <v>199121</v>
      </c>
      <c r="F2946" s="110">
        <v>4478</v>
      </c>
      <c r="G2946" s="111">
        <v>46205</v>
      </c>
    </row>
    <row r="2947" spans="1:10" s="109" customFormat="1" x14ac:dyDescent="0.3">
      <c r="A2947" s="109" t="s">
        <v>955</v>
      </c>
      <c r="B2947" s="109" t="s">
        <v>331</v>
      </c>
      <c r="C2947" s="109" t="s">
        <v>2678</v>
      </c>
      <c r="D2947" s="109">
        <v>5611660106</v>
      </c>
      <c r="E2947" s="109">
        <v>199151</v>
      </c>
      <c r="F2947" s="110">
        <v>8161</v>
      </c>
      <c r="G2947" s="111">
        <v>46205</v>
      </c>
    </row>
    <row r="2948" spans="1:10" s="109" customFormat="1" x14ac:dyDescent="0.3">
      <c r="A2948" s="109" t="s">
        <v>955</v>
      </c>
      <c r="B2948" s="109" t="s">
        <v>2676</v>
      </c>
      <c r="C2948" s="109" t="s">
        <v>1860</v>
      </c>
      <c r="D2948" s="109">
        <v>5531042806</v>
      </c>
      <c r="E2948" s="109">
        <v>359780</v>
      </c>
      <c r="F2948" s="110">
        <v>1238</v>
      </c>
      <c r="G2948" s="111">
        <v>46205</v>
      </c>
      <c r="H2948" s="109" t="s">
        <v>2695</v>
      </c>
    </row>
    <row r="2949" spans="1:10" s="80" customFormat="1" x14ac:dyDescent="0.3">
      <c r="A2949" s="80" t="s">
        <v>264</v>
      </c>
      <c r="B2949" s="80" t="s">
        <v>2699</v>
      </c>
      <c r="C2949" s="80" t="s">
        <v>1948</v>
      </c>
      <c r="D2949" s="80">
        <v>5624162364</v>
      </c>
      <c r="E2949" s="80">
        <v>359816</v>
      </c>
      <c r="F2949" s="96">
        <v>2347</v>
      </c>
      <c r="G2949" s="81">
        <v>46205</v>
      </c>
    </row>
    <row r="2950" spans="1:10" s="80" customFormat="1" x14ac:dyDescent="0.3">
      <c r="A2950" s="80" t="s">
        <v>264</v>
      </c>
      <c r="B2950" s="80" t="s">
        <v>2700</v>
      </c>
      <c r="C2950" s="80" t="s">
        <v>1948</v>
      </c>
      <c r="D2950" s="80">
        <v>5511244619</v>
      </c>
      <c r="E2950" s="80">
        <v>199371</v>
      </c>
      <c r="F2950" s="96">
        <v>562</v>
      </c>
      <c r="G2950" s="81">
        <v>46205</v>
      </c>
    </row>
    <row r="2951" spans="1:10" s="80" customFormat="1" x14ac:dyDescent="0.3">
      <c r="A2951" s="80" t="s">
        <v>264</v>
      </c>
      <c r="B2951" s="80" t="s">
        <v>2701</v>
      </c>
      <c r="C2951" s="80" t="s">
        <v>2286</v>
      </c>
      <c r="D2951" s="80">
        <v>5518599368</v>
      </c>
      <c r="E2951" s="80">
        <v>307454</v>
      </c>
      <c r="F2951" s="96">
        <v>4365</v>
      </c>
      <c r="G2951" s="81">
        <v>46205</v>
      </c>
    </row>
    <row r="2952" spans="1:10" s="80" customFormat="1" x14ac:dyDescent="0.3">
      <c r="A2952" s="80" t="s">
        <v>264</v>
      </c>
      <c r="B2952" s="80" t="s">
        <v>2702</v>
      </c>
      <c r="C2952" s="80" t="s">
        <v>2703</v>
      </c>
      <c r="D2952" s="80">
        <v>5573263874</v>
      </c>
      <c r="E2952" s="80">
        <v>307110</v>
      </c>
      <c r="F2952" s="96">
        <v>7849</v>
      </c>
      <c r="G2952" s="81">
        <v>46205</v>
      </c>
    </row>
    <row r="2953" spans="1:10" s="150" customFormat="1" x14ac:dyDescent="0.3">
      <c r="A2953" s="150" t="s">
        <v>2333</v>
      </c>
      <c r="B2953" s="150" t="s">
        <v>1392</v>
      </c>
      <c r="C2953" s="150" t="s">
        <v>923</v>
      </c>
      <c r="D2953" s="150">
        <v>5540809412</v>
      </c>
      <c r="E2953" s="150">
        <v>304048</v>
      </c>
      <c r="F2953" s="151">
        <v>205849</v>
      </c>
      <c r="G2953" s="152">
        <v>46206</v>
      </c>
      <c r="H2953" s="157" t="s">
        <v>2705</v>
      </c>
      <c r="I2953" s="157"/>
      <c r="J2953" s="157"/>
    </row>
    <row r="2954" spans="1:10" s="150" customFormat="1" x14ac:dyDescent="0.3">
      <c r="A2954" s="150" t="s">
        <v>2333</v>
      </c>
      <c r="B2954" s="150" t="s">
        <v>1392</v>
      </c>
      <c r="C2954" s="150" t="s">
        <v>923</v>
      </c>
      <c r="D2954" s="150">
        <v>5540809412</v>
      </c>
      <c r="E2954" s="150">
        <v>302826</v>
      </c>
      <c r="F2954" s="151">
        <v>119126</v>
      </c>
      <c r="G2954" s="152">
        <v>46206</v>
      </c>
      <c r="H2954" s="157" t="s">
        <v>2713</v>
      </c>
      <c r="I2954" s="157"/>
      <c r="J2954" s="157"/>
    </row>
    <row r="2955" spans="1:10" s="150" customFormat="1" x14ac:dyDescent="0.3">
      <c r="A2955" s="150" t="s">
        <v>2333</v>
      </c>
      <c r="B2955" s="150" t="s">
        <v>1392</v>
      </c>
      <c r="C2955" s="150" t="s">
        <v>923</v>
      </c>
      <c r="D2955" s="150">
        <v>5540809412</v>
      </c>
      <c r="E2955" s="150">
        <v>306591</v>
      </c>
      <c r="F2955" s="151">
        <v>250319</v>
      </c>
      <c r="G2955" s="152">
        <v>46206</v>
      </c>
      <c r="H2955" s="157" t="s">
        <v>2706</v>
      </c>
      <c r="I2955" s="157"/>
      <c r="J2955" s="157"/>
    </row>
    <row r="2956" spans="1:10" s="42" customFormat="1" x14ac:dyDescent="0.3">
      <c r="A2956" s="42" t="s">
        <v>10</v>
      </c>
      <c r="B2956" s="42" t="s">
        <v>2085</v>
      </c>
      <c r="C2956" s="42" t="s">
        <v>2086</v>
      </c>
      <c r="D2956" s="42">
        <v>5532772035</v>
      </c>
      <c r="E2956" s="42">
        <v>307155</v>
      </c>
      <c r="F2956" s="86">
        <v>9940</v>
      </c>
      <c r="G2956" s="43">
        <v>46206</v>
      </c>
    </row>
    <row r="2957" spans="1:10" s="42" customFormat="1" x14ac:dyDescent="0.3">
      <c r="A2957" s="42" t="s">
        <v>10</v>
      </c>
      <c r="B2957" s="42" t="s">
        <v>2707</v>
      </c>
      <c r="C2957" s="42" t="s">
        <v>2101</v>
      </c>
      <c r="D2957" s="42">
        <v>5524969739</v>
      </c>
      <c r="E2957" s="42">
        <v>199197</v>
      </c>
      <c r="F2957" s="86">
        <v>2780</v>
      </c>
      <c r="G2957" s="43">
        <v>46206</v>
      </c>
    </row>
    <row r="2958" spans="1:10" s="42" customFormat="1" x14ac:dyDescent="0.3">
      <c r="A2958" s="42" t="s">
        <v>10</v>
      </c>
      <c r="B2958" s="42" t="s">
        <v>2708</v>
      </c>
      <c r="C2958" s="42" t="s">
        <v>46</v>
      </c>
      <c r="D2958" s="42">
        <v>5515401162</v>
      </c>
      <c r="E2958" s="42">
        <v>359670</v>
      </c>
      <c r="F2958" s="86">
        <v>5520</v>
      </c>
      <c r="G2958" s="43">
        <v>46206</v>
      </c>
    </row>
    <row r="2959" spans="1:10" s="80" customFormat="1" x14ac:dyDescent="0.3">
      <c r="A2959" s="80" t="s">
        <v>11</v>
      </c>
      <c r="B2959" s="80" t="s">
        <v>2181</v>
      </c>
      <c r="C2959" s="80" t="s">
        <v>2191</v>
      </c>
      <c r="D2959" s="80">
        <v>5551905191</v>
      </c>
      <c r="E2959" s="80">
        <v>307002</v>
      </c>
      <c r="F2959" s="156">
        <v>13020</v>
      </c>
      <c r="G2959" s="81">
        <v>46206</v>
      </c>
    </row>
    <row r="2960" spans="1:10" s="80" customFormat="1" x14ac:dyDescent="0.3">
      <c r="A2960" s="80" t="s">
        <v>11</v>
      </c>
      <c r="B2960" s="80" t="s">
        <v>2181</v>
      </c>
      <c r="C2960" s="80" t="s">
        <v>2191</v>
      </c>
      <c r="D2960" s="80">
        <v>5551905191</v>
      </c>
      <c r="E2960" s="80">
        <v>307000</v>
      </c>
      <c r="F2960" s="96">
        <v>5453</v>
      </c>
      <c r="G2960" s="81">
        <v>46206</v>
      </c>
    </row>
    <row r="2961" spans="1:7" s="80" customFormat="1" x14ac:dyDescent="0.3">
      <c r="A2961" s="80" t="s">
        <v>11</v>
      </c>
      <c r="B2961" s="80" t="s">
        <v>2181</v>
      </c>
      <c r="C2961" s="80" t="s">
        <v>2191</v>
      </c>
      <c r="D2961" s="80">
        <v>5551905191</v>
      </c>
      <c r="E2961" s="80">
        <v>307112</v>
      </c>
      <c r="F2961" s="96">
        <v>19941</v>
      </c>
      <c r="G2961" s="81">
        <v>46206</v>
      </c>
    </row>
    <row r="2962" spans="1:7" s="80" customFormat="1" x14ac:dyDescent="0.3">
      <c r="A2962" s="80" t="s">
        <v>11</v>
      </c>
      <c r="B2962" s="80" t="s">
        <v>2709</v>
      </c>
      <c r="C2962" s="80" t="s">
        <v>1953</v>
      </c>
      <c r="D2962" s="80">
        <v>5582860407</v>
      </c>
      <c r="E2962" s="80">
        <v>307246</v>
      </c>
      <c r="F2962" s="96">
        <v>3148</v>
      </c>
      <c r="G2962" s="81">
        <v>46206</v>
      </c>
    </row>
    <row r="2963" spans="1:7" s="80" customFormat="1" x14ac:dyDescent="0.3">
      <c r="A2963" s="80" t="s">
        <v>11</v>
      </c>
      <c r="B2963" s="80" t="s">
        <v>22</v>
      </c>
      <c r="C2963" s="80" t="s">
        <v>2710</v>
      </c>
      <c r="D2963" s="80">
        <v>5572124980</v>
      </c>
      <c r="E2963" s="80">
        <v>359641</v>
      </c>
      <c r="F2963" s="96">
        <v>16403</v>
      </c>
      <c r="G2963" s="81">
        <v>46206</v>
      </c>
    </row>
    <row r="2964" spans="1:7" s="80" customFormat="1" x14ac:dyDescent="0.3">
      <c r="A2964" s="80" t="s">
        <v>11</v>
      </c>
      <c r="B2964" s="80" t="s">
        <v>2711</v>
      </c>
      <c r="C2964" s="80" t="s">
        <v>2712</v>
      </c>
      <c r="D2964" s="80">
        <v>5518298664</v>
      </c>
      <c r="E2964" s="80">
        <v>199250</v>
      </c>
      <c r="F2964" s="96">
        <v>5558</v>
      </c>
      <c r="G2964" s="81">
        <v>46206</v>
      </c>
    </row>
  </sheetData>
  <autoFilter ref="A1:G2654" xr:uid="{498986F1-FCE3-4464-B55E-173F70740CE4}">
    <filterColumn colId="1">
      <filters>
        <filter val="ERNESTO ABUNDIS"/>
        <filter val="ERNESTO ARREOLA"/>
        <filter val="ERNESTO FLORES"/>
        <filter val="ERNESTO GARCIA"/>
        <filter val="ERNESTO MARTINEZ"/>
        <filter val="ERNESTO MARTINEZ FLORES"/>
        <filter val="ERNESTO MENDEZ"/>
        <filter val="ERNESTO MENDEZ FLORES"/>
        <filter val="ERNESTO PONCE ARREOLA"/>
        <filter val="ERNESTO SANTIAGO"/>
        <filter val="ERNESTO VELARDE"/>
      </filters>
    </filterColumn>
    <sortState xmlns:xlrd2="http://schemas.microsoft.com/office/spreadsheetml/2017/richdata2" ref="A270:G2607">
      <sortCondition descending="1" ref="B1:B2654"/>
    </sortState>
  </autoFilter>
  <mergeCells count="3">
    <mergeCell ref="H2953:J2953"/>
    <mergeCell ref="H2954:J2954"/>
    <mergeCell ref="H2955:J2955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A6BD7-DAE5-4CDD-9E51-BAD742BCC071}">
  <sheetPr codeName="Hoja4"/>
  <dimension ref="A1:I381"/>
  <sheetViews>
    <sheetView zoomScale="80" zoomScaleNormal="80" workbookViewId="0">
      <selection activeCell="B5" sqref="B5"/>
    </sheetView>
  </sheetViews>
  <sheetFormatPr baseColWidth="10" defaultRowHeight="15" x14ac:dyDescent="0.25"/>
  <cols>
    <col min="1" max="1" width="23.140625" customWidth="1"/>
    <col min="2" max="2" width="45.7109375" customWidth="1"/>
    <col min="3" max="3" width="40" customWidth="1"/>
    <col min="4" max="4" width="19" customWidth="1"/>
    <col min="5" max="5" width="22.42578125" customWidth="1"/>
    <col min="6" max="6" width="19.28515625" customWidth="1"/>
    <col min="7" max="7" width="23.42578125" customWidth="1"/>
    <col min="8" max="8" width="21.5703125" customWidth="1"/>
  </cols>
  <sheetData>
    <row r="1" spans="1:9" ht="24" customHeight="1" x14ac:dyDescent="0.25">
      <c r="A1" s="160"/>
      <c r="B1" s="160"/>
      <c r="C1" s="161" t="s">
        <v>760</v>
      </c>
      <c r="D1" s="161"/>
      <c r="E1" s="161"/>
      <c r="F1" s="161"/>
      <c r="G1" s="161"/>
      <c r="H1" s="161"/>
      <c r="I1" s="161"/>
    </row>
    <row r="2" spans="1:9" ht="24" customHeight="1" x14ac:dyDescent="0.25">
      <c r="A2" s="36" t="s">
        <v>758</v>
      </c>
      <c r="B2" s="37"/>
      <c r="C2" s="161"/>
      <c r="D2" s="161"/>
      <c r="E2" s="161"/>
      <c r="F2" s="161"/>
      <c r="G2" s="161"/>
      <c r="H2" s="161"/>
      <c r="I2" s="161"/>
    </row>
    <row r="3" spans="1:9" ht="24" customHeight="1" x14ac:dyDescent="0.25">
      <c r="A3" s="162"/>
      <c r="B3" s="163"/>
      <c r="C3" s="161"/>
      <c r="D3" s="161"/>
      <c r="E3" s="161"/>
      <c r="F3" s="161"/>
      <c r="G3" s="161"/>
      <c r="H3" s="161"/>
      <c r="I3" s="161"/>
    </row>
    <row r="4" spans="1:9" ht="24" customHeight="1" x14ac:dyDescent="0.25">
      <c r="A4" s="36" t="s">
        <v>596</v>
      </c>
      <c r="B4" s="37"/>
      <c r="C4" s="161"/>
      <c r="D4" s="161"/>
      <c r="E4" s="161"/>
      <c r="F4" s="161"/>
      <c r="G4" s="161"/>
      <c r="H4" s="161"/>
      <c r="I4" s="161"/>
    </row>
    <row r="5" spans="1:9" ht="33" customHeight="1" x14ac:dyDescent="0.25">
      <c r="A5" s="36" t="s">
        <v>595</v>
      </c>
      <c r="B5" s="37" t="s">
        <v>47</v>
      </c>
      <c r="C5" s="161"/>
      <c r="D5" s="161"/>
      <c r="E5" s="161"/>
      <c r="F5" s="161"/>
      <c r="G5" s="161"/>
      <c r="H5" s="161"/>
      <c r="I5" s="161"/>
    </row>
    <row r="6" spans="1:9" ht="30" x14ac:dyDescent="0.25">
      <c r="A6" s="38" t="s">
        <v>595</v>
      </c>
      <c r="B6" s="38" t="s">
        <v>596</v>
      </c>
      <c r="C6" s="38" t="s">
        <v>597</v>
      </c>
      <c r="D6" s="38" t="s">
        <v>598</v>
      </c>
      <c r="E6" s="38" t="s">
        <v>759</v>
      </c>
      <c r="F6" s="38" t="s">
        <v>600</v>
      </c>
      <c r="G6" s="38" t="s">
        <v>600</v>
      </c>
      <c r="H6" s="38" t="s">
        <v>601</v>
      </c>
      <c r="I6" s="38" t="s">
        <v>602</v>
      </c>
    </row>
    <row r="7" spans="1:9" ht="17.25" x14ac:dyDescent="0.3">
      <c r="A7" s="44" t="s">
        <v>47</v>
      </c>
      <c r="B7" s="44" t="s">
        <v>427</v>
      </c>
      <c r="C7" s="44" t="s">
        <v>324</v>
      </c>
      <c r="D7" s="44">
        <v>5516934636</v>
      </c>
      <c r="E7" s="44">
        <v>295201</v>
      </c>
      <c r="F7" s="87">
        <v>5577.96</v>
      </c>
      <c r="G7" s="46">
        <v>46024</v>
      </c>
      <c r="H7" s="44"/>
      <c r="I7" s="44"/>
    </row>
    <row r="8" spans="1:9" ht="17.25" x14ac:dyDescent="0.3">
      <c r="A8" s="44" t="s">
        <v>47</v>
      </c>
      <c r="B8" s="44" t="s">
        <v>455</v>
      </c>
      <c r="C8" s="44" t="s">
        <v>48</v>
      </c>
      <c r="D8" s="44">
        <v>5543469008</v>
      </c>
      <c r="E8" s="44">
        <v>349678</v>
      </c>
      <c r="F8" s="89">
        <v>21646.6</v>
      </c>
      <c r="G8" s="46">
        <v>46027</v>
      </c>
      <c r="H8" s="44"/>
      <c r="I8" s="44"/>
    </row>
    <row r="9" spans="1:9" ht="17.25" x14ac:dyDescent="0.3">
      <c r="A9" s="51" t="s">
        <v>47</v>
      </c>
      <c r="B9" s="51" t="s">
        <v>50</v>
      </c>
      <c r="C9" s="51" t="s">
        <v>456</v>
      </c>
      <c r="D9" s="51">
        <v>5529503930</v>
      </c>
      <c r="E9" s="51">
        <v>293666</v>
      </c>
      <c r="F9" s="68">
        <v>11304</v>
      </c>
      <c r="G9" s="52">
        <v>46027</v>
      </c>
      <c r="H9" s="51"/>
      <c r="I9" s="51"/>
    </row>
    <row r="10" spans="1:9" ht="17.25" x14ac:dyDescent="0.3">
      <c r="A10" s="44" t="s">
        <v>47</v>
      </c>
      <c r="B10" s="44" t="s">
        <v>50</v>
      </c>
      <c r="C10" s="44" t="s">
        <v>456</v>
      </c>
      <c r="D10" s="54">
        <v>5529503930</v>
      </c>
      <c r="E10" s="44">
        <v>32313</v>
      </c>
      <c r="F10" s="87">
        <v>2276</v>
      </c>
      <c r="G10" s="46">
        <v>46027</v>
      </c>
      <c r="H10" s="44"/>
      <c r="I10" s="44"/>
    </row>
    <row r="11" spans="1:9" ht="17.25" x14ac:dyDescent="0.3">
      <c r="A11" s="51" t="s">
        <v>47</v>
      </c>
      <c r="B11" s="51" t="s">
        <v>50</v>
      </c>
      <c r="C11" s="51" t="s">
        <v>456</v>
      </c>
      <c r="D11" s="51">
        <v>5529503930</v>
      </c>
      <c r="E11" s="51">
        <v>295128</v>
      </c>
      <c r="F11" s="68">
        <v>8638.98</v>
      </c>
      <c r="G11" s="52">
        <v>46027</v>
      </c>
      <c r="H11" s="51"/>
      <c r="I11" s="51"/>
    </row>
    <row r="12" spans="1:9" ht="17.25" x14ac:dyDescent="0.3">
      <c r="A12" s="48" t="s">
        <v>47</v>
      </c>
      <c r="B12" s="48" t="s">
        <v>224</v>
      </c>
      <c r="C12" s="48" t="s">
        <v>480</v>
      </c>
      <c r="D12" s="48">
        <v>5539564988</v>
      </c>
      <c r="E12" s="48">
        <v>295550</v>
      </c>
      <c r="F12" s="88">
        <v>7313.27</v>
      </c>
      <c r="G12" s="50">
        <v>46028</v>
      </c>
      <c r="H12" s="48"/>
      <c r="I12" s="48"/>
    </row>
    <row r="13" spans="1:9" ht="17.25" x14ac:dyDescent="0.3">
      <c r="A13" s="44" t="s">
        <v>47</v>
      </c>
      <c r="B13" s="44" t="s">
        <v>121</v>
      </c>
      <c r="C13" s="44" t="s">
        <v>41</v>
      </c>
      <c r="D13" s="44">
        <v>5642852406</v>
      </c>
      <c r="E13" s="44">
        <v>349736</v>
      </c>
      <c r="F13" s="87">
        <v>4524</v>
      </c>
      <c r="G13" s="46">
        <v>46028</v>
      </c>
      <c r="H13" s="44"/>
      <c r="I13" s="44"/>
    </row>
    <row r="14" spans="1:9" ht="17.25" x14ac:dyDescent="0.3">
      <c r="A14" s="48" t="s">
        <v>47</v>
      </c>
      <c r="B14" s="48" t="s">
        <v>121</v>
      </c>
      <c r="C14" s="48" t="s">
        <v>41</v>
      </c>
      <c r="D14" s="48">
        <v>5642852406</v>
      </c>
      <c r="E14" s="48">
        <v>301338</v>
      </c>
      <c r="F14" s="88">
        <v>990</v>
      </c>
      <c r="G14" s="50">
        <v>46028</v>
      </c>
      <c r="H14" s="48"/>
      <c r="I14" s="48"/>
    </row>
    <row r="15" spans="1:9" ht="17.25" x14ac:dyDescent="0.3">
      <c r="A15" s="44" t="s">
        <v>47</v>
      </c>
      <c r="B15" s="44" t="s">
        <v>481</v>
      </c>
      <c r="C15" s="44" t="s">
        <v>482</v>
      </c>
      <c r="D15" s="44"/>
      <c r="E15" s="44">
        <v>179705</v>
      </c>
      <c r="F15" s="87">
        <v>2228</v>
      </c>
      <c r="G15" s="46">
        <v>46028</v>
      </c>
      <c r="H15" s="44"/>
      <c r="I15" s="44"/>
    </row>
    <row r="16" spans="1:9" ht="17.25" x14ac:dyDescent="0.3">
      <c r="A16" s="48" t="s">
        <v>47</v>
      </c>
      <c r="B16" s="48" t="s">
        <v>483</v>
      </c>
      <c r="C16" s="48" t="s">
        <v>484</v>
      </c>
      <c r="D16" s="48">
        <v>553434179</v>
      </c>
      <c r="E16" s="48">
        <v>179438</v>
      </c>
      <c r="F16" s="88">
        <v>5467.99</v>
      </c>
      <c r="G16" s="50">
        <v>46028</v>
      </c>
      <c r="H16" s="48"/>
      <c r="I16" s="48"/>
    </row>
    <row r="17" spans="1:9" ht="17.25" x14ac:dyDescent="0.3">
      <c r="A17" s="44" t="s">
        <v>47</v>
      </c>
      <c r="B17" s="44" t="s">
        <v>483</v>
      </c>
      <c r="C17" s="44" t="s">
        <v>484</v>
      </c>
      <c r="D17" s="44">
        <v>553434179</v>
      </c>
      <c r="E17" s="44">
        <v>32424</v>
      </c>
      <c r="F17" s="87">
        <v>920</v>
      </c>
      <c r="G17" s="46">
        <v>46028</v>
      </c>
      <c r="H17" s="44"/>
      <c r="I17" s="44"/>
    </row>
    <row r="18" spans="1:9" ht="17.25" x14ac:dyDescent="0.3">
      <c r="A18" s="48" t="s">
        <v>47</v>
      </c>
      <c r="B18" s="48" t="s">
        <v>486</v>
      </c>
      <c r="C18" s="48" t="s">
        <v>144</v>
      </c>
      <c r="D18" s="48">
        <v>5570114872</v>
      </c>
      <c r="E18" s="48">
        <v>295487</v>
      </c>
      <c r="F18" s="88">
        <v>2600</v>
      </c>
      <c r="G18" s="50">
        <v>46028</v>
      </c>
      <c r="H18" s="48"/>
      <c r="I18" s="48"/>
    </row>
    <row r="19" spans="1:9" ht="17.25" x14ac:dyDescent="0.3">
      <c r="A19" s="44" t="s">
        <v>47</v>
      </c>
      <c r="B19" s="44" t="s">
        <v>487</v>
      </c>
      <c r="C19" s="44" t="s">
        <v>237</v>
      </c>
      <c r="D19" s="44">
        <v>5627074145</v>
      </c>
      <c r="E19" s="44">
        <v>179871</v>
      </c>
      <c r="F19" s="87">
        <v>2187</v>
      </c>
      <c r="G19" s="46">
        <v>46028</v>
      </c>
      <c r="H19" s="44"/>
      <c r="I19" s="44"/>
    </row>
    <row r="20" spans="1:9" ht="17.25" x14ac:dyDescent="0.3">
      <c r="A20" s="42" t="s">
        <v>47</v>
      </c>
      <c r="B20" s="42" t="s">
        <v>501</v>
      </c>
      <c r="C20" s="42" t="s">
        <v>107</v>
      </c>
      <c r="D20" s="42">
        <v>5529518233</v>
      </c>
      <c r="E20" s="42">
        <v>295461</v>
      </c>
      <c r="F20" s="86">
        <v>15650</v>
      </c>
      <c r="G20" s="55">
        <v>46029</v>
      </c>
      <c r="H20" s="42"/>
      <c r="I20" s="42"/>
    </row>
    <row r="21" spans="1:9" ht="17.25" x14ac:dyDescent="0.3">
      <c r="A21" s="44" t="s">
        <v>47</v>
      </c>
      <c r="B21" s="44" t="s">
        <v>502</v>
      </c>
      <c r="C21" s="44" t="s">
        <v>503</v>
      </c>
      <c r="D21" s="44">
        <v>5568148903</v>
      </c>
      <c r="E21" s="44">
        <v>295556</v>
      </c>
      <c r="F21" s="87">
        <v>5610.6</v>
      </c>
      <c r="G21" s="56">
        <v>46029</v>
      </c>
      <c r="H21" s="44"/>
      <c r="I21" s="44"/>
    </row>
    <row r="22" spans="1:9" ht="17.25" x14ac:dyDescent="0.3">
      <c r="A22" s="42" t="s">
        <v>47</v>
      </c>
      <c r="B22" s="42" t="s">
        <v>502</v>
      </c>
      <c r="C22" s="42" t="s">
        <v>503</v>
      </c>
      <c r="D22" s="42">
        <v>5568148903</v>
      </c>
      <c r="E22" s="42">
        <v>295560</v>
      </c>
      <c r="F22" s="86">
        <v>1014</v>
      </c>
      <c r="G22" s="55">
        <v>46029</v>
      </c>
      <c r="H22" s="42"/>
      <c r="I22" s="42"/>
    </row>
    <row r="23" spans="1:9" ht="17.25" x14ac:dyDescent="0.3">
      <c r="A23" s="44" t="s">
        <v>47</v>
      </c>
      <c r="B23" s="44" t="s">
        <v>224</v>
      </c>
      <c r="C23" s="44" t="s">
        <v>480</v>
      </c>
      <c r="D23" s="44">
        <v>5539564988</v>
      </c>
      <c r="E23" s="44">
        <v>295700</v>
      </c>
      <c r="F23" s="87">
        <v>5329.19</v>
      </c>
      <c r="G23" s="46">
        <v>46030</v>
      </c>
      <c r="H23" s="44"/>
      <c r="I23" s="44"/>
    </row>
    <row r="24" spans="1:9" ht="17.25" x14ac:dyDescent="0.3">
      <c r="A24" s="57" t="s">
        <v>47</v>
      </c>
      <c r="B24" s="57" t="s">
        <v>510</v>
      </c>
      <c r="C24" s="57" t="s">
        <v>46</v>
      </c>
      <c r="D24" s="57">
        <v>5577352063</v>
      </c>
      <c r="E24" s="57">
        <v>179868</v>
      </c>
      <c r="F24" s="90">
        <v>9861.99</v>
      </c>
      <c r="G24" s="58">
        <v>46030</v>
      </c>
      <c r="H24" s="57"/>
      <c r="I24" s="57"/>
    </row>
    <row r="25" spans="1:9" ht="17.25" x14ac:dyDescent="0.3">
      <c r="A25" s="44" t="s">
        <v>47</v>
      </c>
      <c r="B25" s="44" t="s">
        <v>513</v>
      </c>
      <c r="C25" s="44" t="s">
        <v>46</v>
      </c>
      <c r="D25" s="44">
        <v>5565868897</v>
      </c>
      <c r="E25" s="44">
        <v>295635</v>
      </c>
      <c r="F25" s="87">
        <v>4424.55</v>
      </c>
      <c r="G25" s="46">
        <v>46030</v>
      </c>
      <c r="H25" s="44"/>
      <c r="I25" s="44"/>
    </row>
    <row r="26" spans="1:9" ht="17.25" x14ac:dyDescent="0.3">
      <c r="A26" s="57" t="s">
        <v>47</v>
      </c>
      <c r="B26" s="57" t="s">
        <v>262</v>
      </c>
      <c r="C26" s="57" t="s">
        <v>511</v>
      </c>
      <c r="D26" s="57">
        <v>5547956325</v>
      </c>
      <c r="E26" s="57">
        <v>179886</v>
      </c>
      <c r="F26" s="90">
        <v>2470.04</v>
      </c>
      <c r="G26" s="58">
        <v>46030</v>
      </c>
      <c r="H26" s="57"/>
      <c r="I26" s="57"/>
    </row>
    <row r="27" spans="1:9" ht="17.25" x14ac:dyDescent="0.3">
      <c r="A27" s="44" t="s">
        <v>47</v>
      </c>
      <c r="B27" s="44" t="s">
        <v>262</v>
      </c>
      <c r="C27" s="44" t="s">
        <v>511</v>
      </c>
      <c r="D27" s="44">
        <v>5547956325</v>
      </c>
      <c r="E27" s="44">
        <v>179885</v>
      </c>
      <c r="F27" s="87">
        <v>3864</v>
      </c>
      <c r="G27" s="46">
        <v>46030</v>
      </c>
      <c r="H27" s="44"/>
      <c r="I27" s="44"/>
    </row>
    <row r="28" spans="1:9" ht="17.25" x14ac:dyDescent="0.3">
      <c r="A28" s="57" t="s">
        <v>47</v>
      </c>
      <c r="B28" s="57" t="s">
        <v>512</v>
      </c>
      <c r="C28" s="57" t="s">
        <v>153</v>
      </c>
      <c r="D28" s="57">
        <v>5557554633</v>
      </c>
      <c r="E28" s="57">
        <v>180024</v>
      </c>
      <c r="F28" s="90">
        <v>2792</v>
      </c>
      <c r="G28" s="58">
        <v>46030</v>
      </c>
      <c r="H28" s="57"/>
      <c r="I28" s="57"/>
    </row>
    <row r="29" spans="1:9" ht="17.25" x14ac:dyDescent="0.3">
      <c r="A29" s="44" t="s">
        <v>47</v>
      </c>
      <c r="B29" s="44" t="s">
        <v>512</v>
      </c>
      <c r="C29" s="44" t="s">
        <v>153</v>
      </c>
      <c r="D29" s="44">
        <v>5557554633</v>
      </c>
      <c r="E29" s="44">
        <v>32518</v>
      </c>
      <c r="F29" s="87">
        <v>360</v>
      </c>
      <c r="G29" s="46">
        <v>46030</v>
      </c>
      <c r="H29" s="44"/>
      <c r="I29" s="44"/>
    </row>
    <row r="30" spans="1:9" ht="17.25" x14ac:dyDescent="0.3">
      <c r="A30" s="44" t="s">
        <v>47</v>
      </c>
      <c r="B30" s="44" t="s">
        <v>224</v>
      </c>
      <c r="C30" s="44" t="s">
        <v>480</v>
      </c>
      <c r="D30" s="44">
        <v>5539564988</v>
      </c>
      <c r="E30" s="44">
        <v>295782</v>
      </c>
      <c r="F30" s="87">
        <v>5161.2</v>
      </c>
      <c r="G30" s="46">
        <v>46032</v>
      </c>
      <c r="H30" s="44"/>
      <c r="I30" s="44"/>
    </row>
    <row r="31" spans="1:9" ht="17.25" x14ac:dyDescent="0.3">
      <c r="A31" s="51" t="s">
        <v>47</v>
      </c>
      <c r="B31" s="51" t="s">
        <v>537</v>
      </c>
      <c r="C31" s="51" t="s">
        <v>538</v>
      </c>
      <c r="D31" s="51">
        <v>5541813683</v>
      </c>
      <c r="E31" s="51">
        <v>179123</v>
      </c>
      <c r="F31" s="68">
        <v>1100</v>
      </c>
      <c r="G31" s="52">
        <v>46032</v>
      </c>
      <c r="H31" s="51"/>
      <c r="I31" s="51"/>
    </row>
    <row r="32" spans="1:9" ht="17.25" x14ac:dyDescent="0.3">
      <c r="A32" s="44" t="s">
        <v>47</v>
      </c>
      <c r="B32" s="44" t="s">
        <v>539</v>
      </c>
      <c r="C32" s="44" t="s">
        <v>540</v>
      </c>
      <c r="D32" s="44">
        <v>5561088792</v>
      </c>
      <c r="E32" s="44">
        <v>180213</v>
      </c>
      <c r="F32" s="87">
        <v>4699.75</v>
      </c>
      <c r="G32" s="46">
        <v>46032</v>
      </c>
      <c r="H32" s="44"/>
      <c r="I32" s="44"/>
    </row>
    <row r="33" spans="1:9" ht="17.25" x14ac:dyDescent="0.3">
      <c r="A33" s="51" t="s">
        <v>47</v>
      </c>
      <c r="B33" s="51" t="s">
        <v>59</v>
      </c>
      <c r="C33" s="51" t="s">
        <v>541</v>
      </c>
      <c r="D33" s="51">
        <v>5631653944</v>
      </c>
      <c r="E33" s="51">
        <v>301355</v>
      </c>
      <c r="F33" s="68">
        <v>1130</v>
      </c>
      <c r="G33" s="52">
        <v>46032</v>
      </c>
      <c r="H33" s="51"/>
      <c r="I33" s="51"/>
    </row>
    <row r="34" spans="1:9" ht="17.25" x14ac:dyDescent="0.3">
      <c r="A34" s="48" t="s">
        <v>47</v>
      </c>
      <c r="B34" s="48" t="s">
        <v>551</v>
      </c>
      <c r="C34" s="48" t="s">
        <v>147</v>
      </c>
      <c r="D34" s="48">
        <v>5565742938</v>
      </c>
      <c r="E34" s="48">
        <v>295680</v>
      </c>
      <c r="F34" s="88">
        <v>23914.77</v>
      </c>
      <c r="G34" s="63">
        <v>46034</v>
      </c>
      <c r="H34" s="48"/>
      <c r="I34" s="48"/>
    </row>
    <row r="35" spans="1:9" ht="17.25" x14ac:dyDescent="0.3">
      <c r="A35" s="64" t="s">
        <v>47</v>
      </c>
      <c r="B35" s="64" t="s">
        <v>270</v>
      </c>
      <c r="C35" s="64" t="s">
        <v>478</v>
      </c>
      <c r="D35" s="64">
        <v>5527842592</v>
      </c>
      <c r="E35" s="64">
        <v>180677</v>
      </c>
      <c r="F35" s="91">
        <v>3513.32</v>
      </c>
      <c r="G35" s="65">
        <v>46036</v>
      </c>
      <c r="H35" s="64"/>
      <c r="I35" s="64"/>
    </row>
    <row r="36" spans="1:9" ht="17.25" x14ac:dyDescent="0.3">
      <c r="A36" s="44" t="s">
        <v>47</v>
      </c>
      <c r="B36" s="44" t="s">
        <v>364</v>
      </c>
      <c r="C36" s="44" t="s">
        <v>593</v>
      </c>
      <c r="D36" s="44">
        <v>5527842592</v>
      </c>
      <c r="E36" s="44">
        <v>350270</v>
      </c>
      <c r="F36" s="87">
        <v>1739.99</v>
      </c>
      <c r="G36" s="56">
        <v>46036</v>
      </c>
      <c r="H36" s="44"/>
      <c r="I36" s="44"/>
    </row>
    <row r="37" spans="1:9" ht="17.25" x14ac:dyDescent="0.3">
      <c r="A37" s="64" t="s">
        <v>47</v>
      </c>
      <c r="B37" s="64" t="s">
        <v>364</v>
      </c>
      <c r="C37" s="64" t="s">
        <v>593</v>
      </c>
      <c r="D37" s="64">
        <v>5527842592</v>
      </c>
      <c r="E37" s="64">
        <v>350121</v>
      </c>
      <c r="F37" s="91">
        <v>2190.0100000000002</v>
      </c>
      <c r="G37" s="65">
        <v>46036</v>
      </c>
      <c r="H37" s="64"/>
      <c r="I37" s="64"/>
    </row>
    <row r="38" spans="1:9" ht="17.25" x14ac:dyDescent="0.3">
      <c r="A38" s="51" t="s">
        <v>47</v>
      </c>
      <c r="B38" s="51" t="s">
        <v>645</v>
      </c>
      <c r="C38" s="51" t="s">
        <v>311</v>
      </c>
      <c r="D38" s="51" t="s">
        <v>646</v>
      </c>
      <c r="E38" s="51"/>
      <c r="F38" s="68"/>
      <c r="G38" s="52">
        <v>46039</v>
      </c>
      <c r="H38" s="51"/>
      <c r="I38" s="51"/>
    </row>
    <row r="39" spans="1:9" ht="17.25" x14ac:dyDescent="0.3">
      <c r="A39" s="44" t="s">
        <v>47</v>
      </c>
      <c r="B39" s="44" t="s">
        <v>360</v>
      </c>
      <c r="C39" s="44" t="s">
        <v>654</v>
      </c>
      <c r="D39" s="44"/>
      <c r="E39" s="44">
        <v>180754</v>
      </c>
      <c r="F39" s="87">
        <v>17066.98</v>
      </c>
      <c r="G39" s="56">
        <v>46041</v>
      </c>
      <c r="H39" s="44"/>
      <c r="I39" s="44"/>
    </row>
    <row r="40" spans="1:9" ht="17.25" x14ac:dyDescent="0.3">
      <c r="A40" s="51" t="s">
        <v>47</v>
      </c>
      <c r="B40" s="51" t="s">
        <v>680</v>
      </c>
      <c r="C40" s="51" t="s">
        <v>679</v>
      </c>
      <c r="D40" s="51">
        <v>5514418521</v>
      </c>
      <c r="E40" s="51">
        <v>181550</v>
      </c>
      <c r="F40" s="68">
        <v>2228</v>
      </c>
      <c r="G40" s="52">
        <v>46042</v>
      </c>
      <c r="H40" s="51"/>
      <c r="I40" s="51"/>
    </row>
    <row r="41" spans="1:9" ht="17.25" x14ac:dyDescent="0.3">
      <c r="A41" s="44" t="s">
        <v>47</v>
      </c>
      <c r="B41" s="44" t="s">
        <v>681</v>
      </c>
      <c r="C41" s="44" t="s">
        <v>41</v>
      </c>
      <c r="D41" s="44">
        <v>5581066482</v>
      </c>
      <c r="E41" s="44">
        <v>180838</v>
      </c>
      <c r="F41" s="87">
        <v>1190</v>
      </c>
      <c r="G41" s="46">
        <v>46042</v>
      </c>
      <c r="H41" s="44"/>
      <c r="I41" s="44"/>
    </row>
    <row r="42" spans="1:9" ht="17.25" x14ac:dyDescent="0.3">
      <c r="A42" s="51" t="s">
        <v>47</v>
      </c>
      <c r="B42" s="51" t="s">
        <v>682</v>
      </c>
      <c r="C42" s="51" t="s">
        <v>41</v>
      </c>
      <c r="D42" s="51">
        <v>5569331404</v>
      </c>
      <c r="E42" s="51">
        <v>181603</v>
      </c>
      <c r="F42" s="68">
        <v>1848</v>
      </c>
      <c r="G42" s="52">
        <v>46042</v>
      </c>
      <c r="H42" s="51"/>
      <c r="I42" s="51"/>
    </row>
    <row r="43" spans="1:9" ht="17.25" x14ac:dyDescent="0.3">
      <c r="A43" s="44" t="s">
        <v>47</v>
      </c>
      <c r="B43" s="44" t="s">
        <v>683</v>
      </c>
      <c r="C43" s="44" t="s">
        <v>41</v>
      </c>
      <c r="D43" s="44">
        <v>5535078507</v>
      </c>
      <c r="E43" s="44">
        <v>296335</v>
      </c>
      <c r="F43" s="87">
        <v>4160</v>
      </c>
      <c r="G43" s="46">
        <v>46042</v>
      </c>
      <c r="H43" s="44"/>
      <c r="I43" s="44"/>
    </row>
    <row r="44" spans="1:9" ht="17.25" x14ac:dyDescent="0.3">
      <c r="A44" s="44" t="s">
        <v>47</v>
      </c>
      <c r="B44" s="44" t="s">
        <v>389</v>
      </c>
      <c r="C44" s="44" t="s">
        <v>514</v>
      </c>
      <c r="D44" s="44">
        <v>5631061983</v>
      </c>
      <c r="E44" s="44">
        <v>181552</v>
      </c>
      <c r="F44" s="87">
        <v>500</v>
      </c>
      <c r="G44" s="46">
        <v>46043</v>
      </c>
      <c r="H44" s="44"/>
      <c r="I44" s="44"/>
    </row>
    <row r="45" spans="1:9" ht="17.25" x14ac:dyDescent="0.3">
      <c r="A45" s="60" t="s">
        <v>47</v>
      </c>
      <c r="B45" s="60" t="s">
        <v>389</v>
      </c>
      <c r="C45" s="60" t="s">
        <v>514</v>
      </c>
      <c r="D45" s="60">
        <v>5631061983</v>
      </c>
      <c r="E45" s="60">
        <v>181551</v>
      </c>
      <c r="F45" s="79">
        <v>1300</v>
      </c>
      <c r="G45" s="69">
        <v>46043</v>
      </c>
      <c r="H45" s="60"/>
      <c r="I45" s="60"/>
    </row>
    <row r="46" spans="1:9" ht="17.25" x14ac:dyDescent="0.3">
      <c r="A46" s="44" t="s">
        <v>47</v>
      </c>
      <c r="B46" s="45" t="s">
        <v>57</v>
      </c>
      <c r="C46" s="44" t="s">
        <v>58</v>
      </c>
      <c r="D46" s="44"/>
      <c r="E46" s="44">
        <v>296155</v>
      </c>
      <c r="F46" s="87">
        <v>11133.4</v>
      </c>
      <c r="G46" s="46">
        <v>46043</v>
      </c>
      <c r="H46" s="44"/>
      <c r="I46" s="44"/>
    </row>
    <row r="47" spans="1:9" ht="17.25" x14ac:dyDescent="0.3">
      <c r="A47" s="60" t="s">
        <v>47</v>
      </c>
      <c r="B47" s="61" t="s">
        <v>57</v>
      </c>
      <c r="C47" s="60" t="s">
        <v>699</v>
      </c>
      <c r="D47" s="60"/>
      <c r="E47" s="60">
        <v>296156</v>
      </c>
      <c r="F47" s="79">
        <v>17012.990000000002</v>
      </c>
      <c r="G47" s="69">
        <v>46043</v>
      </c>
      <c r="H47" s="60"/>
      <c r="I47" s="60"/>
    </row>
    <row r="48" spans="1:9" ht="17.25" x14ac:dyDescent="0.3">
      <c r="A48" s="44" t="s">
        <v>47</v>
      </c>
      <c r="B48" s="44" t="s">
        <v>700</v>
      </c>
      <c r="C48" s="44" t="s">
        <v>252</v>
      </c>
      <c r="D48" s="44">
        <v>5534704647</v>
      </c>
      <c r="E48" s="44">
        <v>296248</v>
      </c>
      <c r="F48" s="87">
        <v>6245.83</v>
      </c>
      <c r="G48" s="46">
        <v>46043</v>
      </c>
      <c r="H48" s="44"/>
      <c r="I48" s="44"/>
    </row>
    <row r="49" spans="1:9" ht="17.25" x14ac:dyDescent="0.3">
      <c r="A49" s="60" t="s">
        <v>47</v>
      </c>
      <c r="B49" s="60" t="s">
        <v>701</v>
      </c>
      <c r="C49" s="60" t="s">
        <v>702</v>
      </c>
      <c r="D49" s="60">
        <v>5523769704</v>
      </c>
      <c r="E49" s="60">
        <v>295930</v>
      </c>
      <c r="F49" s="79">
        <v>2593.35</v>
      </c>
      <c r="G49" s="69">
        <v>46043</v>
      </c>
      <c r="H49" s="60"/>
      <c r="I49" s="60"/>
    </row>
    <row r="50" spans="1:9" ht="17.25" x14ac:dyDescent="0.3">
      <c r="A50" s="44" t="s">
        <v>47</v>
      </c>
      <c r="B50" s="44" t="s">
        <v>701</v>
      </c>
      <c r="C50" s="44" t="s">
        <v>702</v>
      </c>
      <c r="D50" s="44">
        <v>5523769704</v>
      </c>
      <c r="E50" s="44">
        <v>295931</v>
      </c>
      <c r="F50" s="87">
        <v>3751.01</v>
      </c>
      <c r="G50" s="46">
        <v>46043</v>
      </c>
      <c r="H50" s="44"/>
      <c r="I50" s="44"/>
    </row>
    <row r="51" spans="1:9" ht="17.25" x14ac:dyDescent="0.3">
      <c r="A51" s="51" t="s">
        <v>47</v>
      </c>
      <c r="B51" s="51" t="s">
        <v>184</v>
      </c>
      <c r="C51" s="51" t="s">
        <v>688</v>
      </c>
      <c r="D51" s="51">
        <v>5572111897</v>
      </c>
      <c r="E51" s="51">
        <v>181775</v>
      </c>
      <c r="F51" s="68">
        <v>5587</v>
      </c>
      <c r="G51" s="52">
        <v>46044</v>
      </c>
      <c r="H51" s="51"/>
      <c r="I51" s="51"/>
    </row>
    <row r="52" spans="1:9" ht="17.25" x14ac:dyDescent="0.3">
      <c r="A52" s="44" t="s">
        <v>47</v>
      </c>
      <c r="B52" s="44" t="s">
        <v>710</v>
      </c>
      <c r="C52" s="44" t="s">
        <v>206</v>
      </c>
      <c r="D52" s="44">
        <v>5528872468</v>
      </c>
      <c r="E52" s="44">
        <v>296746</v>
      </c>
      <c r="F52" s="87">
        <v>1630</v>
      </c>
      <c r="G52" s="46">
        <v>46044</v>
      </c>
      <c r="H52" s="44"/>
      <c r="I52" s="44"/>
    </row>
    <row r="53" spans="1:9" ht="17.25" x14ac:dyDescent="0.3">
      <c r="A53" s="51" t="s">
        <v>47</v>
      </c>
      <c r="B53" s="51" t="s">
        <v>711</v>
      </c>
      <c r="C53" s="51" t="s">
        <v>712</v>
      </c>
      <c r="D53" s="51">
        <v>5544902932</v>
      </c>
      <c r="E53" s="51">
        <v>181621</v>
      </c>
      <c r="F53" s="68">
        <v>2439</v>
      </c>
      <c r="G53" s="52">
        <v>46044</v>
      </c>
      <c r="H53" s="51"/>
      <c r="I53" s="51"/>
    </row>
    <row r="54" spans="1:9" ht="17.25" x14ac:dyDescent="0.3">
      <c r="A54" s="44" t="s">
        <v>47</v>
      </c>
      <c r="B54" s="44" t="s">
        <v>711</v>
      </c>
      <c r="C54" s="44" t="s">
        <v>712</v>
      </c>
      <c r="D54" s="44">
        <v>5544902933</v>
      </c>
      <c r="E54" s="44">
        <v>32775</v>
      </c>
      <c r="F54" s="87">
        <v>422</v>
      </c>
      <c r="G54" s="46">
        <v>46044</v>
      </c>
      <c r="H54" s="44"/>
      <c r="I54" s="44"/>
    </row>
    <row r="55" spans="1:9" ht="17.25" x14ac:dyDescent="0.3">
      <c r="A55" s="51" t="s">
        <v>47</v>
      </c>
      <c r="B55" s="51" t="s">
        <v>713</v>
      </c>
      <c r="C55" s="51" t="s">
        <v>714</v>
      </c>
      <c r="D55" s="51">
        <v>5554098239</v>
      </c>
      <c r="E55" s="51">
        <v>296511</v>
      </c>
      <c r="F55" s="68">
        <v>3773.88</v>
      </c>
      <c r="G55" s="52">
        <v>46044</v>
      </c>
      <c r="H55" s="51"/>
      <c r="I55" s="51"/>
    </row>
    <row r="56" spans="1:9" ht="17.25" x14ac:dyDescent="0.3">
      <c r="A56" s="60" t="s">
        <v>47</v>
      </c>
      <c r="B56" s="60" t="s">
        <v>716</v>
      </c>
      <c r="C56" s="60" t="s">
        <v>115</v>
      </c>
      <c r="D56" s="60">
        <v>5541756109</v>
      </c>
      <c r="E56" s="60">
        <v>182020</v>
      </c>
      <c r="F56" s="79">
        <v>5864</v>
      </c>
      <c r="G56" s="69">
        <v>46045</v>
      </c>
      <c r="H56" s="60"/>
      <c r="I56" s="60"/>
    </row>
    <row r="57" spans="1:9" ht="17.25" x14ac:dyDescent="0.3">
      <c r="A57" s="44" t="s">
        <v>47</v>
      </c>
      <c r="B57" s="44" t="s">
        <v>703</v>
      </c>
      <c r="C57" s="44" t="s">
        <v>336</v>
      </c>
      <c r="D57" s="44">
        <v>5547402145</v>
      </c>
      <c r="E57" s="44">
        <v>296829</v>
      </c>
      <c r="F57" s="87">
        <v>2400</v>
      </c>
      <c r="G57" s="46">
        <v>46045</v>
      </c>
      <c r="H57" s="44"/>
      <c r="I57" s="44"/>
    </row>
    <row r="58" spans="1:9" ht="17.25" x14ac:dyDescent="0.3">
      <c r="A58" s="44" t="s">
        <v>47</v>
      </c>
      <c r="B58" s="44" t="s">
        <v>748</v>
      </c>
      <c r="C58" s="44" t="s">
        <v>712</v>
      </c>
      <c r="D58" s="44">
        <v>5520900490</v>
      </c>
      <c r="E58" s="44">
        <v>32874</v>
      </c>
      <c r="F58" s="87">
        <v>1836</v>
      </c>
      <c r="G58" s="46">
        <v>46046</v>
      </c>
      <c r="H58" s="44"/>
      <c r="I58" s="44"/>
    </row>
    <row r="59" spans="1:9" ht="17.25" x14ac:dyDescent="0.3">
      <c r="A59" s="51" t="s">
        <v>47</v>
      </c>
      <c r="B59" s="51" t="s">
        <v>749</v>
      </c>
      <c r="C59" s="51" t="s">
        <v>750</v>
      </c>
      <c r="D59" s="51">
        <v>5538070985</v>
      </c>
      <c r="E59" s="51">
        <v>296497</v>
      </c>
      <c r="F59" s="68">
        <v>7861.11</v>
      </c>
      <c r="G59" s="52">
        <v>46046</v>
      </c>
      <c r="H59" s="51"/>
      <c r="I59" s="51"/>
    </row>
    <row r="60" spans="1:9" ht="17.25" x14ac:dyDescent="0.3">
      <c r="A60" s="44" t="s">
        <v>47</v>
      </c>
      <c r="B60" s="44" t="s">
        <v>749</v>
      </c>
      <c r="C60" s="44" t="s">
        <v>56</v>
      </c>
      <c r="D60" s="44">
        <v>5538070985</v>
      </c>
      <c r="E60" s="44">
        <v>296502</v>
      </c>
      <c r="F60" s="87">
        <v>8879.0400000000009</v>
      </c>
      <c r="G60" s="46">
        <v>46046</v>
      </c>
      <c r="H60" s="44"/>
      <c r="I60" s="44"/>
    </row>
    <row r="61" spans="1:9" ht="17.25" x14ac:dyDescent="0.3">
      <c r="A61" s="48" t="s">
        <v>47</v>
      </c>
      <c r="B61" s="48" t="s">
        <v>50</v>
      </c>
      <c r="C61" s="48" t="s">
        <v>456</v>
      </c>
      <c r="D61" s="48">
        <v>5529503930</v>
      </c>
      <c r="E61" s="48">
        <v>296354</v>
      </c>
      <c r="F61" s="88">
        <v>7338.64</v>
      </c>
      <c r="G61" s="50">
        <v>46048</v>
      </c>
      <c r="H61" s="48"/>
      <c r="I61" s="48"/>
    </row>
    <row r="62" spans="1:9" ht="17.25" x14ac:dyDescent="0.3">
      <c r="A62" s="44" t="s">
        <v>47</v>
      </c>
      <c r="B62" s="44" t="s">
        <v>50</v>
      </c>
      <c r="C62" s="44" t="s">
        <v>456</v>
      </c>
      <c r="D62" s="44">
        <v>5529503931</v>
      </c>
      <c r="E62" s="44">
        <v>296352</v>
      </c>
      <c r="F62" s="87">
        <v>16845.080000000002</v>
      </c>
      <c r="G62" s="46">
        <v>46048</v>
      </c>
      <c r="H62" s="44"/>
      <c r="I62" s="44"/>
    </row>
    <row r="63" spans="1:9" ht="17.25" x14ac:dyDescent="0.3">
      <c r="A63" s="48" t="s">
        <v>47</v>
      </c>
      <c r="B63" s="48" t="s">
        <v>232</v>
      </c>
      <c r="C63" s="48" t="s">
        <v>88</v>
      </c>
      <c r="D63" s="48">
        <v>5529570508</v>
      </c>
      <c r="E63" s="48">
        <v>182400</v>
      </c>
      <c r="F63" s="88">
        <v>10375</v>
      </c>
      <c r="G63" s="50">
        <v>46050</v>
      </c>
      <c r="H63" s="48"/>
      <c r="I63" s="48"/>
    </row>
    <row r="64" spans="1:9" ht="17.25" x14ac:dyDescent="0.3">
      <c r="A64" s="44" t="s">
        <v>47</v>
      </c>
      <c r="B64" s="44" t="s">
        <v>784</v>
      </c>
      <c r="C64" s="44" t="s">
        <v>28</v>
      </c>
      <c r="D64" s="44">
        <v>5535948749</v>
      </c>
      <c r="E64" s="44">
        <v>181106</v>
      </c>
      <c r="F64" s="87">
        <v>1908</v>
      </c>
      <c r="G64" s="46">
        <v>46050</v>
      </c>
      <c r="H64" s="44"/>
      <c r="I64" s="44"/>
    </row>
    <row r="65" spans="1:9" ht="17.25" x14ac:dyDescent="0.3">
      <c r="A65" s="48" t="s">
        <v>47</v>
      </c>
      <c r="B65" s="48" t="s">
        <v>785</v>
      </c>
      <c r="C65" s="48" t="s">
        <v>60</v>
      </c>
      <c r="D65" s="48">
        <v>5574395989</v>
      </c>
      <c r="E65" s="48">
        <v>297081</v>
      </c>
      <c r="F65" s="88">
        <v>1300</v>
      </c>
      <c r="G65" s="50">
        <v>46050</v>
      </c>
      <c r="H65" s="48"/>
      <c r="I65" s="48"/>
    </row>
    <row r="66" spans="1:9" ht="17.25" x14ac:dyDescent="0.3">
      <c r="A66" s="42" t="s">
        <v>47</v>
      </c>
      <c r="B66" s="42" t="s">
        <v>799</v>
      </c>
      <c r="C66" s="42" t="s">
        <v>800</v>
      </c>
      <c r="D66" s="42"/>
      <c r="E66" s="42"/>
      <c r="F66" s="86"/>
      <c r="G66" s="43">
        <v>46051</v>
      </c>
      <c r="H66" s="42"/>
      <c r="I66" s="42"/>
    </row>
    <row r="67" spans="1:9" ht="17.25" x14ac:dyDescent="0.3">
      <c r="A67" s="44" t="s">
        <v>47</v>
      </c>
      <c r="B67" s="44" t="s">
        <v>801</v>
      </c>
      <c r="C67" s="44" t="s">
        <v>802</v>
      </c>
      <c r="D67" s="44">
        <v>5543450209</v>
      </c>
      <c r="E67" s="44">
        <v>182396</v>
      </c>
      <c r="F67" s="87">
        <v>8166</v>
      </c>
      <c r="G67" s="46">
        <v>46051</v>
      </c>
      <c r="H67" s="44"/>
      <c r="I67" s="44"/>
    </row>
    <row r="68" spans="1:9" ht="17.25" x14ac:dyDescent="0.3">
      <c r="A68" s="42" t="s">
        <v>47</v>
      </c>
      <c r="B68" s="42" t="s">
        <v>231</v>
      </c>
      <c r="C68" s="42" t="str">
        <f>IFERROR(VLOOKUP(B68,Base2026!A:C,2,FALSE),"")</f>
        <v>SAN JUAN IXHUATEPEC</v>
      </c>
      <c r="D68" s="42">
        <v>5528186245</v>
      </c>
      <c r="E68" s="42">
        <v>351093</v>
      </c>
      <c r="F68" s="86">
        <v>2596</v>
      </c>
      <c r="G68" s="43">
        <v>46051</v>
      </c>
      <c r="H68" s="42"/>
      <c r="I68" s="42"/>
    </row>
    <row r="69" spans="1:9" ht="17.25" x14ac:dyDescent="0.3">
      <c r="A69" s="44" t="s">
        <v>47</v>
      </c>
      <c r="B69" s="44" t="s">
        <v>803</v>
      </c>
      <c r="C69" s="44" t="s">
        <v>806</v>
      </c>
      <c r="D69" s="44">
        <v>5514902178</v>
      </c>
      <c r="E69" s="44">
        <v>350875</v>
      </c>
      <c r="F69" s="87">
        <v>4032.92</v>
      </c>
      <c r="G69" s="46">
        <v>46051</v>
      </c>
      <c r="H69" s="44"/>
      <c r="I69" s="44"/>
    </row>
    <row r="70" spans="1:9" ht="17.25" x14ac:dyDescent="0.3">
      <c r="A70" s="47" t="s">
        <v>47</v>
      </c>
      <c r="B70" s="44" t="s">
        <v>460</v>
      </c>
      <c r="C70" s="44" t="str">
        <f>IFERROR(VLOOKUP(B70,Base2026!A:C,2,FALSE),"")</f>
        <v>AV CENTRAL</v>
      </c>
      <c r="D70" s="44">
        <f>IFERROR(VLOOKUP(C70,Base2026!B:D,2,FALSE),"")</f>
        <v>5534651744</v>
      </c>
      <c r="E70" s="44">
        <v>297176</v>
      </c>
      <c r="F70" s="87">
        <v>1530</v>
      </c>
      <c r="G70" s="46">
        <v>46052</v>
      </c>
      <c r="H70" s="44"/>
      <c r="I70" s="44"/>
    </row>
    <row r="71" spans="1:9" ht="17.25" x14ac:dyDescent="0.3">
      <c r="A71" s="48" t="s">
        <v>47</v>
      </c>
      <c r="B71" s="48" t="s">
        <v>826</v>
      </c>
      <c r="C71" s="48" t="s">
        <v>827</v>
      </c>
      <c r="D71" s="48">
        <v>5539570166</v>
      </c>
      <c r="E71" s="48">
        <v>182963</v>
      </c>
      <c r="F71" s="88">
        <v>330</v>
      </c>
      <c r="G71" s="50">
        <v>46052</v>
      </c>
      <c r="H71" s="48"/>
      <c r="I71" s="48"/>
    </row>
    <row r="72" spans="1:9" ht="17.25" x14ac:dyDescent="0.3">
      <c r="A72" s="47" t="s">
        <v>47</v>
      </c>
      <c r="B72" s="44" t="s">
        <v>828</v>
      </c>
      <c r="C72" s="44" t="s">
        <v>63</v>
      </c>
      <c r="D72" s="44">
        <v>5584254911</v>
      </c>
      <c r="E72" s="44">
        <v>351104</v>
      </c>
      <c r="F72" s="87">
        <v>1963.92</v>
      </c>
      <c r="G72" s="46">
        <v>46052</v>
      </c>
      <c r="H72" s="44"/>
      <c r="I72" s="44"/>
    </row>
    <row r="73" spans="1:9" ht="17.25" x14ac:dyDescent="0.3">
      <c r="A73" s="48" t="s">
        <v>47</v>
      </c>
      <c r="B73" s="48" t="s">
        <v>169</v>
      </c>
      <c r="C73" s="48" t="s">
        <v>829</v>
      </c>
      <c r="D73" s="48">
        <v>5612609168</v>
      </c>
      <c r="E73" s="48">
        <v>182997</v>
      </c>
      <c r="F73" s="88">
        <v>4868</v>
      </c>
      <c r="G73" s="50">
        <v>46052</v>
      </c>
      <c r="H73" s="48"/>
      <c r="I73" s="48"/>
    </row>
    <row r="74" spans="1:9" ht="17.25" x14ac:dyDescent="0.3">
      <c r="A74" s="47" t="s">
        <v>47</v>
      </c>
      <c r="B74" s="44" t="s">
        <v>830</v>
      </c>
      <c r="C74" s="44" t="s">
        <v>721</v>
      </c>
      <c r="D74" s="44">
        <v>5537078916</v>
      </c>
      <c r="E74" s="44">
        <v>297248</v>
      </c>
      <c r="F74" s="87">
        <v>10118</v>
      </c>
      <c r="G74" s="46">
        <v>46052</v>
      </c>
      <c r="H74" s="44"/>
      <c r="I74" s="44"/>
    </row>
    <row r="75" spans="1:9" ht="17.25" x14ac:dyDescent="0.3">
      <c r="A75" s="48" t="s">
        <v>47</v>
      </c>
      <c r="B75" s="48" t="s">
        <v>831</v>
      </c>
      <c r="C75" s="48" t="s">
        <v>107</v>
      </c>
      <c r="D75" s="48">
        <v>5621736775</v>
      </c>
      <c r="E75" s="48">
        <v>182152</v>
      </c>
      <c r="F75" s="88">
        <v>2670</v>
      </c>
      <c r="G75" s="50">
        <v>46052</v>
      </c>
      <c r="H75" s="48"/>
      <c r="I75" s="48"/>
    </row>
    <row r="76" spans="1:9" ht="17.25" x14ac:dyDescent="0.3">
      <c r="A76" s="47" t="s">
        <v>47</v>
      </c>
      <c r="B76" s="44" t="s">
        <v>792</v>
      </c>
      <c r="C76" s="44" t="s">
        <v>117</v>
      </c>
      <c r="D76" s="44">
        <v>5540177546</v>
      </c>
      <c r="E76" s="44">
        <v>181864</v>
      </c>
      <c r="F76" s="87">
        <v>8727.99</v>
      </c>
      <c r="G76" s="46">
        <v>46052</v>
      </c>
      <c r="H76" s="44"/>
      <c r="I76" s="44"/>
    </row>
    <row r="77" spans="1:9" ht="17.25" x14ac:dyDescent="0.3">
      <c r="A77" s="42" t="s">
        <v>47</v>
      </c>
      <c r="B77" s="42" t="s">
        <v>843</v>
      </c>
      <c r="C77" s="42" t="s">
        <v>844</v>
      </c>
      <c r="D77" s="42">
        <v>5514956097</v>
      </c>
      <c r="E77" s="42">
        <v>183033</v>
      </c>
      <c r="F77" s="86">
        <v>600</v>
      </c>
      <c r="G77" s="43">
        <v>46053</v>
      </c>
      <c r="H77" s="42"/>
      <c r="I77" s="42"/>
    </row>
    <row r="78" spans="1:9" ht="17.25" x14ac:dyDescent="0.3">
      <c r="A78" s="44" t="s">
        <v>47</v>
      </c>
      <c r="B78" s="44" t="s">
        <v>843</v>
      </c>
      <c r="C78" s="44" t="s">
        <v>844</v>
      </c>
      <c r="D78" s="44">
        <v>5514956097</v>
      </c>
      <c r="E78" s="44">
        <v>183032</v>
      </c>
      <c r="F78" s="87">
        <v>4456</v>
      </c>
      <c r="G78" s="46">
        <v>46053</v>
      </c>
      <c r="H78" s="44"/>
      <c r="I78" s="44"/>
    </row>
    <row r="79" spans="1:9" ht="17.25" x14ac:dyDescent="0.3">
      <c r="A79" s="42" t="s">
        <v>47</v>
      </c>
      <c r="B79" s="42" t="s">
        <v>845</v>
      </c>
      <c r="C79" s="42" t="s">
        <v>244</v>
      </c>
      <c r="D79" s="42">
        <v>5575007807</v>
      </c>
      <c r="E79" s="42">
        <v>350786</v>
      </c>
      <c r="F79" s="86">
        <v>9179.19</v>
      </c>
      <c r="G79" s="43">
        <v>46053</v>
      </c>
      <c r="H79" s="42"/>
      <c r="I79" s="42"/>
    </row>
    <row r="80" spans="1:9" ht="17.25" x14ac:dyDescent="0.3">
      <c r="A80" s="44" t="s">
        <v>47</v>
      </c>
      <c r="B80" s="44" t="s">
        <v>7</v>
      </c>
      <c r="C80" s="44" t="s">
        <v>30</v>
      </c>
      <c r="D80" s="44">
        <f>IFERROR(VLOOKUP(C80,Base2026!B:D,2,FALSE),"")</f>
        <v>5545758293</v>
      </c>
      <c r="E80" s="44">
        <v>351144</v>
      </c>
      <c r="F80" s="87">
        <v>2365.12</v>
      </c>
      <c r="G80" s="46">
        <v>46057</v>
      </c>
      <c r="H80" s="44"/>
      <c r="I80" s="44"/>
    </row>
    <row r="81" spans="1:9" ht="17.25" x14ac:dyDescent="0.3">
      <c r="A81" s="51" t="s">
        <v>47</v>
      </c>
      <c r="B81" s="51" t="s">
        <v>876</v>
      </c>
      <c r="C81" s="51" t="s">
        <v>877</v>
      </c>
      <c r="D81" s="51">
        <v>5580138950</v>
      </c>
      <c r="E81" s="51">
        <v>297097</v>
      </c>
      <c r="F81" s="68">
        <v>3300</v>
      </c>
      <c r="G81" s="52">
        <v>46057</v>
      </c>
      <c r="H81" s="51"/>
      <c r="I81" s="51"/>
    </row>
    <row r="82" spans="1:9" ht="17.25" x14ac:dyDescent="0.3">
      <c r="A82" s="44" t="s">
        <v>47</v>
      </c>
      <c r="B82" s="44" t="s">
        <v>876</v>
      </c>
      <c r="C82" s="44" t="s">
        <v>877</v>
      </c>
      <c r="D82" s="44">
        <v>5580138950</v>
      </c>
      <c r="E82" s="44">
        <v>296626</v>
      </c>
      <c r="F82" s="87">
        <v>13750</v>
      </c>
      <c r="G82" s="46">
        <v>46057</v>
      </c>
      <c r="H82" s="44"/>
      <c r="I82" s="44"/>
    </row>
    <row r="83" spans="1:9" ht="17.25" x14ac:dyDescent="0.3">
      <c r="A83" s="51" t="s">
        <v>47</v>
      </c>
      <c r="B83" s="51" t="s">
        <v>876</v>
      </c>
      <c r="C83" s="51" t="s">
        <v>877</v>
      </c>
      <c r="D83" s="51">
        <v>5580138950</v>
      </c>
      <c r="E83" s="51">
        <v>296627</v>
      </c>
      <c r="F83" s="68">
        <v>600</v>
      </c>
      <c r="G83" s="52">
        <v>46057</v>
      </c>
      <c r="H83" s="51"/>
      <c r="I83" s="51"/>
    </row>
    <row r="84" spans="1:9" ht="17.25" x14ac:dyDescent="0.3">
      <c r="A84" s="44" t="s">
        <v>47</v>
      </c>
      <c r="B84" s="44" t="s">
        <v>27</v>
      </c>
      <c r="C84" s="44" t="s">
        <v>878</v>
      </c>
      <c r="D84" s="44">
        <v>5550979443</v>
      </c>
      <c r="E84" s="44">
        <v>351206</v>
      </c>
      <c r="F84" s="87">
        <v>4667</v>
      </c>
      <c r="G84" s="46">
        <v>46057</v>
      </c>
      <c r="H84" s="44"/>
      <c r="I84" s="44"/>
    </row>
    <row r="85" spans="1:9" ht="17.25" x14ac:dyDescent="0.3">
      <c r="A85" s="51" t="s">
        <v>47</v>
      </c>
      <c r="B85" s="51" t="s">
        <v>27</v>
      </c>
      <c r="C85" s="51" t="s">
        <v>878</v>
      </c>
      <c r="D85" s="51">
        <v>5550979443</v>
      </c>
      <c r="E85" s="51">
        <v>182867</v>
      </c>
      <c r="F85" s="68">
        <v>2626.99</v>
      </c>
      <c r="G85" s="52">
        <v>46057</v>
      </c>
      <c r="H85" s="51"/>
      <c r="I85" s="51"/>
    </row>
    <row r="86" spans="1:9" ht="17.25" x14ac:dyDescent="0.3">
      <c r="A86" s="44" t="s">
        <v>47</v>
      </c>
      <c r="B86" s="44" t="s">
        <v>879</v>
      </c>
      <c r="C86" s="44" t="s">
        <v>880</v>
      </c>
      <c r="D86" s="44">
        <v>5536791358</v>
      </c>
      <c r="E86" s="44">
        <v>296987</v>
      </c>
      <c r="F86" s="87">
        <v>19079.88</v>
      </c>
      <c r="G86" s="46">
        <v>46057</v>
      </c>
      <c r="H86" s="44"/>
      <c r="I86" s="44"/>
    </row>
    <row r="87" spans="1:9" ht="17.25" x14ac:dyDescent="0.3">
      <c r="A87" s="44" t="s">
        <v>47</v>
      </c>
      <c r="B87" s="44" t="s">
        <v>904</v>
      </c>
      <c r="C87" s="44" t="s">
        <v>903</v>
      </c>
      <c r="D87" s="44">
        <v>5638172737</v>
      </c>
      <c r="E87" s="44">
        <v>297566</v>
      </c>
      <c r="F87" s="87">
        <v>21445</v>
      </c>
      <c r="G87" s="46">
        <v>46058</v>
      </c>
      <c r="H87" s="44"/>
      <c r="I87" s="44"/>
    </row>
    <row r="88" spans="1:9" ht="17.25" x14ac:dyDescent="0.3">
      <c r="A88" s="48" t="s">
        <v>47</v>
      </c>
      <c r="B88" s="48" t="s">
        <v>310</v>
      </c>
      <c r="C88" s="48" t="str">
        <f>IFERROR(VLOOKUP(B88,Base2026!A:C,2,FALSE),"")</f>
        <v>EJIDOS DE SAN CRISTOBAL</v>
      </c>
      <c r="D88" s="48">
        <v>5525363416</v>
      </c>
      <c r="E88" s="48">
        <v>351080</v>
      </c>
      <c r="F88" s="88">
        <v>6355.99</v>
      </c>
      <c r="G88" s="50">
        <v>46058</v>
      </c>
      <c r="H88" s="48"/>
      <c r="I88" s="48"/>
    </row>
    <row r="89" spans="1:9" ht="17.25" x14ac:dyDescent="0.3">
      <c r="A89" s="44" t="s">
        <v>47</v>
      </c>
      <c r="B89" s="44" t="s">
        <v>905</v>
      </c>
      <c r="C89" s="44" t="s">
        <v>906</v>
      </c>
      <c r="D89" s="44" t="str">
        <f>IFERROR(VLOOKUP(C89,Base2026!B:D,2,FALSE),"")</f>
        <v/>
      </c>
      <c r="E89" s="44">
        <v>297233</v>
      </c>
      <c r="F89" s="87">
        <v>1275</v>
      </c>
      <c r="G89" s="46">
        <v>46058</v>
      </c>
      <c r="H89" s="44"/>
      <c r="I89" s="44"/>
    </row>
    <row r="90" spans="1:9" ht="17.25" x14ac:dyDescent="0.3">
      <c r="A90" s="48" t="s">
        <v>47</v>
      </c>
      <c r="B90" s="48" t="s">
        <v>905</v>
      </c>
      <c r="C90" s="48" t="s">
        <v>906</v>
      </c>
      <c r="D90" s="48" t="str">
        <f>IFERROR(VLOOKUP(C90,Base2026!B:D,2,FALSE),"")</f>
        <v/>
      </c>
      <c r="E90" s="48">
        <v>297234</v>
      </c>
      <c r="F90" s="88">
        <v>1985.07</v>
      </c>
      <c r="G90" s="50">
        <v>46058</v>
      </c>
      <c r="H90" s="48"/>
      <c r="I90" s="48"/>
    </row>
    <row r="91" spans="1:9" ht="17.25" x14ac:dyDescent="0.3">
      <c r="A91" s="44" t="s">
        <v>47</v>
      </c>
      <c r="B91" s="44" t="s">
        <v>905</v>
      </c>
      <c r="C91" s="44" t="s">
        <v>906</v>
      </c>
      <c r="D91" s="44" t="str">
        <f>IFERROR(VLOOKUP(C91,Base2026!B:D,2,FALSE),"")</f>
        <v/>
      </c>
      <c r="E91" s="44">
        <v>297229</v>
      </c>
      <c r="F91" s="87">
        <v>1748</v>
      </c>
      <c r="G91" s="46">
        <v>46058</v>
      </c>
      <c r="H91" s="44"/>
      <c r="I91" s="44"/>
    </row>
    <row r="92" spans="1:9" ht="17.25" x14ac:dyDescent="0.3">
      <c r="A92" s="48" t="s">
        <v>47</v>
      </c>
      <c r="B92" s="48" t="s">
        <v>905</v>
      </c>
      <c r="C92" s="48" t="s">
        <v>906</v>
      </c>
      <c r="D92" s="48" t="str">
        <f>IFERROR(VLOOKUP(C92,Base2026!B:D,2,FALSE),"")</f>
        <v/>
      </c>
      <c r="E92" s="48">
        <v>297232</v>
      </c>
      <c r="F92" s="88">
        <v>718</v>
      </c>
      <c r="G92" s="50">
        <v>46058</v>
      </c>
      <c r="H92" s="48"/>
      <c r="I92" s="48"/>
    </row>
    <row r="93" spans="1:9" ht="17.25" x14ac:dyDescent="0.3">
      <c r="A93" s="44" t="s">
        <v>47</v>
      </c>
      <c r="B93" s="44" t="s">
        <v>905</v>
      </c>
      <c r="C93" s="44" t="s">
        <v>906</v>
      </c>
      <c r="D93" s="44" t="str">
        <f>IFERROR(VLOOKUP(C93,Base2026!B:D,2,FALSE),"")</f>
        <v/>
      </c>
      <c r="E93" s="44">
        <v>297235</v>
      </c>
      <c r="F93" s="87">
        <v>1712.6</v>
      </c>
      <c r="G93" s="46">
        <v>46058</v>
      </c>
      <c r="H93" s="44"/>
      <c r="I93" s="44"/>
    </row>
    <row r="94" spans="1:9" ht="17.25" x14ac:dyDescent="0.3">
      <c r="A94" s="48" t="s">
        <v>47</v>
      </c>
      <c r="B94" s="48" t="s">
        <v>905</v>
      </c>
      <c r="C94" s="48" t="s">
        <v>906</v>
      </c>
      <c r="D94" s="48" t="str">
        <f>IFERROR(VLOOKUP(C94,Base2026!B:D,2,FALSE),"")</f>
        <v/>
      </c>
      <c r="E94" s="48">
        <v>297221</v>
      </c>
      <c r="F94" s="88">
        <v>746</v>
      </c>
      <c r="G94" s="50">
        <v>46058</v>
      </c>
      <c r="H94" s="48"/>
      <c r="I94" s="48"/>
    </row>
    <row r="95" spans="1:9" ht="17.25" x14ac:dyDescent="0.3">
      <c r="A95" s="44" t="s">
        <v>47</v>
      </c>
      <c r="B95" s="44" t="s">
        <v>905</v>
      </c>
      <c r="C95" s="44" t="s">
        <v>906</v>
      </c>
      <c r="D95" s="44" t="str">
        <f>IFERROR(VLOOKUP(C95,Base2026!B:D,2,FALSE),"")</f>
        <v/>
      </c>
      <c r="E95" s="44">
        <v>297222</v>
      </c>
      <c r="F95" s="87">
        <v>1276.8800000000001</v>
      </c>
      <c r="G95" s="46">
        <v>46058</v>
      </c>
      <c r="H95" s="44"/>
      <c r="I95" s="44"/>
    </row>
    <row r="96" spans="1:9" ht="17.25" x14ac:dyDescent="0.3">
      <c r="A96" s="48" t="s">
        <v>47</v>
      </c>
      <c r="B96" s="48" t="s">
        <v>905</v>
      </c>
      <c r="C96" s="48" t="s">
        <v>906</v>
      </c>
      <c r="D96" s="48" t="str">
        <f>IFERROR(VLOOKUP(C96,Base2026!B:D,2,FALSE),"")</f>
        <v/>
      </c>
      <c r="E96" s="48">
        <v>297236</v>
      </c>
      <c r="F96" s="88">
        <v>746</v>
      </c>
      <c r="G96" s="50">
        <v>46058</v>
      </c>
      <c r="H96" s="48"/>
      <c r="I96" s="48"/>
    </row>
    <row r="97" spans="1:9" ht="17.25" x14ac:dyDescent="0.3">
      <c r="A97" s="44" t="s">
        <v>47</v>
      </c>
      <c r="B97" s="44" t="s">
        <v>905</v>
      </c>
      <c r="C97" s="44" t="s">
        <v>906</v>
      </c>
      <c r="D97" s="44" t="str">
        <f>IFERROR(VLOOKUP(C97,Base2026!B:D,2,FALSE),"")</f>
        <v/>
      </c>
      <c r="E97" s="44">
        <v>297237</v>
      </c>
      <c r="F97" s="87">
        <v>1286.1600000000001</v>
      </c>
      <c r="G97" s="46">
        <v>46058</v>
      </c>
      <c r="H97" s="44"/>
      <c r="I97" s="44"/>
    </row>
    <row r="98" spans="1:9" ht="17.25" x14ac:dyDescent="0.3">
      <c r="A98" s="44" t="s">
        <v>47</v>
      </c>
      <c r="B98" s="44" t="s">
        <v>398</v>
      </c>
      <c r="C98" s="44" t="str">
        <f>IFERROR(VLOOKUP(B98,Base2026!A:C,2,FALSE),"")</f>
        <v>FRANCISCO VILLA</v>
      </c>
      <c r="D98" s="44">
        <f>IFERROR(VLOOKUP(C98,Base2026!B:D,2,FALSE),"")</f>
        <v>5535173661</v>
      </c>
      <c r="E98" s="44">
        <v>183215</v>
      </c>
      <c r="F98" s="87">
        <v>2019</v>
      </c>
      <c r="G98" s="46">
        <v>46059</v>
      </c>
      <c r="H98" s="44"/>
      <c r="I98" s="44"/>
    </row>
    <row r="99" spans="1:9" ht="17.25" x14ac:dyDescent="0.3">
      <c r="A99" s="51" t="s">
        <v>47</v>
      </c>
      <c r="B99" s="51" t="s">
        <v>917</v>
      </c>
      <c r="C99" s="51" t="s">
        <v>514</v>
      </c>
      <c r="D99" s="51">
        <f>IFERROR(VLOOKUP(C99,Base2026!B:D,2,FALSE),"")</f>
        <v>5517483758</v>
      </c>
      <c r="E99" s="51">
        <v>183143</v>
      </c>
      <c r="F99" s="68">
        <v>5968</v>
      </c>
      <c r="G99" s="52">
        <v>46059</v>
      </c>
      <c r="H99" s="51"/>
      <c r="I99" s="51"/>
    </row>
    <row r="100" spans="1:9" ht="17.25" x14ac:dyDescent="0.3">
      <c r="A100" s="44" t="s">
        <v>47</v>
      </c>
      <c r="B100" s="44" t="s">
        <v>57</v>
      </c>
      <c r="C100" s="44" t="str">
        <f>IFERROR(VLOOKUP(B100,Base2026!A:C,2,FALSE),"")</f>
        <v>EJE 8</v>
      </c>
      <c r="D100" s="44"/>
      <c r="E100" s="44">
        <v>296923</v>
      </c>
      <c r="F100" s="87">
        <v>13245.67</v>
      </c>
      <c r="G100" s="46">
        <v>46059</v>
      </c>
      <c r="H100" s="44"/>
      <c r="I100" s="44"/>
    </row>
    <row r="101" spans="1:9" ht="17.25" x14ac:dyDescent="0.3">
      <c r="A101" s="44" t="s">
        <v>942</v>
      </c>
      <c r="B101" s="44" t="s">
        <v>709</v>
      </c>
      <c r="C101" s="44" t="s">
        <v>938</v>
      </c>
      <c r="D101" s="44" t="str">
        <f>IFERROR(VLOOKUP(C101,Base2026!B:D,2,FALSE),"")</f>
        <v/>
      </c>
      <c r="E101" s="44">
        <v>1660</v>
      </c>
      <c r="F101" s="87">
        <v>95140</v>
      </c>
      <c r="G101" s="46">
        <v>46062</v>
      </c>
      <c r="H101" s="44"/>
      <c r="I101" s="44"/>
    </row>
    <row r="102" spans="1:9" ht="17.25" x14ac:dyDescent="0.3">
      <c r="A102" s="51" t="s">
        <v>47</v>
      </c>
      <c r="B102" s="51" t="s">
        <v>939</v>
      </c>
      <c r="C102" s="51" t="s">
        <v>640</v>
      </c>
      <c r="D102" s="51">
        <v>5548856197</v>
      </c>
      <c r="E102" s="51">
        <v>183536</v>
      </c>
      <c r="F102" s="68">
        <v>3396</v>
      </c>
      <c r="G102" s="52">
        <v>46062</v>
      </c>
      <c r="H102" s="51"/>
      <c r="I102" s="51"/>
    </row>
    <row r="103" spans="1:9" ht="17.25" x14ac:dyDescent="0.3">
      <c r="A103" s="44" t="s">
        <v>47</v>
      </c>
      <c r="B103" s="44" t="s">
        <v>940</v>
      </c>
      <c r="C103" s="44" t="s">
        <v>941</v>
      </c>
      <c r="D103" s="44">
        <v>5561159180</v>
      </c>
      <c r="E103" s="44">
        <v>183904</v>
      </c>
      <c r="F103" s="87">
        <v>3561.99</v>
      </c>
      <c r="G103" s="46">
        <v>46062</v>
      </c>
      <c r="H103" s="44"/>
      <c r="I103" s="44"/>
    </row>
    <row r="104" spans="1:9" ht="17.25" x14ac:dyDescent="0.3">
      <c r="A104" s="44" t="s">
        <v>955</v>
      </c>
      <c r="B104" s="44" t="s">
        <v>956</v>
      </c>
      <c r="C104" s="44" t="s">
        <v>46</v>
      </c>
      <c r="D104" s="44">
        <v>5557557036</v>
      </c>
      <c r="E104" s="44">
        <v>297904</v>
      </c>
      <c r="F104" s="87">
        <v>5314</v>
      </c>
      <c r="G104" s="46">
        <v>46063</v>
      </c>
      <c r="H104" s="44"/>
      <c r="I104" s="44"/>
    </row>
    <row r="105" spans="1:9" ht="17.25" x14ac:dyDescent="0.3">
      <c r="A105" s="48" t="s">
        <v>955</v>
      </c>
      <c r="B105" s="48" t="s">
        <v>958</v>
      </c>
      <c r="C105" s="48" t="s">
        <v>960</v>
      </c>
      <c r="D105" s="48">
        <v>5515072209</v>
      </c>
      <c r="E105" s="48">
        <v>351404</v>
      </c>
      <c r="F105" s="88">
        <v>7810.97</v>
      </c>
      <c r="G105" s="50">
        <v>46063</v>
      </c>
      <c r="H105" s="48"/>
      <c r="I105" s="48"/>
    </row>
    <row r="106" spans="1:9" ht="17.25" x14ac:dyDescent="0.3">
      <c r="A106" s="44" t="s">
        <v>955</v>
      </c>
      <c r="B106" s="44" t="s">
        <v>620</v>
      </c>
      <c r="C106" s="44" t="str">
        <f>IFERROR(VLOOKUP(B106,Base2026!A:C,2,FALSE),"")</f>
        <v>SANTA ISABEL TOLA</v>
      </c>
      <c r="D106" s="44">
        <v>5539252389</v>
      </c>
      <c r="E106" s="44">
        <v>351497</v>
      </c>
      <c r="F106" s="87">
        <v>5885.01</v>
      </c>
      <c r="G106" s="46">
        <v>46063</v>
      </c>
      <c r="H106" s="44"/>
      <c r="I106" s="44"/>
    </row>
    <row r="107" spans="1:9" ht="17.25" x14ac:dyDescent="0.3">
      <c r="A107" s="48" t="s">
        <v>955</v>
      </c>
      <c r="B107" s="48" t="s">
        <v>959</v>
      </c>
      <c r="C107" s="48" t="s">
        <v>555</v>
      </c>
      <c r="D107" s="48">
        <v>5588018004</v>
      </c>
      <c r="E107" s="48">
        <v>297813</v>
      </c>
      <c r="F107" s="88">
        <v>15260</v>
      </c>
      <c r="G107" s="50">
        <v>46063</v>
      </c>
      <c r="H107" s="48"/>
      <c r="I107" s="48"/>
    </row>
    <row r="108" spans="1:9" ht="17.25" x14ac:dyDescent="0.3">
      <c r="A108" s="44" t="s">
        <v>47</v>
      </c>
      <c r="B108" s="44" t="s">
        <v>976</v>
      </c>
      <c r="C108" s="44" t="s">
        <v>70</v>
      </c>
      <c r="D108" s="44">
        <v>5543678742</v>
      </c>
      <c r="E108" s="44">
        <v>183679</v>
      </c>
      <c r="F108" s="87">
        <v>3701.13</v>
      </c>
      <c r="G108" s="46">
        <v>46065</v>
      </c>
      <c r="H108" s="44"/>
      <c r="I108" s="44"/>
    </row>
    <row r="109" spans="1:9" ht="17.25" x14ac:dyDescent="0.3">
      <c r="A109" s="51" t="s">
        <v>47</v>
      </c>
      <c r="B109" s="51" t="s">
        <v>186</v>
      </c>
      <c r="C109" s="51" t="str">
        <f>IFERROR(VLOOKUP(B109,Base2026!A:C,2,FALSE),"")</f>
        <v>CASAS ALEMAN</v>
      </c>
      <c r="D109" s="51">
        <f>IFERROR(VLOOKUP(C109,Base2026!B:D,2,FALSE),"")</f>
        <v>5529849094</v>
      </c>
      <c r="E109" s="51">
        <v>184318</v>
      </c>
      <c r="F109" s="68">
        <v>1300</v>
      </c>
      <c r="G109" s="52">
        <v>46065</v>
      </c>
      <c r="H109" s="51"/>
      <c r="I109" s="51"/>
    </row>
    <row r="110" spans="1:9" ht="17.25" x14ac:dyDescent="0.3">
      <c r="A110" s="44" t="s">
        <v>47</v>
      </c>
      <c r="B110" s="44" t="s">
        <v>967</v>
      </c>
      <c r="C110" s="44" t="s">
        <v>187</v>
      </c>
      <c r="D110" s="44">
        <v>5565353762</v>
      </c>
      <c r="E110" s="44">
        <v>183637</v>
      </c>
      <c r="F110" s="87">
        <v>4614.2</v>
      </c>
      <c r="G110" s="46">
        <v>46065</v>
      </c>
      <c r="H110" s="44"/>
      <c r="I110" s="44"/>
    </row>
    <row r="111" spans="1:9" ht="17.25" x14ac:dyDescent="0.3">
      <c r="A111" s="51" t="s">
        <v>47</v>
      </c>
      <c r="B111" s="51" t="s">
        <v>970</v>
      </c>
      <c r="C111" s="51" t="s">
        <v>301</v>
      </c>
      <c r="D111" s="51">
        <v>7298974884</v>
      </c>
      <c r="E111" s="51">
        <v>297649</v>
      </c>
      <c r="F111" s="68">
        <v>1587.01</v>
      </c>
      <c r="G111" s="52">
        <v>46065</v>
      </c>
      <c r="H111" s="51"/>
      <c r="I111" s="51"/>
    </row>
    <row r="112" spans="1:9" ht="17.25" x14ac:dyDescent="0.3">
      <c r="A112" s="44" t="s">
        <v>47</v>
      </c>
      <c r="B112" s="44" t="s">
        <v>967</v>
      </c>
      <c r="C112" s="44" t="s">
        <v>187</v>
      </c>
      <c r="D112" s="44">
        <v>5565353762</v>
      </c>
      <c r="E112" s="44">
        <v>183838</v>
      </c>
      <c r="F112" s="87">
        <v>8147.44</v>
      </c>
      <c r="G112" s="46">
        <v>46066</v>
      </c>
      <c r="H112" s="44"/>
      <c r="I112" s="44"/>
    </row>
    <row r="113" spans="1:9" ht="17.25" x14ac:dyDescent="0.3">
      <c r="A113" s="48" t="s">
        <v>47</v>
      </c>
      <c r="B113" s="48" t="s">
        <v>988</v>
      </c>
      <c r="C113" s="48" t="s">
        <v>989</v>
      </c>
      <c r="D113" s="48">
        <v>5523599280</v>
      </c>
      <c r="E113" s="48">
        <v>351610</v>
      </c>
      <c r="F113" s="88">
        <v>1818</v>
      </c>
      <c r="G113" s="50">
        <v>46066</v>
      </c>
      <c r="H113" s="48"/>
      <c r="I113" s="48"/>
    </row>
    <row r="114" spans="1:9" ht="17.25" x14ac:dyDescent="0.3">
      <c r="A114" s="44" t="s">
        <v>47</v>
      </c>
      <c r="B114" s="44" t="s">
        <v>990</v>
      </c>
      <c r="C114" s="44" t="s">
        <v>991</v>
      </c>
      <c r="D114" s="44">
        <v>5561088792</v>
      </c>
      <c r="E114" s="44">
        <v>351601</v>
      </c>
      <c r="F114" s="87">
        <v>11998.3</v>
      </c>
      <c r="G114" s="46">
        <v>46066</v>
      </c>
      <c r="H114" s="44"/>
      <c r="I114" s="44"/>
    </row>
    <row r="115" spans="1:9" ht="17.25" x14ac:dyDescent="0.3">
      <c r="A115" s="48" t="s">
        <v>47</v>
      </c>
      <c r="B115" s="48" t="s">
        <v>992</v>
      </c>
      <c r="C115" s="48" t="s">
        <v>782</v>
      </c>
      <c r="D115" s="48">
        <v>5511607872</v>
      </c>
      <c r="E115" s="48">
        <v>297866</v>
      </c>
      <c r="F115" s="88">
        <v>2417.0100000000002</v>
      </c>
      <c r="G115" s="50">
        <v>46066</v>
      </c>
      <c r="H115" s="48"/>
      <c r="I115" s="48"/>
    </row>
    <row r="116" spans="1:9" ht="17.25" x14ac:dyDescent="0.3">
      <c r="A116" s="44" t="s">
        <v>47</v>
      </c>
      <c r="B116" s="44" t="s">
        <v>120</v>
      </c>
      <c r="C116" s="44" t="str">
        <f>IFERROR(VLOOKUP(B116,Base2026!A:C,2,FALSE),"")</f>
        <v>URBANA IXHUATEPEC</v>
      </c>
      <c r="D116" s="44">
        <f>IFERROR(VLOOKUP(C118,Base2026!B:D,2,FALSE),"")</f>
        <v>5545758293</v>
      </c>
      <c r="E116" s="44">
        <v>351667</v>
      </c>
      <c r="F116" s="87">
        <v>5246.96</v>
      </c>
      <c r="G116" s="46">
        <v>46066</v>
      </c>
      <c r="H116" s="44"/>
      <c r="I116" s="44"/>
    </row>
    <row r="117" spans="1:9" ht="17.25" x14ac:dyDescent="0.3">
      <c r="A117" s="48" t="s">
        <v>47</v>
      </c>
      <c r="B117" s="48" t="s">
        <v>993</v>
      </c>
      <c r="C117" s="48" t="s">
        <v>356</v>
      </c>
      <c r="D117" s="48">
        <v>58532353859</v>
      </c>
      <c r="E117" s="48">
        <v>297732</v>
      </c>
      <c r="F117" s="88">
        <v>3624.52</v>
      </c>
      <c r="G117" s="50">
        <v>46066</v>
      </c>
      <c r="H117" s="48"/>
      <c r="I117" s="48"/>
    </row>
    <row r="118" spans="1:9" ht="17.25" x14ac:dyDescent="0.3">
      <c r="A118" s="44" t="s">
        <v>47</v>
      </c>
      <c r="B118" s="44" t="s">
        <v>120</v>
      </c>
      <c r="C118" s="44" t="str">
        <f>IFERROR(VLOOKUP(B118,Base2026!A:C,2,FALSE),"")</f>
        <v>URBANA IXHUATEPEC</v>
      </c>
      <c r="D118" s="44" t="str">
        <f>IFERROR(VLOOKUP(#REF!,Base2026!B:D,2,FALSE),"")</f>
        <v/>
      </c>
      <c r="E118" s="44">
        <v>298194</v>
      </c>
      <c r="F118" s="87">
        <v>2191.98</v>
      </c>
      <c r="G118" s="46">
        <v>46066</v>
      </c>
      <c r="H118" s="44"/>
      <c r="I118" s="44"/>
    </row>
    <row r="119" spans="1:9" ht="17.25" x14ac:dyDescent="0.3">
      <c r="A119" s="51" t="s">
        <v>47</v>
      </c>
      <c r="B119" s="51" t="s">
        <v>523</v>
      </c>
      <c r="C119" s="51" t="str">
        <f>IFERROR(VLOOKUP(B119,Base2026!A:C,2,FALSE),"")</f>
        <v>SAGITARIO</v>
      </c>
      <c r="D119" s="51">
        <f>IFERROR(VLOOKUP(C119,Base2026!B:D,2,FALSE),"")</f>
        <v>5610186288</v>
      </c>
      <c r="E119" s="51">
        <v>352057</v>
      </c>
      <c r="F119" s="68">
        <v>16625</v>
      </c>
      <c r="G119" s="52">
        <v>46067</v>
      </c>
      <c r="H119" s="51"/>
      <c r="I119" s="51"/>
    </row>
    <row r="120" spans="1:9" ht="17.25" x14ac:dyDescent="0.3">
      <c r="A120" s="44" t="s">
        <v>47</v>
      </c>
      <c r="B120" s="44" t="s">
        <v>1008</v>
      </c>
      <c r="C120" s="44" t="s">
        <v>1009</v>
      </c>
      <c r="D120" s="44">
        <v>5543829570</v>
      </c>
      <c r="E120" s="44">
        <v>183988</v>
      </c>
      <c r="F120" s="87">
        <v>4395</v>
      </c>
      <c r="G120" s="46">
        <v>46067</v>
      </c>
      <c r="H120" s="44"/>
      <c r="I120" s="44"/>
    </row>
    <row r="121" spans="1:9" ht="17.25" x14ac:dyDescent="0.3">
      <c r="A121" s="51" t="s">
        <v>47</v>
      </c>
      <c r="B121" s="51" t="s">
        <v>1010</v>
      </c>
      <c r="C121" s="51" t="s">
        <v>1011</v>
      </c>
      <c r="D121" s="51">
        <v>5542058607</v>
      </c>
      <c r="E121" s="51">
        <v>298160</v>
      </c>
      <c r="F121" s="68">
        <v>4204</v>
      </c>
      <c r="G121" s="52">
        <v>46067</v>
      </c>
      <c r="H121" s="51"/>
      <c r="I121" s="51"/>
    </row>
    <row r="122" spans="1:9" ht="17.25" x14ac:dyDescent="0.3">
      <c r="A122" s="44" t="s">
        <v>47</v>
      </c>
      <c r="B122" s="44" t="s">
        <v>1012</v>
      </c>
      <c r="C122" s="44" t="s">
        <v>72</v>
      </c>
      <c r="D122" s="44">
        <f>IFERROR(VLOOKUP(C122,Base2026!B:D,2,FALSE),"")</f>
        <v>5532346493</v>
      </c>
      <c r="E122" s="44">
        <v>298169</v>
      </c>
      <c r="F122" s="87">
        <v>1300</v>
      </c>
      <c r="G122" s="46">
        <v>46067</v>
      </c>
      <c r="H122" s="44"/>
      <c r="I122" s="44"/>
    </row>
    <row r="123" spans="1:9" ht="17.25" x14ac:dyDescent="0.3">
      <c r="A123" s="51" t="s">
        <v>47</v>
      </c>
      <c r="B123" s="51" t="s">
        <v>987</v>
      </c>
      <c r="C123" s="51" t="s">
        <v>1013</v>
      </c>
      <c r="D123" s="51">
        <v>5535192160</v>
      </c>
      <c r="E123" s="51">
        <v>351666</v>
      </c>
      <c r="F123" s="68">
        <v>8480</v>
      </c>
      <c r="G123" s="52">
        <v>46067</v>
      </c>
      <c r="H123" s="51"/>
      <c r="I123" s="51"/>
    </row>
    <row r="124" spans="1:9" ht="17.25" x14ac:dyDescent="0.3">
      <c r="A124" s="44" t="s">
        <v>47</v>
      </c>
      <c r="B124" s="44" t="s">
        <v>7</v>
      </c>
      <c r="C124" s="44" t="s">
        <v>30</v>
      </c>
      <c r="D124" s="44">
        <f>IFERROR(VLOOKUP(C124,Base2026!B:D,2,FALSE),"")</f>
        <v>5545758293</v>
      </c>
      <c r="E124" s="44">
        <v>297823</v>
      </c>
      <c r="F124" s="87">
        <v>8945.44</v>
      </c>
      <c r="G124" s="46">
        <v>46069</v>
      </c>
      <c r="H124" s="44"/>
      <c r="I124" s="44"/>
    </row>
    <row r="125" spans="1:9" ht="17.25" x14ac:dyDescent="0.3">
      <c r="A125" s="48" t="s">
        <v>47</v>
      </c>
      <c r="B125" s="48" t="s">
        <v>7</v>
      </c>
      <c r="C125" s="48" t="s">
        <v>30</v>
      </c>
      <c r="D125" s="48">
        <f>IFERROR(VLOOKUP(C125,Base2026!B:D,2,FALSE),"")</f>
        <v>5545758293</v>
      </c>
      <c r="E125" s="48">
        <v>298250</v>
      </c>
      <c r="F125" s="88">
        <v>1112.99</v>
      </c>
      <c r="G125" s="50">
        <v>46069</v>
      </c>
      <c r="H125" s="48"/>
      <c r="I125" s="48"/>
    </row>
    <row r="126" spans="1:9" ht="17.25" x14ac:dyDescent="0.3">
      <c r="A126" s="44" t="s">
        <v>47</v>
      </c>
      <c r="B126" s="44" t="s">
        <v>217</v>
      </c>
      <c r="C126" s="44" t="s">
        <v>218</v>
      </c>
      <c r="D126" s="44">
        <v>5521745267</v>
      </c>
      <c r="E126" s="44">
        <v>182299</v>
      </c>
      <c r="F126" s="87">
        <v>2228</v>
      </c>
      <c r="G126" s="46">
        <v>46069</v>
      </c>
      <c r="H126" s="44"/>
      <c r="I126" s="44"/>
    </row>
    <row r="127" spans="1:9" ht="17.25" x14ac:dyDescent="0.3">
      <c r="A127" s="48" t="s">
        <v>47</v>
      </c>
      <c r="B127" s="48" t="s">
        <v>1014</v>
      </c>
      <c r="C127" s="48" t="s">
        <v>280</v>
      </c>
      <c r="D127" s="48">
        <v>5513656850</v>
      </c>
      <c r="E127" s="48">
        <v>301699</v>
      </c>
      <c r="F127" s="88">
        <v>1117</v>
      </c>
      <c r="G127" s="50">
        <v>46069</v>
      </c>
      <c r="H127" s="48"/>
      <c r="I127" s="48"/>
    </row>
    <row r="128" spans="1:9" ht="17.25" x14ac:dyDescent="0.3">
      <c r="A128" s="44" t="s">
        <v>47</v>
      </c>
      <c r="B128" s="44" t="s">
        <v>1014</v>
      </c>
      <c r="C128" s="44" t="s">
        <v>280</v>
      </c>
      <c r="D128" s="44">
        <v>5513656850</v>
      </c>
      <c r="E128" s="44">
        <v>351941</v>
      </c>
      <c r="F128" s="87">
        <v>2709</v>
      </c>
      <c r="G128" s="46">
        <v>46069</v>
      </c>
      <c r="H128" s="44"/>
      <c r="I128" s="44"/>
    </row>
    <row r="129" spans="1:9" ht="17.25" x14ac:dyDescent="0.3">
      <c r="A129" s="48" t="s">
        <v>47</v>
      </c>
      <c r="B129" s="48" t="s">
        <v>1015</v>
      </c>
      <c r="C129" s="48" t="s">
        <v>84</v>
      </c>
      <c r="D129" s="48">
        <v>5515407294</v>
      </c>
      <c r="E129" s="48">
        <v>184284</v>
      </c>
      <c r="F129" s="88">
        <v>7332.6</v>
      </c>
      <c r="G129" s="50">
        <v>46069</v>
      </c>
      <c r="H129" s="48"/>
      <c r="I129" s="48"/>
    </row>
    <row r="130" spans="1:9" ht="17.25" x14ac:dyDescent="0.3">
      <c r="A130" s="44" t="s">
        <v>47</v>
      </c>
      <c r="B130" s="44" t="s">
        <v>1016</v>
      </c>
      <c r="C130" s="44" t="s">
        <v>1017</v>
      </c>
      <c r="D130" s="44">
        <v>5516443874</v>
      </c>
      <c r="E130" s="44">
        <v>297735</v>
      </c>
      <c r="F130" s="87">
        <v>31674.99</v>
      </c>
      <c r="G130" s="46">
        <v>46069</v>
      </c>
      <c r="H130" s="44"/>
      <c r="I130" s="44"/>
    </row>
    <row r="131" spans="1:9" ht="17.25" x14ac:dyDescent="0.3">
      <c r="A131" s="48" t="s">
        <v>47</v>
      </c>
      <c r="B131" s="48" t="s">
        <v>1016</v>
      </c>
      <c r="C131" s="48" t="s">
        <v>1017</v>
      </c>
      <c r="D131" s="48">
        <v>5516443874</v>
      </c>
      <c r="E131" s="48">
        <v>297636</v>
      </c>
      <c r="F131" s="88">
        <v>2561</v>
      </c>
      <c r="G131" s="50">
        <v>46069</v>
      </c>
      <c r="H131" s="48"/>
      <c r="I131" s="48"/>
    </row>
    <row r="132" spans="1:9" ht="17.25" x14ac:dyDescent="0.3">
      <c r="A132" s="44" t="s">
        <v>47</v>
      </c>
      <c r="B132" s="44" t="s">
        <v>549</v>
      </c>
      <c r="C132" s="44" t="str">
        <f>IFERROR(VLOOKUP(B132,Base2026!A:C,2,FALSE),"")</f>
        <v>BENITO JUAREZ NEZA</v>
      </c>
      <c r="D132" s="44">
        <f>IFERROR(VLOOKUP(C132,Base2026!B:D,2,FALSE),"")</f>
        <v>5580885800</v>
      </c>
      <c r="E132" s="44">
        <v>351839</v>
      </c>
      <c r="F132" s="87">
        <v>5637.77</v>
      </c>
      <c r="G132" s="46">
        <v>46070</v>
      </c>
      <c r="H132" s="44"/>
      <c r="I132" s="44"/>
    </row>
    <row r="133" spans="1:9" ht="17.25" x14ac:dyDescent="0.3">
      <c r="A133" s="51" t="s">
        <v>47</v>
      </c>
      <c r="B133" s="51" t="s">
        <v>549</v>
      </c>
      <c r="C133" s="51" t="str">
        <f>IFERROR(VLOOKUP(B133,Base2026!A:C,2,FALSE),"")</f>
        <v>BENITO JUAREZ NEZA</v>
      </c>
      <c r="D133" s="51">
        <f>IFERROR(VLOOKUP(C133,Base2026!B:D,2,FALSE),"")</f>
        <v>5580885800</v>
      </c>
      <c r="E133" s="51">
        <v>351837</v>
      </c>
      <c r="F133" s="68">
        <v>1343</v>
      </c>
      <c r="G133" s="52">
        <v>46070</v>
      </c>
      <c r="H133" s="51"/>
      <c r="I133" s="51"/>
    </row>
    <row r="134" spans="1:9" ht="17.25" x14ac:dyDescent="0.3">
      <c r="A134" s="44" t="s">
        <v>47</v>
      </c>
      <c r="B134" s="44" t="s">
        <v>275</v>
      </c>
      <c r="C134" s="44" t="str">
        <f>IFERROR(VLOOKUP(B134,Base2026!A:C,2,FALSE),"")</f>
        <v>CODICE MENDOCINO</v>
      </c>
      <c r="D134" s="44">
        <f>IFERROR(VLOOKUP(C134,Base2026!B:D,2,FALSE),"")</f>
        <v>5511246208</v>
      </c>
      <c r="E134" s="44">
        <v>351672</v>
      </c>
      <c r="F134" s="87">
        <v>6059.03</v>
      </c>
      <c r="G134" s="46">
        <v>46070</v>
      </c>
      <c r="H134" s="44"/>
      <c r="I134" s="44"/>
    </row>
    <row r="135" spans="1:9" ht="17.25" x14ac:dyDescent="0.3">
      <c r="A135" s="51" t="s">
        <v>47</v>
      </c>
      <c r="B135" s="51" t="s">
        <v>1032</v>
      </c>
      <c r="C135" s="51" t="s">
        <v>458</v>
      </c>
      <c r="D135" s="51">
        <f>IFERROR(VLOOKUP(C135,Base2026!B:D,2,FALSE),"")</f>
        <v>5610186288</v>
      </c>
      <c r="E135" s="51">
        <v>184870</v>
      </c>
      <c r="F135" s="68">
        <v>11748.02</v>
      </c>
      <c r="G135" s="52">
        <v>46070</v>
      </c>
      <c r="H135" s="51"/>
      <c r="I135" s="51"/>
    </row>
    <row r="136" spans="1:9" ht="17.25" x14ac:dyDescent="0.3">
      <c r="A136" s="44" t="s">
        <v>47</v>
      </c>
      <c r="B136" s="44" t="s">
        <v>1033</v>
      </c>
      <c r="C136" s="44" t="s">
        <v>65</v>
      </c>
      <c r="D136" s="44">
        <v>5514067028</v>
      </c>
      <c r="E136" s="44">
        <v>351662</v>
      </c>
      <c r="F136" s="87">
        <v>10122</v>
      </c>
      <c r="G136" s="46">
        <v>46070</v>
      </c>
      <c r="H136" s="44"/>
      <c r="I136" s="44"/>
    </row>
    <row r="137" spans="1:9" ht="17.25" x14ac:dyDescent="0.3">
      <c r="A137" s="51" t="s">
        <v>47</v>
      </c>
      <c r="B137" s="51" t="s">
        <v>1033</v>
      </c>
      <c r="C137" s="51" t="s">
        <v>65</v>
      </c>
      <c r="D137" s="51">
        <v>5514067028</v>
      </c>
      <c r="E137" s="51">
        <v>301658</v>
      </c>
      <c r="F137" s="68">
        <v>1480</v>
      </c>
      <c r="G137" s="52">
        <v>46070</v>
      </c>
      <c r="H137" s="51"/>
      <c r="I137" s="51"/>
    </row>
    <row r="138" spans="1:9" ht="17.25" x14ac:dyDescent="0.3">
      <c r="A138" s="44" t="s">
        <v>47</v>
      </c>
      <c r="B138" s="44" t="s">
        <v>1034</v>
      </c>
      <c r="C138" s="44" t="s">
        <v>339</v>
      </c>
      <c r="D138" s="44">
        <v>5621208844</v>
      </c>
      <c r="E138" s="44">
        <v>184001</v>
      </c>
      <c r="F138" s="87">
        <v>12853.27</v>
      </c>
      <c r="G138" s="46">
        <v>46070</v>
      </c>
      <c r="H138" s="44"/>
      <c r="I138" s="44"/>
    </row>
    <row r="139" spans="1:9" ht="17.25" x14ac:dyDescent="0.3">
      <c r="A139" s="60" t="s">
        <v>47</v>
      </c>
      <c r="B139" s="60" t="s">
        <v>1042</v>
      </c>
      <c r="C139" s="60" t="s">
        <v>456</v>
      </c>
      <c r="D139" s="60">
        <f>IFERROR(VLOOKUP(C139,Base2026!B:D,2,FALSE),"")</f>
        <v>5529503930</v>
      </c>
      <c r="E139" s="60">
        <v>297856</v>
      </c>
      <c r="F139" s="79">
        <v>13822.99</v>
      </c>
      <c r="G139" s="69">
        <v>46071</v>
      </c>
      <c r="H139" s="60"/>
      <c r="I139" s="60"/>
    </row>
    <row r="140" spans="1:9" ht="17.25" x14ac:dyDescent="0.3">
      <c r="A140" s="44" t="s">
        <v>47</v>
      </c>
      <c r="B140" s="44" t="s">
        <v>1042</v>
      </c>
      <c r="C140" s="44" t="s">
        <v>456</v>
      </c>
      <c r="D140" s="44">
        <f>IFERROR(VLOOKUP(C140,Base2026!B:D,2,FALSE),"")</f>
        <v>5529503930</v>
      </c>
      <c r="E140" s="44">
        <v>33171</v>
      </c>
      <c r="F140" s="87">
        <v>1948</v>
      </c>
      <c r="G140" s="46">
        <v>46071</v>
      </c>
      <c r="H140" s="44"/>
      <c r="I140" s="44"/>
    </row>
    <row r="141" spans="1:9" ht="17.25" x14ac:dyDescent="0.3">
      <c r="A141" s="44" t="s">
        <v>47</v>
      </c>
      <c r="B141" s="44" t="s">
        <v>1070</v>
      </c>
      <c r="C141" s="44" t="s">
        <v>1071</v>
      </c>
      <c r="D141" s="44">
        <v>5517603059</v>
      </c>
      <c r="E141" s="44">
        <v>184695</v>
      </c>
      <c r="F141" s="87">
        <v>3050.2</v>
      </c>
      <c r="G141" s="46">
        <v>46073</v>
      </c>
      <c r="H141" s="44"/>
      <c r="I141" s="44"/>
    </row>
    <row r="142" spans="1:9" ht="17.25" x14ac:dyDescent="0.3">
      <c r="A142" s="48" t="s">
        <v>47</v>
      </c>
      <c r="B142" s="48" t="s">
        <v>876</v>
      </c>
      <c r="C142" s="48" t="s">
        <v>877</v>
      </c>
      <c r="D142" s="48">
        <v>5580138950</v>
      </c>
      <c r="E142" s="48">
        <v>298618</v>
      </c>
      <c r="F142" s="88">
        <v>17900</v>
      </c>
      <c r="G142" s="50">
        <v>46073</v>
      </c>
      <c r="H142" s="48"/>
      <c r="I142" s="48"/>
    </row>
    <row r="143" spans="1:9" ht="17.25" x14ac:dyDescent="0.3">
      <c r="A143" s="44" t="s">
        <v>1077</v>
      </c>
      <c r="B143" s="44" t="s">
        <v>1076</v>
      </c>
      <c r="C143" s="44" t="s">
        <v>923</v>
      </c>
      <c r="D143" s="44" t="str">
        <f>IFERROR(VLOOKUP(C143,Base2026!B:D,2,FALSE),"")</f>
        <v/>
      </c>
      <c r="E143" s="44">
        <v>296173</v>
      </c>
      <c r="F143" s="87">
        <v>189098.71</v>
      </c>
      <c r="G143" s="46">
        <v>46074</v>
      </c>
      <c r="H143" s="44"/>
      <c r="I143" s="44"/>
    </row>
    <row r="144" spans="1:9" ht="17.25" x14ac:dyDescent="0.3">
      <c r="A144" s="51" t="s">
        <v>1077</v>
      </c>
      <c r="B144" s="51" t="s">
        <v>1076</v>
      </c>
      <c r="C144" s="51" t="s">
        <v>923</v>
      </c>
      <c r="D144" s="51" t="str">
        <f>IFERROR(VLOOKUP(C144,Base2026!B:D,2,FALSE),"")</f>
        <v/>
      </c>
      <c r="E144" s="51">
        <v>352329</v>
      </c>
      <c r="F144" s="68">
        <v>2256.9699999999998</v>
      </c>
      <c r="G144" s="52">
        <v>46074</v>
      </c>
      <c r="H144" s="51"/>
      <c r="I144" s="51"/>
    </row>
    <row r="145" spans="1:9" ht="17.25" x14ac:dyDescent="0.3">
      <c r="A145" s="44" t="s">
        <v>1077</v>
      </c>
      <c r="B145" s="44" t="s">
        <v>1076</v>
      </c>
      <c r="C145" s="44" t="s">
        <v>923</v>
      </c>
      <c r="D145" s="44">
        <v>5540809412</v>
      </c>
      <c r="E145" s="44">
        <v>296173</v>
      </c>
      <c r="F145" s="87">
        <v>189098.71</v>
      </c>
      <c r="G145" s="46">
        <v>46076</v>
      </c>
      <c r="H145" s="44"/>
      <c r="I145" s="44"/>
    </row>
    <row r="146" spans="1:9" ht="17.25" x14ac:dyDescent="0.3">
      <c r="A146" s="48" t="s">
        <v>1077</v>
      </c>
      <c r="B146" s="48" t="s">
        <v>1076</v>
      </c>
      <c r="C146" s="48" t="s">
        <v>923</v>
      </c>
      <c r="D146" s="48">
        <v>5540809412</v>
      </c>
      <c r="E146" s="48">
        <v>352329</v>
      </c>
      <c r="F146" s="88">
        <v>2256.9699999999998</v>
      </c>
      <c r="G146" s="50">
        <v>46076</v>
      </c>
      <c r="H146" s="48"/>
      <c r="I146" s="48"/>
    </row>
    <row r="147" spans="1:9" ht="17.25" x14ac:dyDescent="0.3">
      <c r="A147" s="44" t="s">
        <v>47</v>
      </c>
      <c r="B147" s="44" t="s">
        <v>1135</v>
      </c>
      <c r="C147" s="44" t="s">
        <v>1136</v>
      </c>
      <c r="D147" s="44">
        <v>5513945570</v>
      </c>
      <c r="E147" s="44">
        <v>352505</v>
      </c>
      <c r="F147" s="87">
        <v>2764</v>
      </c>
      <c r="G147" s="46">
        <v>46080</v>
      </c>
      <c r="H147" s="44"/>
      <c r="I147" s="44"/>
    </row>
    <row r="148" spans="1:9" ht="17.25" x14ac:dyDescent="0.3">
      <c r="A148" s="60" t="s">
        <v>47</v>
      </c>
      <c r="B148" s="60" t="s">
        <v>1137</v>
      </c>
      <c r="C148" s="60" t="s">
        <v>1138</v>
      </c>
      <c r="D148" s="60">
        <v>5618521749</v>
      </c>
      <c r="E148" s="60">
        <v>185401</v>
      </c>
      <c r="F148" s="79">
        <v>20370</v>
      </c>
      <c r="G148" s="69">
        <v>46080</v>
      </c>
      <c r="H148" s="60"/>
      <c r="I148" s="60"/>
    </row>
    <row r="149" spans="1:9" ht="17.25" x14ac:dyDescent="0.3">
      <c r="A149" s="44" t="s">
        <v>47</v>
      </c>
      <c r="B149" s="44" t="s">
        <v>1139</v>
      </c>
      <c r="C149" s="44" t="s">
        <v>973</v>
      </c>
      <c r="D149" s="44">
        <v>2206119277</v>
      </c>
      <c r="E149" s="44">
        <v>299060</v>
      </c>
      <c r="F149" s="87">
        <v>2960</v>
      </c>
      <c r="G149" s="46">
        <v>46080</v>
      </c>
      <c r="H149" s="44"/>
      <c r="I149" s="44"/>
    </row>
    <row r="150" spans="1:9" ht="17.25" x14ac:dyDescent="0.3">
      <c r="A150" s="60" t="s">
        <v>47</v>
      </c>
      <c r="B150" s="60" t="s">
        <v>1140</v>
      </c>
      <c r="C150" s="60" t="s">
        <v>190</v>
      </c>
      <c r="D150" s="60" t="str">
        <f>IFERROR(VLOOKUP(C150,Base2026!B:D,2,FALSE),"")</f>
        <v/>
      </c>
      <c r="E150" s="60">
        <v>352119</v>
      </c>
      <c r="F150" s="79">
        <v>31055.47</v>
      </c>
      <c r="G150" s="69">
        <v>46080</v>
      </c>
      <c r="H150" s="60"/>
      <c r="I150" s="60"/>
    </row>
    <row r="151" spans="1:9" ht="17.25" x14ac:dyDescent="0.3">
      <c r="A151" s="44" t="s">
        <v>47</v>
      </c>
      <c r="B151" s="44" t="s">
        <v>1152</v>
      </c>
      <c r="C151" s="44" t="s">
        <v>41</v>
      </c>
      <c r="D151" s="44">
        <v>5639776529</v>
      </c>
      <c r="E151" s="44">
        <v>185553</v>
      </c>
      <c r="F151" s="87">
        <v>3730</v>
      </c>
      <c r="G151" s="46">
        <v>46081</v>
      </c>
      <c r="H151" s="44"/>
      <c r="I151" s="44"/>
    </row>
    <row r="152" spans="1:9" ht="17.25" x14ac:dyDescent="0.3">
      <c r="A152" s="51" t="s">
        <v>47</v>
      </c>
      <c r="B152" s="51" t="s">
        <v>619</v>
      </c>
      <c r="C152" s="51" t="s">
        <v>41</v>
      </c>
      <c r="D152" s="51">
        <v>5527288634</v>
      </c>
      <c r="E152" s="51">
        <v>186029</v>
      </c>
      <c r="F152" s="68">
        <v>3022</v>
      </c>
      <c r="G152" s="52">
        <v>46081</v>
      </c>
      <c r="H152" s="51"/>
      <c r="I152" s="51"/>
    </row>
    <row r="153" spans="1:9" ht="17.25" x14ac:dyDescent="0.3">
      <c r="A153" s="44" t="s">
        <v>47</v>
      </c>
      <c r="B153" s="44" t="s">
        <v>1153</v>
      </c>
      <c r="C153" s="44" t="s">
        <v>1154</v>
      </c>
      <c r="D153" s="44">
        <v>5512288608</v>
      </c>
      <c r="E153" s="44">
        <v>352640</v>
      </c>
      <c r="F153" s="87">
        <v>1787</v>
      </c>
      <c r="G153" s="46">
        <v>46081</v>
      </c>
      <c r="H153" s="44"/>
      <c r="I153" s="44"/>
    </row>
    <row r="154" spans="1:9" ht="17.25" x14ac:dyDescent="0.3">
      <c r="A154" s="51" t="s">
        <v>47</v>
      </c>
      <c r="B154" s="51" t="s">
        <v>357</v>
      </c>
      <c r="C154" s="51" t="s">
        <v>806</v>
      </c>
      <c r="D154" s="51">
        <v>5546082795</v>
      </c>
      <c r="E154" s="51">
        <v>299058</v>
      </c>
      <c r="F154" s="68">
        <v>12074.59</v>
      </c>
      <c r="G154" s="52">
        <v>46081</v>
      </c>
      <c r="H154" s="51"/>
      <c r="I154" s="51"/>
    </row>
    <row r="155" spans="1:9" ht="17.25" x14ac:dyDescent="0.3">
      <c r="A155" s="44" t="s">
        <v>47</v>
      </c>
      <c r="B155" s="44" t="s">
        <v>120</v>
      </c>
      <c r="C155" s="44" t="str">
        <f>IFERROR(VLOOKUP(B155,Base2026!A:C,2,FALSE),"")</f>
        <v>URBANA IXHUATEPEC</v>
      </c>
      <c r="D155" s="44">
        <f>IFERROR(VLOOKUP(C155,Base2026!B:D,2,FALSE),"")</f>
        <v>5545758293</v>
      </c>
      <c r="E155" s="44">
        <v>185520</v>
      </c>
      <c r="F155" s="87">
        <v>6087.8</v>
      </c>
      <c r="G155" s="46">
        <v>46081</v>
      </c>
      <c r="H155" s="44"/>
      <c r="I155" s="44"/>
    </row>
    <row r="156" spans="1:9" ht="17.25" x14ac:dyDescent="0.3">
      <c r="A156" s="51" t="s">
        <v>47</v>
      </c>
      <c r="B156" s="51" t="s">
        <v>1155</v>
      </c>
      <c r="C156" s="51" t="s">
        <v>41</v>
      </c>
      <c r="D156" s="51">
        <v>5616396963</v>
      </c>
      <c r="E156" s="51">
        <v>298038</v>
      </c>
      <c r="F156" s="68">
        <v>28837.89</v>
      </c>
      <c r="G156" s="52">
        <v>46081</v>
      </c>
      <c r="H156" s="51"/>
      <c r="I156" s="51"/>
    </row>
    <row r="157" spans="1:9" ht="17.25" x14ac:dyDescent="0.3">
      <c r="A157" s="44" t="s">
        <v>47</v>
      </c>
      <c r="B157" s="44" t="s">
        <v>131</v>
      </c>
      <c r="C157" s="44" t="str">
        <f>IFERROR(VLOOKUP(B157,Base2026!A:C,2,FALSE),"")</f>
        <v>PRIZO</v>
      </c>
      <c r="D157" s="44">
        <f>IFERROR(VLOOKUP(C157,Base2026!B:D,2,FALSE),"")</f>
        <v>5551141444</v>
      </c>
      <c r="E157" s="44">
        <v>185509</v>
      </c>
      <c r="F157" s="87">
        <v>6072.04</v>
      </c>
      <c r="G157" s="46">
        <v>46083</v>
      </c>
      <c r="H157" s="44"/>
      <c r="I157" s="44"/>
    </row>
    <row r="158" spans="1:9" ht="17.25" x14ac:dyDescent="0.3">
      <c r="A158" s="48" t="s">
        <v>47</v>
      </c>
      <c r="B158" s="48" t="s">
        <v>1161</v>
      </c>
      <c r="C158" s="48" t="s">
        <v>1162</v>
      </c>
      <c r="D158" s="48">
        <v>5554776503</v>
      </c>
      <c r="E158" s="48">
        <v>325580</v>
      </c>
      <c r="F158" s="88">
        <v>2808</v>
      </c>
      <c r="G158" s="50">
        <v>46083</v>
      </c>
      <c r="H158" s="48"/>
      <c r="I158" s="48"/>
    </row>
    <row r="159" spans="1:9" ht="17.25" x14ac:dyDescent="0.3">
      <c r="A159" s="44" t="s">
        <v>47</v>
      </c>
      <c r="B159" s="44" t="s">
        <v>1163</v>
      </c>
      <c r="C159" s="44" t="s">
        <v>465</v>
      </c>
      <c r="D159" s="44">
        <v>5656507979</v>
      </c>
      <c r="E159" s="44">
        <v>298798</v>
      </c>
      <c r="F159" s="87">
        <v>8501.2000000000007</v>
      </c>
      <c r="G159" s="46">
        <v>46083</v>
      </c>
      <c r="H159" s="44"/>
      <c r="I159" s="44"/>
    </row>
    <row r="160" spans="1:9" ht="17.25" x14ac:dyDescent="0.3">
      <c r="A160" s="48" t="s">
        <v>47</v>
      </c>
      <c r="B160" s="48" t="s">
        <v>685</v>
      </c>
      <c r="C160" s="48" t="str">
        <f>IFERROR(VLOOKUP(B160,Base2026!A:C,2,FALSE),"")</f>
        <v>PLAZAS DE ARAGON</v>
      </c>
      <c r="D160" s="48">
        <v>5573743760</v>
      </c>
      <c r="E160" s="48">
        <v>186331</v>
      </c>
      <c r="F160" s="88">
        <v>2347</v>
      </c>
      <c r="G160" s="50">
        <v>46083</v>
      </c>
      <c r="H160" s="48"/>
      <c r="I160" s="48"/>
    </row>
    <row r="161" spans="1:9" ht="17.25" x14ac:dyDescent="0.3">
      <c r="A161" s="44" t="s">
        <v>47</v>
      </c>
      <c r="B161" s="44" t="s">
        <v>523</v>
      </c>
      <c r="C161" s="44" t="str">
        <f>IFERROR(VLOOKUP(B161,Base2026!A:C,2,FALSE),"")</f>
        <v>SAGITARIO</v>
      </c>
      <c r="D161" s="44">
        <v>5613536877</v>
      </c>
      <c r="E161" s="44">
        <v>186313</v>
      </c>
      <c r="F161" s="87">
        <v>4467</v>
      </c>
      <c r="G161" s="46">
        <v>46083</v>
      </c>
      <c r="H161" s="44"/>
      <c r="I161" s="44"/>
    </row>
    <row r="162" spans="1:9" ht="17.25" x14ac:dyDescent="0.3">
      <c r="A162" s="51" t="s">
        <v>47</v>
      </c>
      <c r="B162" s="51" t="s">
        <v>1175</v>
      </c>
      <c r="C162" s="51" t="s">
        <v>68</v>
      </c>
      <c r="D162" s="51">
        <v>5533991403</v>
      </c>
      <c r="E162" s="51">
        <v>352968</v>
      </c>
      <c r="F162" s="68">
        <v>3667</v>
      </c>
      <c r="G162" s="52">
        <v>46084</v>
      </c>
      <c r="H162" s="51"/>
      <c r="I162" s="51"/>
    </row>
    <row r="163" spans="1:9" ht="17.25" x14ac:dyDescent="0.3">
      <c r="A163" s="44" t="s">
        <v>47</v>
      </c>
      <c r="B163" s="44" t="s">
        <v>1176</v>
      </c>
      <c r="C163" s="44" t="s">
        <v>1177</v>
      </c>
      <c r="D163" s="44">
        <v>5566101784</v>
      </c>
      <c r="E163" s="44">
        <v>185721</v>
      </c>
      <c r="F163" s="87">
        <v>1190</v>
      </c>
      <c r="G163" s="46">
        <v>46084</v>
      </c>
      <c r="H163" s="44"/>
      <c r="I163" s="44"/>
    </row>
    <row r="164" spans="1:9" ht="17.25" x14ac:dyDescent="0.3">
      <c r="A164" s="51" t="s">
        <v>47</v>
      </c>
      <c r="B164" s="51" t="s">
        <v>1176</v>
      </c>
      <c r="C164" s="51" t="s">
        <v>1177</v>
      </c>
      <c r="D164" s="51">
        <v>5566101784</v>
      </c>
      <c r="E164" s="51">
        <v>185611</v>
      </c>
      <c r="F164" s="68">
        <v>4165</v>
      </c>
      <c r="G164" s="52">
        <v>46084</v>
      </c>
      <c r="H164" s="51"/>
      <c r="I164" s="51"/>
    </row>
    <row r="165" spans="1:9" ht="17.25" x14ac:dyDescent="0.3">
      <c r="A165" s="44" t="s">
        <v>47</v>
      </c>
      <c r="B165" s="44" t="s">
        <v>1178</v>
      </c>
      <c r="C165" s="44" t="s">
        <v>778</v>
      </c>
      <c r="D165" s="44">
        <v>5572124980</v>
      </c>
      <c r="E165" s="44">
        <v>185718</v>
      </c>
      <c r="F165" s="87">
        <v>13060</v>
      </c>
      <c r="G165" s="46">
        <v>46084</v>
      </c>
      <c r="H165" s="44"/>
      <c r="I165" s="44"/>
    </row>
    <row r="166" spans="1:9" ht="17.25" x14ac:dyDescent="0.3">
      <c r="A166" s="51" t="s">
        <v>47</v>
      </c>
      <c r="B166" s="51" t="s">
        <v>1178</v>
      </c>
      <c r="C166" s="51" t="s">
        <v>778</v>
      </c>
      <c r="D166" s="51">
        <v>5572124980</v>
      </c>
      <c r="E166" s="51">
        <v>334434</v>
      </c>
      <c r="F166" s="68">
        <v>2253</v>
      </c>
      <c r="G166" s="52">
        <v>46084</v>
      </c>
      <c r="H166" s="51"/>
      <c r="I166" s="51"/>
    </row>
    <row r="167" spans="1:9" ht="17.25" x14ac:dyDescent="0.3">
      <c r="A167" s="44" t="s">
        <v>47</v>
      </c>
      <c r="B167" s="44" t="s">
        <v>1179</v>
      </c>
      <c r="C167" s="44" t="s">
        <v>68</v>
      </c>
      <c r="D167" s="44">
        <v>5557800399</v>
      </c>
      <c r="E167" s="44">
        <v>298930</v>
      </c>
      <c r="F167" s="87">
        <v>6370.04</v>
      </c>
      <c r="G167" s="46">
        <v>46084</v>
      </c>
      <c r="H167" s="44"/>
      <c r="I167" s="44"/>
    </row>
    <row r="168" spans="1:9" ht="17.25" x14ac:dyDescent="0.3">
      <c r="A168" s="48" t="s">
        <v>47</v>
      </c>
      <c r="B168" s="48" t="s">
        <v>452</v>
      </c>
      <c r="C168" s="48" t="s">
        <v>93</v>
      </c>
      <c r="D168" s="48">
        <v>5614731053</v>
      </c>
      <c r="E168" s="48">
        <v>184480</v>
      </c>
      <c r="F168" s="88">
        <v>31492.78</v>
      </c>
      <c r="G168" s="50">
        <v>46085</v>
      </c>
      <c r="H168" s="48"/>
      <c r="I168" s="48"/>
    </row>
    <row r="169" spans="1:9" ht="17.25" x14ac:dyDescent="0.3">
      <c r="A169" s="44" t="s">
        <v>47</v>
      </c>
      <c r="B169" s="44" t="s">
        <v>249</v>
      </c>
      <c r="C169" s="44" t="str">
        <f>IFERROR(VLOOKUP(B169,Base2026!A:C,2,FALSE),"")</f>
        <v>TONATITLA</v>
      </c>
      <c r="D169" s="44">
        <f>IFERROR(VLOOKUP(C169,Base2026!B:D,2,FALSE),"")</f>
        <v>5535334019</v>
      </c>
      <c r="E169" s="44">
        <v>352334</v>
      </c>
      <c r="F169" s="87">
        <v>6738.04</v>
      </c>
      <c r="G169" s="46">
        <v>46085</v>
      </c>
      <c r="H169" s="44"/>
      <c r="I169" s="44"/>
    </row>
    <row r="170" spans="1:9" ht="17.25" x14ac:dyDescent="0.3">
      <c r="A170" s="44" t="s">
        <v>47</v>
      </c>
      <c r="B170" s="44" t="s">
        <v>1016</v>
      </c>
      <c r="C170" s="44" t="s">
        <v>806</v>
      </c>
      <c r="D170" s="44">
        <v>5616443874</v>
      </c>
      <c r="E170" s="44">
        <v>299218</v>
      </c>
      <c r="F170" s="87">
        <v>15401.99</v>
      </c>
      <c r="G170" s="46">
        <v>46087</v>
      </c>
      <c r="H170" s="44"/>
      <c r="I170" s="44"/>
    </row>
    <row r="171" spans="1:9" ht="17.25" x14ac:dyDescent="0.3">
      <c r="A171" s="48" t="s">
        <v>47</v>
      </c>
      <c r="B171" s="48" t="s">
        <v>1215</v>
      </c>
      <c r="C171" s="48" t="s">
        <v>624</v>
      </c>
      <c r="D171" s="48">
        <v>5615241519</v>
      </c>
      <c r="E171" s="48">
        <v>352653</v>
      </c>
      <c r="F171" s="88">
        <v>24626.48</v>
      </c>
      <c r="G171" s="50">
        <v>46087</v>
      </c>
      <c r="H171" s="48"/>
      <c r="I171" s="48"/>
    </row>
    <row r="172" spans="1:9" ht="17.25" x14ac:dyDescent="0.3">
      <c r="A172" s="44" t="s">
        <v>47</v>
      </c>
      <c r="B172" s="44" t="s">
        <v>1215</v>
      </c>
      <c r="C172" s="44" t="s">
        <v>624</v>
      </c>
      <c r="D172" s="44">
        <v>5615241519</v>
      </c>
      <c r="E172" s="44">
        <v>352654</v>
      </c>
      <c r="F172" s="87">
        <v>4536.99</v>
      </c>
      <c r="G172" s="46">
        <v>46087</v>
      </c>
      <c r="H172" s="44"/>
      <c r="I172" s="44"/>
    </row>
    <row r="173" spans="1:9" ht="17.25" x14ac:dyDescent="0.3">
      <c r="A173" s="48" t="s">
        <v>47</v>
      </c>
      <c r="B173" s="48" t="s">
        <v>8</v>
      </c>
      <c r="C173" s="48" t="str">
        <f>IFERROR(VLOOKUP(B173,Base2026!A:C,2,FALSE),"")</f>
        <v>JORGE NEGRETE</v>
      </c>
      <c r="D173" s="48">
        <f>IFERROR(VLOOKUP(C173,Base2026!B:D,2,FALSE),"")</f>
        <v>3223271287</v>
      </c>
      <c r="E173" s="48">
        <v>185798</v>
      </c>
      <c r="F173" s="88">
        <v>1790</v>
      </c>
      <c r="G173" s="50">
        <v>46087</v>
      </c>
      <c r="H173" s="48"/>
      <c r="I173" s="48"/>
    </row>
    <row r="174" spans="1:9" ht="17.25" x14ac:dyDescent="0.3">
      <c r="A174" s="44" t="s">
        <v>47</v>
      </c>
      <c r="B174" s="44" t="s">
        <v>1216</v>
      </c>
      <c r="C174" s="44" t="s">
        <v>816</v>
      </c>
      <c r="D174" s="44">
        <v>5520731154</v>
      </c>
      <c r="E174" s="44">
        <v>299521</v>
      </c>
      <c r="F174" s="87">
        <v>3094</v>
      </c>
      <c r="G174" s="46">
        <v>46087</v>
      </c>
      <c r="H174" s="44"/>
      <c r="I174" s="44"/>
    </row>
    <row r="175" spans="1:9" ht="17.25" x14ac:dyDescent="0.3">
      <c r="A175" s="48" t="s">
        <v>47</v>
      </c>
      <c r="B175" s="48" t="s">
        <v>1217</v>
      </c>
      <c r="C175" s="48" t="s">
        <v>30</v>
      </c>
      <c r="D175" s="48">
        <f>IFERROR(VLOOKUP(C175,Base2026!B:D,2,FALSE),"")</f>
        <v>5545758293</v>
      </c>
      <c r="E175" s="48">
        <v>186188</v>
      </c>
      <c r="F175" s="88">
        <v>3560</v>
      </c>
      <c r="G175" s="50">
        <v>46087</v>
      </c>
      <c r="H175" s="48"/>
      <c r="I175" s="48"/>
    </row>
    <row r="176" spans="1:9" ht="17.25" x14ac:dyDescent="0.3">
      <c r="A176" s="51" t="s">
        <v>47</v>
      </c>
      <c r="B176" s="51" t="s">
        <v>1220</v>
      </c>
      <c r="C176" s="51" t="s">
        <v>84</v>
      </c>
      <c r="D176" s="51">
        <v>5513979624</v>
      </c>
      <c r="E176" s="51">
        <v>186337</v>
      </c>
      <c r="F176" s="68">
        <v>3407.75</v>
      </c>
      <c r="G176" s="52">
        <v>46088</v>
      </c>
      <c r="H176" s="51"/>
      <c r="I176" s="51"/>
    </row>
    <row r="177" spans="1:9" ht="17.25" x14ac:dyDescent="0.3">
      <c r="A177" s="44" t="s">
        <v>47</v>
      </c>
      <c r="B177" s="44" t="s">
        <v>1079</v>
      </c>
      <c r="C177" s="44" t="s">
        <v>174</v>
      </c>
      <c r="D177" s="44">
        <v>5542240962</v>
      </c>
      <c r="E177" s="44">
        <v>351905</v>
      </c>
      <c r="F177" s="87">
        <v>18125.990000000002</v>
      </c>
      <c r="G177" s="46">
        <v>46088</v>
      </c>
      <c r="H177" s="44"/>
      <c r="I177" s="44"/>
    </row>
    <row r="178" spans="1:9" ht="17.25" x14ac:dyDescent="0.3">
      <c r="A178" s="51" t="s">
        <v>47</v>
      </c>
      <c r="B178" s="51" t="s">
        <v>1221</v>
      </c>
      <c r="C178" s="51" t="s">
        <v>138</v>
      </c>
      <c r="D178" s="51">
        <v>5527731632</v>
      </c>
      <c r="E178" s="51">
        <v>186347</v>
      </c>
      <c r="F178" s="68">
        <v>3712</v>
      </c>
      <c r="G178" s="52">
        <v>46088</v>
      </c>
      <c r="H178" s="51"/>
      <c r="I178" s="51"/>
    </row>
    <row r="179" spans="1:9" ht="17.25" x14ac:dyDescent="0.3">
      <c r="A179" s="44" t="s">
        <v>47</v>
      </c>
      <c r="B179" s="44" t="s">
        <v>1227</v>
      </c>
      <c r="C179" s="44" t="s">
        <v>117</v>
      </c>
      <c r="D179" s="44">
        <v>5584089435</v>
      </c>
      <c r="E179" s="44">
        <v>299723</v>
      </c>
      <c r="F179" s="87">
        <v>1817</v>
      </c>
      <c r="G179" s="46">
        <v>46090</v>
      </c>
      <c r="H179" s="44"/>
      <c r="I179" s="44"/>
    </row>
    <row r="180" spans="1:9" ht="17.25" x14ac:dyDescent="0.3">
      <c r="A180" s="48" t="s">
        <v>47</v>
      </c>
      <c r="B180" s="48" t="s">
        <v>1228</v>
      </c>
      <c r="C180" s="48" t="s">
        <v>74</v>
      </c>
      <c r="D180" s="48">
        <v>5528872468</v>
      </c>
      <c r="E180" s="48">
        <v>299680</v>
      </c>
      <c r="F180" s="88">
        <v>10087</v>
      </c>
      <c r="G180" s="50">
        <v>46090</v>
      </c>
      <c r="H180" s="48"/>
      <c r="I180" s="48"/>
    </row>
    <row r="181" spans="1:9" ht="17.25" x14ac:dyDescent="0.3">
      <c r="A181" s="44" t="s">
        <v>47</v>
      </c>
      <c r="B181" s="44" t="s">
        <v>1229</v>
      </c>
      <c r="C181" s="44" t="s">
        <v>208</v>
      </c>
      <c r="D181" s="44">
        <f>IFERROR(VLOOKUP(C181,Base2026!B:D,2,FALSE),"")</f>
        <v>5545305498</v>
      </c>
      <c r="E181" s="44">
        <v>299295</v>
      </c>
      <c r="F181" s="87">
        <v>3014.32</v>
      </c>
      <c r="G181" s="46">
        <v>46090</v>
      </c>
      <c r="H181" s="44"/>
      <c r="I181" s="44"/>
    </row>
    <row r="182" spans="1:9" ht="17.25" x14ac:dyDescent="0.3">
      <c r="A182" s="48" t="s">
        <v>47</v>
      </c>
      <c r="B182" s="48" t="s">
        <v>1230</v>
      </c>
      <c r="C182" s="48" t="s">
        <v>88</v>
      </c>
      <c r="D182" s="48">
        <v>5518594860</v>
      </c>
      <c r="E182" s="48">
        <v>353243</v>
      </c>
      <c r="F182" s="88">
        <v>1148</v>
      </c>
      <c r="G182" s="50">
        <v>46090</v>
      </c>
      <c r="H182" s="48"/>
      <c r="I182" s="48"/>
    </row>
    <row r="183" spans="1:9" ht="17.25" x14ac:dyDescent="0.3">
      <c r="A183" s="44" t="s">
        <v>47</v>
      </c>
      <c r="B183" s="44" t="s">
        <v>1022</v>
      </c>
      <c r="C183" s="44" t="str">
        <f>IFERROR(VLOOKUP(B183,Base2026!A:C,2,FALSE),"")</f>
        <v>TLALNEPANTLA</v>
      </c>
      <c r="D183" s="44">
        <v>5540305931</v>
      </c>
      <c r="E183" s="44">
        <v>299506</v>
      </c>
      <c r="F183" s="87">
        <v>6151.91</v>
      </c>
      <c r="G183" s="46">
        <v>46090</v>
      </c>
      <c r="H183" s="44"/>
      <c r="I183" s="44"/>
    </row>
    <row r="184" spans="1:9" ht="17.25" x14ac:dyDescent="0.3">
      <c r="A184" s="48" t="s">
        <v>47</v>
      </c>
      <c r="B184" s="48" t="s">
        <v>1231</v>
      </c>
      <c r="C184" s="48" t="s">
        <v>733</v>
      </c>
      <c r="D184" s="48">
        <v>5536436355</v>
      </c>
      <c r="E184" s="48">
        <v>298974</v>
      </c>
      <c r="F184" s="88">
        <v>15572.63</v>
      </c>
      <c r="G184" s="50">
        <v>46090</v>
      </c>
      <c r="H184" s="48"/>
      <c r="I184" s="48"/>
    </row>
    <row r="185" spans="1:9" ht="17.25" x14ac:dyDescent="0.3">
      <c r="A185" s="44" t="s">
        <v>47</v>
      </c>
      <c r="B185" s="44" t="s">
        <v>1232</v>
      </c>
      <c r="C185" s="44" t="s">
        <v>1233</v>
      </c>
      <c r="D185" s="44">
        <v>5542007484</v>
      </c>
      <c r="E185" s="44">
        <v>299132</v>
      </c>
      <c r="F185" s="87">
        <v>12264.08</v>
      </c>
      <c r="G185" s="46">
        <v>46090</v>
      </c>
      <c r="H185" s="44"/>
      <c r="I185" s="44"/>
    </row>
    <row r="186" spans="1:9" ht="17.25" x14ac:dyDescent="0.3">
      <c r="A186" s="48" t="s">
        <v>47</v>
      </c>
      <c r="B186" s="48" t="s">
        <v>1232</v>
      </c>
      <c r="C186" s="48" t="s">
        <v>1233</v>
      </c>
      <c r="D186" s="48">
        <v>5542007484</v>
      </c>
      <c r="E186" s="48">
        <v>299131</v>
      </c>
      <c r="F186" s="88">
        <v>400</v>
      </c>
      <c r="G186" s="50">
        <v>46090</v>
      </c>
      <c r="H186" s="48"/>
      <c r="I186" s="48"/>
    </row>
    <row r="187" spans="1:9" ht="17.25" x14ac:dyDescent="0.3">
      <c r="A187" s="44" t="s">
        <v>47</v>
      </c>
      <c r="B187" s="44" t="s">
        <v>1243</v>
      </c>
      <c r="C187" s="44" t="s">
        <v>425</v>
      </c>
      <c r="D187" s="44">
        <f>IFERROR(VLOOKUP(C187,Base2026!B:D,2,FALSE),"")</f>
        <v>5517957453</v>
      </c>
      <c r="E187" s="44">
        <v>353186</v>
      </c>
      <c r="F187" s="87">
        <v>2228</v>
      </c>
      <c r="G187" s="46">
        <v>46091</v>
      </c>
      <c r="H187" s="44"/>
      <c r="I187" s="44"/>
    </row>
    <row r="188" spans="1:9" ht="17.25" x14ac:dyDescent="0.3">
      <c r="A188" s="51" t="s">
        <v>47</v>
      </c>
      <c r="B188" s="51" t="s">
        <v>1148</v>
      </c>
      <c r="C188" s="51" t="s">
        <v>43</v>
      </c>
      <c r="D188" s="51">
        <v>5539511994</v>
      </c>
      <c r="E188" s="51">
        <v>168844</v>
      </c>
      <c r="F188" s="68">
        <v>5035</v>
      </c>
      <c r="G188" s="52">
        <v>46091</v>
      </c>
      <c r="H188" s="51"/>
      <c r="I188" s="51"/>
    </row>
    <row r="189" spans="1:9" ht="17.25" x14ac:dyDescent="0.3">
      <c r="A189" s="44" t="s">
        <v>47</v>
      </c>
      <c r="B189" s="44" t="s">
        <v>1244</v>
      </c>
      <c r="C189" s="44" t="s">
        <v>952</v>
      </c>
      <c r="D189" s="44">
        <v>5565786396</v>
      </c>
      <c r="E189" s="44">
        <v>299519</v>
      </c>
      <c r="F189" s="87">
        <v>1737</v>
      </c>
      <c r="G189" s="46">
        <v>46091</v>
      </c>
      <c r="H189" s="44"/>
      <c r="I189" s="44"/>
    </row>
    <row r="190" spans="1:9" ht="17.25" x14ac:dyDescent="0.3">
      <c r="A190" s="51" t="s">
        <v>47</v>
      </c>
      <c r="B190" s="51" t="s">
        <v>249</v>
      </c>
      <c r="C190" s="51" t="str">
        <f>IFERROR(VLOOKUP(B190,Base2026!A:C,2,FALSE),"")</f>
        <v>TONATITLA</v>
      </c>
      <c r="D190" s="51">
        <f>IFERROR(VLOOKUP(C190,Base2026!B:D,2,FALSE),"")</f>
        <v>5535334019</v>
      </c>
      <c r="E190" s="51">
        <v>187193</v>
      </c>
      <c r="F190" s="68">
        <v>2347</v>
      </c>
      <c r="G190" s="52">
        <v>46091</v>
      </c>
      <c r="H190" s="51"/>
      <c r="I190" s="51"/>
    </row>
    <row r="191" spans="1:9" ht="17.25" x14ac:dyDescent="0.3">
      <c r="A191" s="44" t="s">
        <v>47</v>
      </c>
      <c r="B191" s="44" t="s">
        <v>249</v>
      </c>
      <c r="C191" s="44" t="str">
        <f>IFERROR(VLOOKUP(B191,Base2026!A:C,2,FALSE),"")</f>
        <v>TONATITLA</v>
      </c>
      <c r="D191" s="44">
        <f>IFERROR(VLOOKUP(C191,Base2026!B:D,2,FALSE),"")</f>
        <v>5535334019</v>
      </c>
      <c r="E191" s="44">
        <v>186720</v>
      </c>
      <c r="F191" s="87">
        <v>1468</v>
      </c>
      <c r="G191" s="46">
        <v>46091</v>
      </c>
      <c r="H191" s="44"/>
      <c r="I191" s="44"/>
    </row>
    <row r="192" spans="1:9" ht="17.25" x14ac:dyDescent="0.3">
      <c r="A192" s="44" t="s">
        <v>47</v>
      </c>
      <c r="B192" s="44" t="s">
        <v>1270</v>
      </c>
      <c r="C192" s="44" t="s">
        <v>1269</v>
      </c>
      <c r="D192" s="44">
        <v>5633497136</v>
      </c>
      <c r="E192" s="44">
        <v>186961</v>
      </c>
      <c r="F192" s="87">
        <v>3713</v>
      </c>
      <c r="G192" s="46">
        <v>46095</v>
      </c>
      <c r="H192" s="44"/>
      <c r="I192" s="44"/>
    </row>
    <row r="193" spans="1:9" ht="17.25" x14ac:dyDescent="0.3">
      <c r="A193" s="60" t="s">
        <v>47</v>
      </c>
      <c r="B193" s="60" t="s">
        <v>1271</v>
      </c>
      <c r="C193" s="60" t="s">
        <v>152</v>
      </c>
      <c r="D193" s="60">
        <f>IFERROR(VLOOKUP(C193,Base2026!B:D,2,FALSE),"")</f>
        <v>5540562652</v>
      </c>
      <c r="E193" s="60">
        <v>186478</v>
      </c>
      <c r="F193" s="79">
        <v>6288.72</v>
      </c>
      <c r="G193" s="69">
        <v>46095</v>
      </c>
      <c r="H193" s="60"/>
      <c r="I193" s="60"/>
    </row>
    <row r="194" spans="1:9" ht="17.25" x14ac:dyDescent="0.3">
      <c r="A194" s="44" t="s">
        <v>47</v>
      </c>
      <c r="B194" s="44" t="s">
        <v>1272</v>
      </c>
      <c r="C194" s="44" t="s">
        <v>1273</v>
      </c>
      <c r="D194" s="44">
        <v>5517982587</v>
      </c>
      <c r="E194" s="44">
        <v>353451</v>
      </c>
      <c r="F194" s="87">
        <v>864</v>
      </c>
      <c r="G194" s="46">
        <v>46095</v>
      </c>
      <c r="H194" s="44"/>
      <c r="I194" s="44"/>
    </row>
    <row r="195" spans="1:9" ht="17.25" x14ac:dyDescent="0.3">
      <c r="A195" s="44" t="s">
        <v>47</v>
      </c>
      <c r="B195" s="44" t="s">
        <v>1279</v>
      </c>
      <c r="C195" s="44" t="s">
        <v>43</v>
      </c>
      <c r="D195" s="44">
        <v>5586040532</v>
      </c>
      <c r="E195" s="44">
        <v>353481</v>
      </c>
      <c r="F195" s="87">
        <v>964</v>
      </c>
      <c r="G195" s="46">
        <v>46097</v>
      </c>
      <c r="H195" s="44"/>
      <c r="I195" s="44"/>
    </row>
    <row r="196" spans="1:9" ht="17.25" x14ac:dyDescent="0.3">
      <c r="A196" s="57" t="s">
        <v>47</v>
      </c>
      <c r="B196" s="57" t="s">
        <v>1280</v>
      </c>
      <c r="C196" s="57" t="s">
        <v>43</v>
      </c>
      <c r="D196" s="57">
        <v>5548260586</v>
      </c>
      <c r="E196" s="57">
        <v>353403</v>
      </c>
      <c r="F196" s="90">
        <v>185</v>
      </c>
      <c r="G196" s="58">
        <v>46097</v>
      </c>
      <c r="H196" s="57"/>
      <c r="I196" s="57"/>
    </row>
    <row r="197" spans="1:9" ht="17.25" x14ac:dyDescent="0.3">
      <c r="A197" s="44" t="s">
        <v>47</v>
      </c>
      <c r="B197" s="44" t="s">
        <v>270</v>
      </c>
      <c r="C197" s="44" t="str">
        <f>IFERROR(VLOOKUP(B197,Base2026!A:C,2,FALSE),"")</f>
        <v xml:space="preserve">TOLOTZIN </v>
      </c>
      <c r="D197" s="44">
        <f>IFERROR(VLOOKUP(C197,Base2026!B:D,2,FALSE),"")</f>
        <v>5631001997</v>
      </c>
      <c r="E197" s="44">
        <v>187360</v>
      </c>
      <c r="F197" s="87">
        <v>1773.84</v>
      </c>
      <c r="G197" s="46">
        <v>46097</v>
      </c>
      <c r="H197" s="44"/>
      <c r="I197" s="44"/>
    </row>
    <row r="198" spans="1:9" ht="17.25" x14ac:dyDescent="0.3">
      <c r="A198" s="57" t="s">
        <v>47</v>
      </c>
      <c r="B198" s="57" t="s">
        <v>1281</v>
      </c>
      <c r="C198" s="57" t="s">
        <v>631</v>
      </c>
      <c r="D198" s="57">
        <v>5573833080</v>
      </c>
      <c r="E198" s="57">
        <v>187862</v>
      </c>
      <c r="F198" s="90">
        <v>3630</v>
      </c>
      <c r="G198" s="58">
        <v>46097</v>
      </c>
      <c r="H198" s="57"/>
      <c r="I198" s="57"/>
    </row>
    <row r="199" spans="1:9" ht="17.25" x14ac:dyDescent="0.3">
      <c r="A199" s="44" t="s">
        <v>47</v>
      </c>
      <c r="B199" s="44" t="s">
        <v>196</v>
      </c>
      <c r="C199" s="44" t="s">
        <v>1282</v>
      </c>
      <c r="D199" s="44">
        <v>5574594950</v>
      </c>
      <c r="E199" s="44">
        <v>187087</v>
      </c>
      <c r="F199" s="87">
        <v>5598</v>
      </c>
      <c r="G199" s="46">
        <v>46097</v>
      </c>
      <c r="H199" s="44"/>
      <c r="I199" s="44"/>
    </row>
    <row r="200" spans="1:9" ht="17.25" x14ac:dyDescent="0.3">
      <c r="A200" s="57" t="s">
        <v>47</v>
      </c>
      <c r="B200" s="57" t="s">
        <v>697</v>
      </c>
      <c r="C200" s="57" t="str">
        <f>IFERROR(VLOOKUP(B200,Base2026!A:C,2,FALSE),"")</f>
        <v>ALMARCINGO</v>
      </c>
      <c r="D200" s="57">
        <f>IFERROR(VLOOKUP(C200,Base2026!B:D,2,FALSE),"")</f>
        <v>5536807808</v>
      </c>
      <c r="E200" s="57">
        <v>187681</v>
      </c>
      <c r="F200" s="90">
        <v>957.95</v>
      </c>
      <c r="G200" s="58">
        <v>46097</v>
      </c>
      <c r="H200" s="57"/>
      <c r="I200" s="57"/>
    </row>
    <row r="201" spans="1:9" ht="17.25" x14ac:dyDescent="0.3">
      <c r="A201" s="44" t="s">
        <v>47</v>
      </c>
      <c r="B201" s="44" t="s">
        <v>1283</v>
      </c>
      <c r="C201" s="44" t="s">
        <v>425</v>
      </c>
      <c r="D201" s="44">
        <v>9171372206</v>
      </c>
      <c r="E201" s="44">
        <v>187872</v>
      </c>
      <c r="F201" s="87">
        <v>2400</v>
      </c>
      <c r="G201" s="46">
        <v>46097</v>
      </c>
      <c r="H201" s="44"/>
      <c r="I201" s="44"/>
    </row>
    <row r="202" spans="1:9" ht="17.25" x14ac:dyDescent="0.3">
      <c r="A202" s="57" t="s">
        <v>47</v>
      </c>
      <c r="B202" s="57" t="s">
        <v>1059</v>
      </c>
      <c r="C202" s="57" t="s">
        <v>1284</v>
      </c>
      <c r="D202" s="57">
        <v>5654077648</v>
      </c>
      <c r="E202" s="57">
        <v>353532</v>
      </c>
      <c r="F202" s="90">
        <v>1356</v>
      </c>
      <c r="G202" s="58">
        <v>46097</v>
      </c>
      <c r="H202" s="57"/>
      <c r="I202" s="57"/>
    </row>
    <row r="203" spans="1:9" ht="17.25" x14ac:dyDescent="0.3">
      <c r="A203" s="44" t="s">
        <v>47</v>
      </c>
      <c r="B203" s="44" t="s">
        <v>1296</v>
      </c>
      <c r="C203" s="44" t="s">
        <v>1297</v>
      </c>
      <c r="D203" s="44">
        <v>5539668343</v>
      </c>
      <c r="E203" s="44">
        <v>299860</v>
      </c>
      <c r="F203" s="87">
        <v>4951</v>
      </c>
      <c r="G203" s="46">
        <v>46098</v>
      </c>
      <c r="H203" s="44"/>
      <c r="I203" s="44"/>
    </row>
    <row r="204" spans="1:9" ht="17.25" x14ac:dyDescent="0.3">
      <c r="A204" s="74" t="s">
        <v>47</v>
      </c>
      <c r="B204" s="74" t="s">
        <v>1298</v>
      </c>
      <c r="C204" s="74" t="s">
        <v>41</v>
      </c>
      <c r="D204" s="74">
        <v>5626009250</v>
      </c>
      <c r="E204" s="74">
        <v>188125</v>
      </c>
      <c r="F204" s="94">
        <v>7800</v>
      </c>
      <c r="G204" s="75">
        <v>46098</v>
      </c>
      <c r="H204" s="74"/>
      <c r="I204" s="74"/>
    </row>
    <row r="205" spans="1:9" ht="17.25" x14ac:dyDescent="0.3">
      <c r="A205" s="44" t="s">
        <v>47</v>
      </c>
      <c r="B205" s="44" t="s">
        <v>1152</v>
      </c>
      <c r="C205" s="44" t="s">
        <v>41</v>
      </c>
      <c r="D205" s="44">
        <v>5639776529</v>
      </c>
      <c r="E205" s="44">
        <v>187589</v>
      </c>
      <c r="F205" s="87">
        <v>973.88</v>
      </c>
      <c r="G205" s="46">
        <v>46098</v>
      </c>
      <c r="H205" s="44"/>
      <c r="I205" s="44"/>
    </row>
    <row r="206" spans="1:9" ht="17.25" x14ac:dyDescent="0.3">
      <c r="A206" s="74" t="s">
        <v>47</v>
      </c>
      <c r="B206" s="74" t="s">
        <v>1299</v>
      </c>
      <c r="C206" s="74" t="s">
        <v>30</v>
      </c>
      <c r="D206" s="74">
        <v>5545758293</v>
      </c>
      <c r="E206" s="74">
        <v>353314</v>
      </c>
      <c r="F206" s="94">
        <v>6036.32</v>
      </c>
      <c r="G206" s="75">
        <v>46098</v>
      </c>
      <c r="H206" s="74"/>
      <c r="I206" s="74"/>
    </row>
    <row r="207" spans="1:9" ht="17.25" x14ac:dyDescent="0.3">
      <c r="A207" s="76" t="s">
        <v>47</v>
      </c>
      <c r="B207" s="76" t="s">
        <v>1305</v>
      </c>
      <c r="C207" s="76" t="s">
        <v>107</v>
      </c>
      <c r="D207" s="76">
        <v>5627971651</v>
      </c>
      <c r="E207" s="76">
        <v>188296</v>
      </c>
      <c r="F207" s="95">
        <v>216</v>
      </c>
      <c r="G207" s="77">
        <v>46099</v>
      </c>
      <c r="H207" s="76"/>
      <c r="I207" s="76"/>
    </row>
    <row r="208" spans="1:9" ht="17.25" x14ac:dyDescent="0.3">
      <c r="A208" s="44" t="s">
        <v>47</v>
      </c>
      <c r="B208" s="44" t="s">
        <v>1306</v>
      </c>
      <c r="C208" s="44" t="s">
        <v>138</v>
      </c>
      <c r="D208" s="44">
        <v>5583505342</v>
      </c>
      <c r="E208" s="44">
        <v>353473</v>
      </c>
      <c r="F208" s="87">
        <v>4254.99</v>
      </c>
      <c r="G208" s="46">
        <v>46099</v>
      </c>
      <c r="H208" s="44"/>
      <c r="I208" s="44"/>
    </row>
    <row r="209" spans="1:9" ht="17.25" x14ac:dyDescent="0.3">
      <c r="A209" s="76" t="s">
        <v>47</v>
      </c>
      <c r="B209" s="76" t="s">
        <v>1307</v>
      </c>
      <c r="C209" s="76" t="s">
        <v>580</v>
      </c>
      <c r="D209" s="76">
        <v>5513369770</v>
      </c>
      <c r="E209" s="76">
        <v>187535</v>
      </c>
      <c r="F209" s="95">
        <v>4279.99</v>
      </c>
      <c r="G209" s="77">
        <v>46099</v>
      </c>
      <c r="H209" s="76"/>
      <c r="I209" s="76"/>
    </row>
    <row r="210" spans="1:9" ht="17.25" x14ac:dyDescent="0.3">
      <c r="A210" s="74" t="s">
        <v>1322</v>
      </c>
      <c r="B210" s="74" t="s">
        <v>364</v>
      </c>
      <c r="C210" s="74" t="s">
        <v>923</v>
      </c>
      <c r="D210" s="74" t="str">
        <f>IFERROR(VLOOKUP(C210,Base2026!B:D,2,FALSE),"")</f>
        <v/>
      </c>
      <c r="E210" s="74">
        <v>296710</v>
      </c>
      <c r="F210" s="94"/>
      <c r="G210" s="75">
        <v>46101</v>
      </c>
      <c r="H210" s="74" t="s">
        <v>1394</v>
      </c>
      <c r="I210" s="74"/>
    </row>
    <row r="211" spans="1:9" ht="17.25" x14ac:dyDescent="0.3">
      <c r="A211" s="48" t="s">
        <v>47</v>
      </c>
      <c r="B211" s="48" t="s">
        <v>1337</v>
      </c>
      <c r="C211" s="48" t="s">
        <v>1338</v>
      </c>
      <c r="D211" s="48">
        <v>5659164290</v>
      </c>
      <c r="E211" s="48">
        <v>187703</v>
      </c>
      <c r="F211" s="88">
        <v>3730</v>
      </c>
      <c r="G211" s="50">
        <v>46102</v>
      </c>
      <c r="H211" s="48"/>
      <c r="I211" s="48"/>
    </row>
    <row r="212" spans="1:9" ht="17.25" x14ac:dyDescent="0.3">
      <c r="A212" s="44" t="s">
        <v>47</v>
      </c>
      <c r="B212" s="44" t="s">
        <v>120</v>
      </c>
      <c r="C212" s="44" t="str">
        <f>IFERROR(VLOOKUP(B212,Base2026!A:C,2,FALSE),"")</f>
        <v>URBANA IXHUATEPEC</v>
      </c>
      <c r="D212" s="44">
        <f>IFERROR(VLOOKUP(C212,Base2026!B:D,2,FALSE),"")</f>
        <v>5545758293</v>
      </c>
      <c r="E212" s="44">
        <v>188002</v>
      </c>
      <c r="F212" s="87">
        <v>7527.72</v>
      </c>
      <c r="G212" s="46">
        <v>46104</v>
      </c>
      <c r="H212" s="44"/>
      <c r="I212" s="44"/>
    </row>
    <row r="213" spans="1:9" ht="17.25" x14ac:dyDescent="0.3">
      <c r="A213" s="42" t="s">
        <v>47</v>
      </c>
      <c r="B213" s="42" t="s">
        <v>1333</v>
      </c>
      <c r="C213" s="42" t="s">
        <v>1334</v>
      </c>
      <c r="D213" s="42">
        <v>5536645595</v>
      </c>
      <c r="E213" s="42">
        <v>188007</v>
      </c>
      <c r="F213" s="86">
        <v>6906.68</v>
      </c>
      <c r="G213" s="43">
        <v>46104</v>
      </c>
      <c r="H213" s="42"/>
      <c r="I213" s="42"/>
    </row>
    <row r="214" spans="1:9" ht="17.25" x14ac:dyDescent="0.3">
      <c r="A214" s="44" t="s">
        <v>47</v>
      </c>
      <c r="B214" s="44" t="s">
        <v>1332</v>
      </c>
      <c r="C214" s="44" t="s">
        <v>806</v>
      </c>
      <c r="D214" s="44">
        <v>5536687966</v>
      </c>
      <c r="E214" s="44">
        <v>353523</v>
      </c>
      <c r="F214" s="87">
        <v>6948.72</v>
      </c>
      <c r="G214" s="46">
        <v>46104</v>
      </c>
      <c r="H214" s="44"/>
      <c r="I214" s="44"/>
    </row>
    <row r="215" spans="1:9" ht="17.25" x14ac:dyDescent="0.3">
      <c r="A215" s="42" t="s">
        <v>47</v>
      </c>
      <c r="B215" s="42" t="s">
        <v>1335</v>
      </c>
      <c r="C215" s="42" t="s">
        <v>1336</v>
      </c>
      <c r="D215" s="42">
        <v>5537333892</v>
      </c>
      <c r="E215" s="42">
        <v>188010</v>
      </c>
      <c r="F215" s="86">
        <v>7166.04</v>
      </c>
      <c r="G215" s="43">
        <v>46104</v>
      </c>
      <c r="H215" s="42"/>
      <c r="I215" s="42"/>
    </row>
    <row r="216" spans="1:9" ht="17.25" x14ac:dyDescent="0.3">
      <c r="A216" s="44" t="s">
        <v>47</v>
      </c>
      <c r="B216" s="44" t="s">
        <v>1348</v>
      </c>
      <c r="C216" s="44" t="s">
        <v>41</v>
      </c>
      <c r="D216" s="44">
        <v>5585614036</v>
      </c>
      <c r="E216" s="44">
        <v>353871</v>
      </c>
      <c r="F216" s="87">
        <v>2081.04</v>
      </c>
      <c r="G216" s="46">
        <v>46104</v>
      </c>
      <c r="H216" s="44"/>
      <c r="I216" s="44"/>
    </row>
    <row r="217" spans="1:9" ht="17.25" x14ac:dyDescent="0.3">
      <c r="A217" s="44" t="s">
        <v>47</v>
      </c>
      <c r="B217" s="44" t="s">
        <v>1364</v>
      </c>
      <c r="C217" s="44" t="s">
        <v>82</v>
      </c>
      <c r="D217" s="44">
        <v>5560802433</v>
      </c>
      <c r="E217" s="44">
        <v>188045</v>
      </c>
      <c r="F217" s="87">
        <v>2848.68</v>
      </c>
      <c r="G217" s="46">
        <v>46105</v>
      </c>
      <c r="H217" s="44"/>
      <c r="I217" s="44"/>
    </row>
    <row r="218" spans="1:9" ht="17.25" x14ac:dyDescent="0.3">
      <c r="A218" s="60" t="s">
        <v>47</v>
      </c>
      <c r="B218" s="60" t="s">
        <v>1365</v>
      </c>
      <c r="C218" s="60" t="s">
        <v>208</v>
      </c>
      <c r="D218" s="60">
        <v>3522529819</v>
      </c>
      <c r="E218" s="60">
        <v>188838</v>
      </c>
      <c r="F218" s="79">
        <v>1882</v>
      </c>
      <c r="G218" s="69">
        <v>46105</v>
      </c>
      <c r="H218" s="60"/>
      <c r="I218" s="60"/>
    </row>
    <row r="219" spans="1:9" ht="17.25" x14ac:dyDescent="0.3">
      <c r="A219" s="44" t="s">
        <v>47</v>
      </c>
      <c r="B219" s="44" t="s">
        <v>1366</v>
      </c>
      <c r="C219" s="44" t="s">
        <v>74</v>
      </c>
      <c r="D219" s="44">
        <v>5631005965</v>
      </c>
      <c r="E219" s="44">
        <v>300750</v>
      </c>
      <c r="F219" s="87">
        <v>9693</v>
      </c>
      <c r="G219" s="46">
        <v>46105</v>
      </c>
      <c r="H219" s="44"/>
      <c r="I219" s="44"/>
    </row>
    <row r="220" spans="1:9" ht="17.25" x14ac:dyDescent="0.3">
      <c r="A220" s="60" t="s">
        <v>47</v>
      </c>
      <c r="B220" s="60" t="s">
        <v>1367</v>
      </c>
      <c r="C220" s="60" t="s">
        <v>117</v>
      </c>
      <c r="D220" s="60">
        <v>5536692880</v>
      </c>
      <c r="E220" s="60">
        <v>300126</v>
      </c>
      <c r="F220" s="79">
        <v>550</v>
      </c>
      <c r="G220" s="69">
        <v>46105</v>
      </c>
      <c r="H220" s="60"/>
      <c r="I220" s="60"/>
    </row>
    <row r="221" spans="1:9" ht="17.25" x14ac:dyDescent="0.3">
      <c r="A221" s="44" t="s">
        <v>47</v>
      </c>
      <c r="B221" s="44" t="s">
        <v>1368</v>
      </c>
      <c r="C221" s="44" t="s">
        <v>1369</v>
      </c>
      <c r="D221" s="44">
        <v>5529896715</v>
      </c>
      <c r="E221" s="44">
        <v>187542</v>
      </c>
      <c r="F221" s="87">
        <v>11706</v>
      </c>
      <c r="G221" s="46">
        <v>46105</v>
      </c>
      <c r="H221" s="44"/>
      <c r="I221" s="44"/>
    </row>
    <row r="222" spans="1:9" ht="17.25" x14ac:dyDescent="0.3">
      <c r="A222" s="60" t="s">
        <v>47</v>
      </c>
      <c r="B222" s="60" t="s">
        <v>1368</v>
      </c>
      <c r="C222" s="60" t="s">
        <v>1369</v>
      </c>
      <c r="D222" s="60">
        <v>5529896715</v>
      </c>
      <c r="E222" s="60">
        <v>33732</v>
      </c>
      <c r="F222" s="79">
        <v>996</v>
      </c>
      <c r="G222" s="69">
        <v>46105</v>
      </c>
      <c r="H222" s="60"/>
      <c r="I222" s="60"/>
    </row>
    <row r="223" spans="1:9" ht="17.25" x14ac:dyDescent="0.3">
      <c r="A223" s="44" t="s">
        <v>47</v>
      </c>
      <c r="B223" s="44" t="s">
        <v>1370</v>
      </c>
      <c r="C223" s="44" t="s">
        <v>1371</v>
      </c>
      <c r="D223" s="44">
        <v>5546861866</v>
      </c>
      <c r="E223" s="44">
        <v>354063</v>
      </c>
      <c r="F223" s="87">
        <v>4475</v>
      </c>
      <c r="G223" s="46">
        <v>46105</v>
      </c>
      <c r="H223" s="44"/>
      <c r="I223" s="44"/>
    </row>
    <row r="224" spans="1:9" ht="17.25" x14ac:dyDescent="0.3">
      <c r="A224" s="60" t="s">
        <v>47</v>
      </c>
      <c r="B224" s="60" t="s">
        <v>1372</v>
      </c>
      <c r="C224" s="60" t="s">
        <v>1373</v>
      </c>
      <c r="D224" s="60">
        <v>5539486141</v>
      </c>
      <c r="E224" s="60">
        <v>300216</v>
      </c>
      <c r="F224" s="79">
        <v>11360.99</v>
      </c>
      <c r="G224" s="69">
        <v>46105</v>
      </c>
      <c r="H224" s="60"/>
      <c r="I224" s="60"/>
    </row>
    <row r="225" spans="1:9" ht="17.25" x14ac:dyDescent="0.3">
      <c r="A225" s="44" t="s">
        <v>47</v>
      </c>
      <c r="B225" s="44" t="s">
        <v>1372</v>
      </c>
      <c r="C225" s="44" t="s">
        <v>1373</v>
      </c>
      <c r="D225" s="44">
        <v>5539486141</v>
      </c>
      <c r="E225" s="44">
        <v>33791</v>
      </c>
      <c r="F225" s="87">
        <v>872</v>
      </c>
      <c r="G225" s="46">
        <v>46105</v>
      </c>
      <c r="H225" s="44"/>
      <c r="I225" s="44"/>
    </row>
    <row r="226" spans="1:9" ht="17.25" x14ac:dyDescent="0.3">
      <c r="A226" s="42" t="s">
        <v>47</v>
      </c>
      <c r="B226" s="42" t="s">
        <v>1382</v>
      </c>
      <c r="C226" s="42" t="s">
        <v>6</v>
      </c>
      <c r="D226" s="42">
        <v>5566961247</v>
      </c>
      <c r="E226" s="42">
        <v>189096</v>
      </c>
      <c r="F226" s="86">
        <v>10768</v>
      </c>
      <c r="G226" s="43">
        <v>46106</v>
      </c>
      <c r="H226" s="42"/>
      <c r="I226" s="42"/>
    </row>
    <row r="227" spans="1:9" ht="17.25" x14ac:dyDescent="0.3">
      <c r="A227" s="44" t="s">
        <v>47</v>
      </c>
      <c r="B227" s="44" t="s">
        <v>1383</v>
      </c>
      <c r="C227" s="44" t="s">
        <v>1384</v>
      </c>
      <c r="D227" s="44">
        <v>7202610189</v>
      </c>
      <c r="E227" s="44">
        <v>188995</v>
      </c>
      <c r="F227" s="87">
        <v>2500</v>
      </c>
      <c r="G227" s="46">
        <v>46106</v>
      </c>
      <c r="H227" s="44"/>
      <c r="I227" s="44"/>
    </row>
    <row r="228" spans="1:9" ht="17.25" x14ac:dyDescent="0.3">
      <c r="A228" s="42" t="s">
        <v>47</v>
      </c>
      <c r="B228" s="42" t="s">
        <v>1385</v>
      </c>
      <c r="C228" s="42" t="s">
        <v>1386</v>
      </c>
      <c r="D228" s="42">
        <v>5531894140</v>
      </c>
      <c r="E228" s="42">
        <v>300403</v>
      </c>
      <c r="F228" s="86">
        <v>3661.19</v>
      </c>
      <c r="G228" s="43">
        <v>46106</v>
      </c>
      <c r="H228" s="42"/>
      <c r="I228" s="42"/>
    </row>
    <row r="229" spans="1:9" ht="17.25" x14ac:dyDescent="0.3">
      <c r="A229" s="44" t="s">
        <v>47</v>
      </c>
      <c r="B229" s="44" t="s">
        <v>1387</v>
      </c>
      <c r="C229" s="44" t="s">
        <v>511</v>
      </c>
      <c r="D229" s="44">
        <f>IFERROR(VLOOKUP(C229,Base2026!B:D,2,FALSE),"")</f>
        <v>5547956325</v>
      </c>
      <c r="E229" s="44">
        <v>188528</v>
      </c>
      <c r="F229" s="87">
        <v>2011</v>
      </c>
      <c r="G229" s="46">
        <v>46106</v>
      </c>
      <c r="H229" s="44"/>
      <c r="I229" s="44"/>
    </row>
    <row r="230" spans="1:9" ht="17.25" x14ac:dyDescent="0.3">
      <c r="A230" s="42" t="s">
        <v>47</v>
      </c>
      <c r="B230" s="42" t="s">
        <v>1388</v>
      </c>
      <c r="C230" s="42" t="s">
        <v>60</v>
      </c>
      <c r="D230" s="42">
        <v>5591983923</v>
      </c>
      <c r="E230" s="42">
        <v>300842</v>
      </c>
      <c r="F230" s="86">
        <v>4922</v>
      </c>
      <c r="G230" s="43">
        <v>46106</v>
      </c>
      <c r="H230" s="42"/>
      <c r="I230" s="42"/>
    </row>
    <row r="231" spans="1:9" ht="17.25" x14ac:dyDescent="0.3">
      <c r="A231" s="44" t="s">
        <v>47</v>
      </c>
      <c r="B231" s="44" t="s">
        <v>1389</v>
      </c>
      <c r="C231" s="44" t="s">
        <v>41</v>
      </c>
      <c r="D231" s="44">
        <v>7297677630</v>
      </c>
      <c r="E231" s="44">
        <v>189087</v>
      </c>
      <c r="F231" s="87">
        <v>1562</v>
      </c>
      <c r="G231" s="46">
        <v>46106</v>
      </c>
      <c r="H231" s="44"/>
      <c r="I231" s="44"/>
    </row>
    <row r="232" spans="1:9" ht="17.25" x14ac:dyDescent="0.3">
      <c r="A232" s="48" t="s">
        <v>942</v>
      </c>
      <c r="B232" s="48" t="s">
        <v>1392</v>
      </c>
      <c r="C232" s="48" t="s">
        <v>923</v>
      </c>
      <c r="D232" s="48" t="str">
        <f>IFERROR(VLOOKUP(C232,Base2026!B:D,2,FALSE),"")</f>
        <v/>
      </c>
      <c r="E232" s="48">
        <v>296710</v>
      </c>
      <c r="F232" s="88"/>
      <c r="G232" s="50">
        <v>46107</v>
      </c>
      <c r="H232" s="48" t="s">
        <v>1393</v>
      </c>
      <c r="I232" s="48"/>
    </row>
    <row r="233" spans="1:9" ht="17.25" x14ac:dyDescent="0.3">
      <c r="A233" s="51" t="s">
        <v>47</v>
      </c>
      <c r="B233" s="51" t="s">
        <v>1412</v>
      </c>
      <c r="C233" s="51" t="s">
        <v>1413</v>
      </c>
      <c r="D233" s="51">
        <v>5537134469</v>
      </c>
      <c r="E233" s="51">
        <v>187503</v>
      </c>
      <c r="F233" s="68">
        <v>9435</v>
      </c>
      <c r="G233" s="52">
        <v>46108</v>
      </c>
      <c r="H233" s="51"/>
      <c r="I233" s="51"/>
    </row>
    <row r="234" spans="1:9" ht="17.25" x14ac:dyDescent="0.3">
      <c r="A234" s="44" t="s">
        <v>47</v>
      </c>
      <c r="B234" s="44" t="s">
        <v>1415</v>
      </c>
      <c r="C234" s="44" t="s">
        <v>1413</v>
      </c>
      <c r="D234" s="44">
        <v>5537</v>
      </c>
      <c r="E234" s="44"/>
      <c r="F234" s="87"/>
      <c r="G234" s="46">
        <v>46108</v>
      </c>
      <c r="H234" s="44"/>
      <c r="I234" s="44"/>
    </row>
    <row r="235" spans="1:9" ht="17.25" x14ac:dyDescent="0.3">
      <c r="A235" s="60" t="s">
        <v>47</v>
      </c>
      <c r="B235" s="60" t="s">
        <v>1410</v>
      </c>
      <c r="C235" s="60" t="s">
        <v>1411</v>
      </c>
      <c r="D235" s="60">
        <v>5561859505</v>
      </c>
      <c r="E235" s="60">
        <v>301073</v>
      </c>
      <c r="F235" s="79">
        <v>10100</v>
      </c>
      <c r="G235" s="69">
        <v>46111</v>
      </c>
      <c r="H235" s="60"/>
      <c r="I235" s="60"/>
    </row>
    <row r="236" spans="1:9" ht="17.25" x14ac:dyDescent="0.3">
      <c r="A236" s="44" t="s">
        <v>47</v>
      </c>
      <c r="B236" s="44" t="s">
        <v>1410</v>
      </c>
      <c r="C236" s="44" t="s">
        <v>1411</v>
      </c>
      <c r="D236" s="44">
        <v>5561859505</v>
      </c>
      <c r="E236" s="44">
        <v>301072</v>
      </c>
      <c r="F236" s="87">
        <v>450</v>
      </c>
      <c r="G236" s="46">
        <v>46111</v>
      </c>
      <c r="H236" s="44"/>
      <c r="I236" s="44"/>
    </row>
    <row r="237" spans="1:9" ht="17.25" x14ac:dyDescent="0.3">
      <c r="A237" s="60" t="s">
        <v>47</v>
      </c>
      <c r="B237" s="60" t="s">
        <v>310</v>
      </c>
      <c r="C237" s="60" t="str">
        <f>IFERROR(VLOOKUP(B237,Base2026!A:C,2,FALSE),"")</f>
        <v>EJIDOS DE SAN CRISTOBAL</v>
      </c>
      <c r="D237" s="60">
        <f>IFERROR(VLOOKUP(C237,Base2026!B:D,2,FALSE),"")</f>
        <v>5514614910</v>
      </c>
      <c r="E237" s="60">
        <v>301970</v>
      </c>
      <c r="F237" s="79">
        <v>572</v>
      </c>
      <c r="G237" s="69">
        <v>46111</v>
      </c>
      <c r="H237" s="60"/>
      <c r="I237" s="60"/>
    </row>
    <row r="238" spans="1:9" ht="17.25" x14ac:dyDescent="0.3">
      <c r="A238" s="44" t="s">
        <v>47</v>
      </c>
      <c r="B238" s="44" t="s">
        <v>310</v>
      </c>
      <c r="C238" s="44" t="str">
        <f>IFERROR(VLOOKUP(B238,Base2026!A:C,2,FALSE),"")</f>
        <v>EJIDOS DE SAN CRISTOBAL</v>
      </c>
      <c r="D238" s="44">
        <f>IFERROR(VLOOKUP(C238,Base2026!B:D,2,FALSE),"")</f>
        <v>5514614910</v>
      </c>
      <c r="E238" s="44">
        <v>353823</v>
      </c>
      <c r="F238" s="87">
        <v>2765.99</v>
      </c>
      <c r="G238" s="46">
        <v>46111</v>
      </c>
      <c r="H238" s="44"/>
      <c r="I238" s="44"/>
    </row>
    <row r="239" spans="1:9" ht="17.25" x14ac:dyDescent="0.3">
      <c r="A239" s="60" t="s">
        <v>47</v>
      </c>
      <c r="B239" s="60" t="s">
        <v>360</v>
      </c>
      <c r="C239" s="60" t="s">
        <v>361</v>
      </c>
      <c r="D239" s="60">
        <v>5561720540</v>
      </c>
      <c r="E239" s="60">
        <v>189073</v>
      </c>
      <c r="F239" s="79">
        <v>2930</v>
      </c>
      <c r="G239" s="69">
        <v>46111</v>
      </c>
      <c r="H239" s="60"/>
      <c r="I239" s="60"/>
    </row>
    <row r="240" spans="1:9" ht="17.25" x14ac:dyDescent="0.3">
      <c r="A240" s="44" t="s">
        <v>47</v>
      </c>
      <c r="B240" s="44" t="s">
        <v>360</v>
      </c>
      <c r="C240" s="44" t="s">
        <v>361</v>
      </c>
      <c r="D240" s="44">
        <v>5561720540</v>
      </c>
      <c r="E240" s="44">
        <v>33953</v>
      </c>
      <c r="F240" s="87">
        <v>882</v>
      </c>
      <c r="G240" s="46">
        <v>46111</v>
      </c>
      <c r="H240" s="44"/>
      <c r="I240" s="44"/>
    </row>
    <row r="241" spans="1:9" ht="17.25" x14ac:dyDescent="0.3">
      <c r="A241" s="60" t="s">
        <v>47</v>
      </c>
      <c r="B241" s="60" t="s">
        <v>360</v>
      </c>
      <c r="C241" s="60" t="s">
        <v>361</v>
      </c>
      <c r="D241" s="60">
        <v>5561720540</v>
      </c>
      <c r="E241" s="60">
        <v>188676</v>
      </c>
      <c r="F241" s="79">
        <v>7279</v>
      </c>
      <c r="G241" s="69">
        <v>46111</v>
      </c>
      <c r="H241" s="60"/>
      <c r="I241" s="60"/>
    </row>
    <row r="242" spans="1:9" ht="17.25" x14ac:dyDescent="0.3">
      <c r="A242" s="44" t="s">
        <v>47</v>
      </c>
      <c r="B242" s="44" t="s">
        <v>360</v>
      </c>
      <c r="C242" s="44" t="s">
        <v>361</v>
      </c>
      <c r="D242" s="44">
        <v>5561720540</v>
      </c>
      <c r="E242" s="44">
        <v>33899</v>
      </c>
      <c r="F242" s="87">
        <v>1708</v>
      </c>
      <c r="G242" s="46">
        <v>46111</v>
      </c>
      <c r="H242" s="44"/>
      <c r="I242" s="44"/>
    </row>
    <row r="243" spans="1:9" ht="17.25" x14ac:dyDescent="0.3">
      <c r="A243" s="60" t="s">
        <v>47</v>
      </c>
      <c r="B243" s="60" t="s">
        <v>517</v>
      </c>
      <c r="C243" s="60" t="str">
        <f>IFERROR(VLOOKUP(B243,Base2026!A:C,2,FALSE),"")</f>
        <v>MELCHOR OCAMPO</v>
      </c>
      <c r="D243" s="60">
        <f>IFERROR(VLOOKUP(C243,Base2026!B:D,2,FALSE),"")</f>
        <v>5569318105</v>
      </c>
      <c r="E243" s="60">
        <v>300822</v>
      </c>
      <c r="F243" s="79">
        <v>2501.98</v>
      </c>
      <c r="G243" s="69">
        <v>46111</v>
      </c>
      <c r="H243" s="60"/>
      <c r="I243" s="60"/>
    </row>
    <row r="244" spans="1:9" ht="17.25" x14ac:dyDescent="0.3">
      <c r="A244" s="44" t="s">
        <v>47</v>
      </c>
      <c r="B244" s="44" t="s">
        <v>517</v>
      </c>
      <c r="C244" s="44" t="str">
        <f>IFERROR(VLOOKUP(B244,Base2026!A:C,2,FALSE),"")</f>
        <v>MELCHOR OCAMPO</v>
      </c>
      <c r="D244" s="44">
        <f>IFERROR(VLOOKUP(C244,Base2026!B:D,2,FALSE),"")</f>
        <v>5569318105</v>
      </c>
      <c r="E244" s="44">
        <v>300771</v>
      </c>
      <c r="F244" s="87">
        <v>13122.84</v>
      </c>
      <c r="G244" s="46">
        <v>46111</v>
      </c>
      <c r="H244" s="44"/>
      <c r="I244" s="44"/>
    </row>
    <row r="245" spans="1:9" ht="17.25" x14ac:dyDescent="0.3">
      <c r="A245" s="42" t="s">
        <v>47</v>
      </c>
      <c r="B245" s="42" t="s">
        <v>398</v>
      </c>
      <c r="C245" s="42" t="str">
        <f>IFERROR(VLOOKUP(B245,Base2026!A:C,2,FALSE),"")</f>
        <v>FRANCISCO VILLA</v>
      </c>
      <c r="D245" s="42">
        <f>IFERROR(VLOOKUP(C245,Base2026!B:D,2,FALSE),"")</f>
        <v>5535173661</v>
      </c>
      <c r="E245" s="42">
        <v>189427</v>
      </c>
      <c r="F245" s="86">
        <v>793.52</v>
      </c>
      <c r="G245" s="43">
        <v>46112</v>
      </c>
      <c r="H245" s="42"/>
      <c r="I245" s="42"/>
    </row>
    <row r="246" spans="1:9" ht="17.25" x14ac:dyDescent="0.3">
      <c r="A246" s="44" t="s">
        <v>47</v>
      </c>
      <c r="B246" s="44" t="s">
        <v>1432</v>
      </c>
      <c r="C246" s="44" t="s">
        <v>1433</v>
      </c>
      <c r="D246" s="44">
        <v>5521769475</v>
      </c>
      <c r="E246" s="44">
        <v>188095</v>
      </c>
      <c r="F246" s="87">
        <v>16499</v>
      </c>
      <c r="G246" s="46">
        <v>46112</v>
      </c>
      <c r="H246" s="44"/>
      <c r="I246" s="44"/>
    </row>
    <row r="247" spans="1:9" ht="17.25" x14ac:dyDescent="0.3">
      <c r="A247" s="42" t="s">
        <v>47</v>
      </c>
      <c r="B247" s="42" t="s">
        <v>1432</v>
      </c>
      <c r="C247" s="42" t="s">
        <v>1433</v>
      </c>
      <c r="D247" s="42">
        <v>5521769475</v>
      </c>
      <c r="E247" s="42">
        <v>33821</v>
      </c>
      <c r="F247" s="86">
        <v>2474</v>
      </c>
      <c r="G247" s="43">
        <v>46112</v>
      </c>
      <c r="H247" s="42"/>
      <c r="I247" s="42"/>
    </row>
    <row r="248" spans="1:9" ht="17.25" x14ac:dyDescent="0.3">
      <c r="A248" s="44" t="s">
        <v>47</v>
      </c>
      <c r="B248" s="44" t="s">
        <v>1434</v>
      </c>
      <c r="C248" s="44" t="s">
        <v>16</v>
      </c>
      <c r="D248" s="44">
        <v>5518489946</v>
      </c>
      <c r="E248" s="44">
        <v>188674</v>
      </c>
      <c r="F248" s="87">
        <v>14408.19</v>
      </c>
      <c r="G248" s="46">
        <v>46112</v>
      </c>
      <c r="H248" s="44"/>
      <c r="I248" s="44"/>
    </row>
    <row r="249" spans="1:9" ht="17.25" x14ac:dyDescent="0.3">
      <c r="A249" s="42" t="s">
        <v>47</v>
      </c>
      <c r="B249" s="42" t="s">
        <v>1434</v>
      </c>
      <c r="C249" s="42" t="s">
        <v>16</v>
      </c>
      <c r="D249" s="42">
        <v>5518489946</v>
      </c>
      <c r="E249" s="42">
        <v>33898</v>
      </c>
      <c r="F249" s="86">
        <v>3046</v>
      </c>
      <c r="G249" s="43">
        <v>46112</v>
      </c>
      <c r="H249" s="42"/>
      <c r="I249" s="42"/>
    </row>
    <row r="250" spans="1:9" ht="17.25" x14ac:dyDescent="0.3">
      <c r="A250" s="44" t="s">
        <v>47</v>
      </c>
      <c r="B250" s="44" t="s">
        <v>310</v>
      </c>
      <c r="C250" s="44" t="str">
        <f>IFERROR(VLOOKUP(B250,Base2026!A:C,2,FALSE),"")</f>
        <v>EJIDOS DE SAN CRISTOBAL</v>
      </c>
      <c r="D250" s="44">
        <f>IFERROR(VLOOKUP(C250,Base2026!B:D,2,FALSE),"")</f>
        <v>5514614910</v>
      </c>
      <c r="E250" s="44">
        <v>188953</v>
      </c>
      <c r="F250" s="87">
        <v>8444.6299999999992</v>
      </c>
      <c r="G250" s="46">
        <v>46112</v>
      </c>
      <c r="H250" s="44"/>
      <c r="I250" s="44"/>
    </row>
    <row r="251" spans="1:9" ht="17.25" x14ac:dyDescent="0.3">
      <c r="A251" s="48" t="s">
        <v>942</v>
      </c>
      <c r="B251" s="48" t="s">
        <v>1392</v>
      </c>
      <c r="C251" s="48" t="s">
        <v>923</v>
      </c>
      <c r="D251" s="48">
        <v>5540809412</v>
      </c>
      <c r="E251" s="48">
        <v>298263</v>
      </c>
      <c r="F251" s="88">
        <v>154254.74</v>
      </c>
      <c r="G251" s="50">
        <v>46113</v>
      </c>
      <c r="H251" s="48"/>
      <c r="I251" s="48"/>
    </row>
    <row r="252" spans="1:9" ht="17.25" x14ac:dyDescent="0.3">
      <c r="A252" s="44" t="s">
        <v>942</v>
      </c>
      <c r="B252" s="44" t="s">
        <v>1392</v>
      </c>
      <c r="C252" s="44" t="s">
        <v>923</v>
      </c>
      <c r="D252" s="44">
        <v>5540809412</v>
      </c>
      <c r="E252" s="44">
        <v>33300</v>
      </c>
      <c r="F252" s="87">
        <v>32076</v>
      </c>
      <c r="G252" s="46">
        <v>46113</v>
      </c>
      <c r="H252" s="44"/>
      <c r="I252" s="44"/>
    </row>
    <row r="253" spans="1:9" ht="17.25" x14ac:dyDescent="0.3">
      <c r="A253" s="51" t="s">
        <v>47</v>
      </c>
      <c r="B253" s="51" t="s">
        <v>1472</v>
      </c>
      <c r="C253" s="51" t="s">
        <v>1275</v>
      </c>
      <c r="D253" s="51">
        <v>5528255855</v>
      </c>
      <c r="E253" s="51">
        <v>354025</v>
      </c>
      <c r="F253" s="68">
        <v>14736.72</v>
      </c>
      <c r="G253" s="52">
        <v>46114</v>
      </c>
      <c r="H253" s="51" t="s">
        <v>1473</v>
      </c>
      <c r="I253" s="51"/>
    </row>
    <row r="254" spans="1:9" ht="17.25" x14ac:dyDescent="0.3">
      <c r="A254" s="44" t="s">
        <v>47</v>
      </c>
      <c r="B254" s="44" t="s">
        <v>1449</v>
      </c>
      <c r="C254" s="44" t="s">
        <v>285</v>
      </c>
      <c r="D254" s="44">
        <v>5611893754</v>
      </c>
      <c r="E254" s="44">
        <v>189289</v>
      </c>
      <c r="F254" s="87">
        <v>2295.56</v>
      </c>
      <c r="G254" s="46">
        <v>46114</v>
      </c>
      <c r="H254" s="44"/>
      <c r="I254" s="44"/>
    </row>
    <row r="255" spans="1:9" ht="17.25" x14ac:dyDescent="0.3">
      <c r="A255" s="44" t="s">
        <v>47</v>
      </c>
      <c r="B255" s="44" t="s">
        <v>1494</v>
      </c>
      <c r="C255" s="44" t="s">
        <v>1495</v>
      </c>
      <c r="D255" s="44">
        <v>5533237564</v>
      </c>
      <c r="E255" s="44">
        <v>301009</v>
      </c>
      <c r="F255" s="87">
        <v>52709.760000000002</v>
      </c>
      <c r="G255" s="46">
        <v>46119</v>
      </c>
      <c r="H255" s="44"/>
      <c r="I255" s="44"/>
    </row>
    <row r="256" spans="1:9" ht="17.25" x14ac:dyDescent="0.3">
      <c r="A256" s="76" t="s">
        <v>47</v>
      </c>
      <c r="B256" s="76" t="s">
        <v>1494</v>
      </c>
      <c r="C256" s="76" t="s">
        <v>1495</v>
      </c>
      <c r="D256" s="44">
        <v>5533237564</v>
      </c>
      <c r="E256" s="76">
        <v>34187</v>
      </c>
      <c r="F256" s="95">
        <v>240</v>
      </c>
      <c r="G256" s="77">
        <v>46119</v>
      </c>
      <c r="H256" s="76"/>
      <c r="I256" s="76"/>
    </row>
    <row r="257" spans="1:9" ht="17.25" x14ac:dyDescent="0.3">
      <c r="A257" s="44" t="s">
        <v>47</v>
      </c>
      <c r="B257" s="44" t="s">
        <v>131</v>
      </c>
      <c r="C257" s="44" t="str">
        <f>IFERROR(VLOOKUP(B257,Base2026!A:C,2,FALSE),"")</f>
        <v>PRIZO</v>
      </c>
      <c r="D257" s="44">
        <v>5540020170</v>
      </c>
      <c r="E257" s="44">
        <v>189797</v>
      </c>
      <c r="F257" s="87">
        <v>6060</v>
      </c>
      <c r="G257" s="46">
        <v>46120</v>
      </c>
      <c r="H257" s="44"/>
      <c r="I257" s="44"/>
    </row>
    <row r="258" spans="1:9" ht="17.25" x14ac:dyDescent="0.3">
      <c r="A258" s="48" t="s">
        <v>47</v>
      </c>
      <c r="B258" s="48" t="s">
        <v>131</v>
      </c>
      <c r="C258" s="48" t="str">
        <f>IFERROR(VLOOKUP(B258,Base2026!A:C,2,FALSE),"")</f>
        <v>PRIZO</v>
      </c>
      <c r="D258" s="48">
        <f>IFERROR(VLOOKUP(C258,Base2026!B:D,2,FALSE),"")</f>
        <v>5551141444</v>
      </c>
      <c r="E258" s="48">
        <v>34059</v>
      </c>
      <c r="F258" s="88">
        <v>640</v>
      </c>
      <c r="G258" s="50">
        <v>46120</v>
      </c>
      <c r="H258" s="48"/>
      <c r="I258" s="48"/>
    </row>
    <row r="259" spans="1:9" ht="17.25" x14ac:dyDescent="0.3">
      <c r="A259" s="44" t="s">
        <v>47</v>
      </c>
      <c r="B259" s="44" t="s">
        <v>1516</v>
      </c>
      <c r="C259" s="44" t="s">
        <v>68</v>
      </c>
      <c r="D259" s="44">
        <v>5513511613</v>
      </c>
      <c r="E259" s="44">
        <v>190086</v>
      </c>
      <c r="F259" s="87">
        <v>5860.32</v>
      </c>
      <c r="G259" s="46">
        <v>46120</v>
      </c>
      <c r="H259" s="44"/>
      <c r="I259" s="44"/>
    </row>
    <row r="260" spans="1:9" ht="17.25" x14ac:dyDescent="0.3">
      <c r="A260" s="48" t="s">
        <v>47</v>
      </c>
      <c r="B260" s="48" t="s">
        <v>1516</v>
      </c>
      <c r="C260" s="48" t="s">
        <v>68</v>
      </c>
      <c r="D260" s="44">
        <v>5513511613</v>
      </c>
      <c r="E260" s="48">
        <v>190087</v>
      </c>
      <c r="F260" s="88">
        <v>2685</v>
      </c>
      <c r="G260" s="50">
        <v>46120</v>
      </c>
      <c r="H260" s="48"/>
      <c r="I260" s="48"/>
    </row>
    <row r="261" spans="1:9" ht="17.25" x14ac:dyDescent="0.3">
      <c r="A261" s="44" t="s">
        <v>47</v>
      </c>
      <c r="B261" s="44" t="s">
        <v>1205</v>
      </c>
      <c r="C261" s="44" t="s">
        <v>54</v>
      </c>
      <c r="D261" s="44"/>
      <c r="E261" s="44">
        <v>354847</v>
      </c>
      <c r="F261" s="87">
        <v>5910</v>
      </c>
      <c r="G261" s="46">
        <v>46122</v>
      </c>
      <c r="H261" s="44"/>
      <c r="I261" s="44"/>
    </row>
    <row r="262" spans="1:9" ht="17.25" x14ac:dyDescent="0.3">
      <c r="A262" s="57" t="s">
        <v>47</v>
      </c>
      <c r="B262" s="57" t="s">
        <v>1541</v>
      </c>
      <c r="C262" s="57" t="s">
        <v>187</v>
      </c>
      <c r="D262" s="57">
        <v>5546063932</v>
      </c>
      <c r="E262" s="57">
        <v>301864</v>
      </c>
      <c r="F262" s="90">
        <v>1562</v>
      </c>
      <c r="G262" s="58">
        <v>46122</v>
      </c>
      <c r="H262" s="57" t="s">
        <v>1458</v>
      </c>
      <c r="I262" s="57" t="s">
        <v>1542</v>
      </c>
    </row>
    <row r="263" spans="1:9" ht="17.25" x14ac:dyDescent="0.3">
      <c r="A263" s="44" t="s">
        <v>47</v>
      </c>
      <c r="B263" s="44" t="s">
        <v>186</v>
      </c>
      <c r="C263" s="44" t="str">
        <f>IFERROR(VLOOKUP(B263,Base2026!A:C,2,FALSE),"")</f>
        <v>CASAS ALEMAN</v>
      </c>
      <c r="D263" s="44">
        <v>5610944519</v>
      </c>
      <c r="E263" s="44">
        <v>190221</v>
      </c>
      <c r="F263" s="87">
        <v>3900</v>
      </c>
      <c r="G263" s="46">
        <v>46122</v>
      </c>
      <c r="H263" s="44"/>
      <c r="I263" s="44"/>
    </row>
    <row r="264" spans="1:9" ht="17.25" x14ac:dyDescent="0.3">
      <c r="A264" s="57" t="s">
        <v>47</v>
      </c>
      <c r="B264" s="57" t="s">
        <v>186</v>
      </c>
      <c r="C264" s="57" t="str">
        <f>IFERROR(VLOOKUP(B264,Base2026!A:C,2,FALSE),"")</f>
        <v>CASAS ALEMAN</v>
      </c>
      <c r="D264" s="57">
        <f>IFERROR(VLOOKUP(C264,Base2026!B:D,2,FALSE),"")</f>
        <v>5529849094</v>
      </c>
      <c r="E264" s="57">
        <v>34132</v>
      </c>
      <c r="F264" s="90">
        <v>408</v>
      </c>
      <c r="G264" s="58">
        <v>46122</v>
      </c>
      <c r="H264" s="57"/>
      <c r="I264" s="57"/>
    </row>
    <row r="265" spans="1:9" ht="17.25" x14ac:dyDescent="0.3">
      <c r="A265" s="44" t="s">
        <v>47</v>
      </c>
      <c r="B265" s="44" t="s">
        <v>186</v>
      </c>
      <c r="C265" s="44" t="str">
        <f>IFERROR(VLOOKUP(B265,Base2026!A:C,2,FALSE),"")</f>
        <v>CASAS ALEMAN</v>
      </c>
      <c r="D265" s="44">
        <f>IFERROR(VLOOKUP(C265,Base2026!B:D,2,FALSE),"")</f>
        <v>5529849094</v>
      </c>
      <c r="E265" s="44">
        <v>190223</v>
      </c>
      <c r="F265" s="87">
        <v>1916</v>
      </c>
      <c r="G265" s="46">
        <v>46122</v>
      </c>
      <c r="H265" s="44"/>
      <c r="I265" s="44"/>
    </row>
    <row r="266" spans="1:9" ht="17.25" x14ac:dyDescent="0.3">
      <c r="A266" s="57" t="s">
        <v>47</v>
      </c>
      <c r="B266" s="57" t="s">
        <v>186</v>
      </c>
      <c r="C266" s="57" t="str">
        <f>IFERROR(VLOOKUP(B266,Base2026!A:C,2,FALSE),"")</f>
        <v>CASAS ALEMAN</v>
      </c>
      <c r="D266" s="57">
        <f>IFERROR(VLOOKUP(C266,Base2026!B:D,2,FALSE),"")</f>
        <v>5529849094</v>
      </c>
      <c r="E266" s="57">
        <v>34133</v>
      </c>
      <c r="F266" s="90">
        <v>322</v>
      </c>
      <c r="G266" s="58">
        <v>46122</v>
      </c>
      <c r="H266" s="57"/>
      <c r="I266" s="57"/>
    </row>
    <row r="267" spans="1:9" ht="17.25" x14ac:dyDescent="0.3">
      <c r="A267" s="44" t="s">
        <v>47</v>
      </c>
      <c r="B267" s="44" t="s">
        <v>1543</v>
      </c>
      <c r="C267" s="44" t="s">
        <v>68</v>
      </c>
      <c r="D267" s="44">
        <v>5545286813</v>
      </c>
      <c r="E267" s="44">
        <v>301852</v>
      </c>
      <c r="F267" s="87">
        <v>2800</v>
      </c>
      <c r="G267" s="46">
        <v>46122</v>
      </c>
      <c r="H267" s="44"/>
      <c r="I267" s="44"/>
    </row>
    <row r="268" spans="1:9" ht="17.25" x14ac:dyDescent="0.3">
      <c r="A268" s="57" t="s">
        <v>47</v>
      </c>
      <c r="B268" s="57" t="s">
        <v>1303</v>
      </c>
      <c r="C268" s="57" t="s">
        <v>354</v>
      </c>
      <c r="D268" s="57">
        <v>5554572412</v>
      </c>
      <c r="E268" s="57">
        <v>301649</v>
      </c>
      <c r="F268" s="90">
        <v>2452.5500000000002</v>
      </c>
      <c r="G268" s="58">
        <v>46122</v>
      </c>
      <c r="H268" s="57"/>
      <c r="I268" s="57"/>
    </row>
    <row r="269" spans="1:9" ht="17.25" x14ac:dyDescent="0.3">
      <c r="A269" s="44" t="s">
        <v>47</v>
      </c>
      <c r="B269" s="44" t="s">
        <v>1555</v>
      </c>
      <c r="C269" s="44" t="s">
        <v>285</v>
      </c>
      <c r="D269" s="44">
        <v>5545355900</v>
      </c>
      <c r="E269" s="44">
        <v>190522</v>
      </c>
      <c r="F269" s="87">
        <v>3296.64</v>
      </c>
      <c r="G269" s="46">
        <v>46123</v>
      </c>
      <c r="H269" s="44"/>
      <c r="I269" s="44"/>
    </row>
    <row r="270" spans="1:9" ht="17.25" x14ac:dyDescent="0.3">
      <c r="A270" s="60" t="s">
        <v>47</v>
      </c>
      <c r="B270" s="60" t="s">
        <v>1556</v>
      </c>
      <c r="C270" s="60" t="s">
        <v>111</v>
      </c>
      <c r="D270" s="60">
        <v>5539565619</v>
      </c>
      <c r="E270" s="60">
        <v>300765</v>
      </c>
      <c r="F270" s="79">
        <v>11400</v>
      </c>
      <c r="G270" s="69">
        <v>46123</v>
      </c>
      <c r="H270" s="60"/>
      <c r="I270" s="60"/>
    </row>
    <row r="271" spans="1:9" ht="17.25" x14ac:dyDescent="0.3">
      <c r="A271" s="44" t="s">
        <v>47</v>
      </c>
      <c r="B271" s="44" t="s">
        <v>1557</v>
      </c>
      <c r="C271" s="44" t="s">
        <v>113</v>
      </c>
      <c r="D271" s="44">
        <v>5612962917</v>
      </c>
      <c r="E271" s="44">
        <v>354588</v>
      </c>
      <c r="F271" s="87">
        <v>1316.76</v>
      </c>
      <c r="G271" s="46">
        <v>46123</v>
      </c>
      <c r="H271" s="44"/>
      <c r="I271" s="44"/>
    </row>
    <row r="272" spans="1:9" ht="17.25" x14ac:dyDescent="0.3">
      <c r="A272" s="44" t="s">
        <v>47</v>
      </c>
      <c r="B272" s="44" t="s">
        <v>1558</v>
      </c>
      <c r="C272" s="44" t="s">
        <v>43</v>
      </c>
      <c r="D272" s="44">
        <v>5520830299</v>
      </c>
      <c r="E272" s="44">
        <v>354517</v>
      </c>
      <c r="F272" s="87">
        <v>5568</v>
      </c>
      <c r="G272" s="46">
        <v>46125</v>
      </c>
      <c r="H272" s="44"/>
      <c r="I272" s="44"/>
    </row>
    <row r="273" spans="1:9" ht="17.25" x14ac:dyDescent="0.3">
      <c r="A273" s="42" t="s">
        <v>47</v>
      </c>
      <c r="B273" s="42" t="s">
        <v>1558</v>
      </c>
      <c r="C273" s="42" t="s">
        <v>43</v>
      </c>
      <c r="D273" s="42">
        <v>5520830299</v>
      </c>
      <c r="E273" s="42">
        <v>302082</v>
      </c>
      <c r="F273" s="86">
        <v>488</v>
      </c>
      <c r="G273" s="43">
        <v>46125</v>
      </c>
      <c r="H273" s="42"/>
      <c r="I273" s="42"/>
    </row>
    <row r="274" spans="1:9" ht="17.25" x14ac:dyDescent="0.3">
      <c r="A274" s="44" t="s">
        <v>47</v>
      </c>
      <c r="B274" s="44" t="s">
        <v>1574</v>
      </c>
      <c r="C274" s="44" t="s">
        <v>43</v>
      </c>
      <c r="D274" s="44">
        <v>5574209360</v>
      </c>
      <c r="E274" s="44">
        <v>354904</v>
      </c>
      <c r="F274" s="87">
        <v>2955</v>
      </c>
      <c r="G274" s="46">
        <v>46125</v>
      </c>
      <c r="H274" s="44"/>
      <c r="I274" s="44"/>
    </row>
    <row r="275" spans="1:9" ht="17.25" x14ac:dyDescent="0.3">
      <c r="A275" s="42" t="s">
        <v>47</v>
      </c>
      <c r="B275" s="42" t="s">
        <v>270</v>
      </c>
      <c r="C275" s="42" t="s">
        <v>478</v>
      </c>
      <c r="D275" s="42">
        <v>5527842592</v>
      </c>
      <c r="E275" s="42">
        <v>34181</v>
      </c>
      <c r="F275" s="86">
        <v>537</v>
      </c>
      <c r="G275" s="43">
        <v>46125</v>
      </c>
      <c r="H275" s="42"/>
      <c r="I275" s="42"/>
    </row>
    <row r="276" spans="1:9" ht="17.25" x14ac:dyDescent="0.3">
      <c r="A276" s="44" t="s">
        <v>47</v>
      </c>
      <c r="B276" s="44" t="s">
        <v>270</v>
      </c>
      <c r="C276" s="44" t="s">
        <v>478</v>
      </c>
      <c r="D276" s="42">
        <v>5527842592</v>
      </c>
      <c r="E276" s="44">
        <v>190515</v>
      </c>
      <c r="F276" s="87">
        <v>9310</v>
      </c>
      <c r="G276" s="46">
        <v>46125</v>
      </c>
      <c r="H276" s="44"/>
      <c r="I276" s="44"/>
    </row>
    <row r="277" spans="1:9" ht="17.25" x14ac:dyDescent="0.3">
      <c r="A277" s="44" t="s">
        <v>47</v>
      </c>
      <c r="B277" s="44" t="s">
        <v>1544</v>
      </c>
      <c r="C277" s="44" t="s">
        <v>806</v>
      </c>
      <c r="D277" s="44">
        <v>5577936861</v>
      </c>
      <c r="E277" s="44">
        <v>191405</v>
      </c>
      <c r="F277" s="87">
        <v>370</v>
      </c>
      <c r="G277" s="46">
        <v>46127</v>
      </c>
      <c r="H277" s="44"/>
      <c r="I277" s="44"/>
    </row>
    <row r="278" spans="1:9" ht="17.25" x14ac:dyDescent="0.3">
      <c r="A278" s="51" t="s">
        <v>47</v>
      </c>
      <c r="B278" s="51" t="s">
        <v>1544</v>
      </c>
      <c r="C278" s="51" t="s">
        <v>806</v>
      </c>
      <c r="D278" s="44">
        <v>5577936861</v>
      </c>
      <c r="E278" s="51">
        <v>191406</v>
      </c>
      <c r="F278" s="68">
        <v>1177</v>
      </c>
      <c r="G278" s="52">
        <v>46127</v>
      </c>
      <c r="H278" s="51"/>
      <c r="I278" s="51"/>
    </row>
    <row r="279" spans="1:9" ht="17.25" x14ac:dyDescent="0.3">
      <c r="A279" s="44" t="s">
        <v>47</v>
      </c>
      <c r="B279" s="44" t="s">
        <v>1075</v>
      </c>
      <c r="C279" s="44" t="s">
        <v>46</v>
      </c>
      <c r="D279" s="44">
        <v>5577936861</v>
      </c>
      <c r="E279" s="44">
        <v>355261</v>
      </c>
      <c r="F279" s="87">
        <v>595</v>
      </c>
      <c r="G279" s="46">
        <v>46127</v>
      </c>
      <c r="H279" s="44"/>
      <c r="I279" s="44"/>
    </row>
    <row r="280" spans="1:9" ht="17.25" x14ac:dyDescent="0.3">
      <c r="A280" s="51" t="s">
        <v>47</v>
      </c>
      <c r="B280" s="51" t="s">
        <v>1608</v>
      </c>
      <c r="C280" s="51" t="s">
        <v>60</v>
      </c>
      <c r="D280" s="51">
        <v>5558297284</v>
      </c>
      <c r="E280" s="51">
        <v>355214</v>
      </c>
      <c r="F280" s="68">
        <v>595</v>
      </c>
      <c r="G280" s="52">
        <v>46127</v>
      </c>
      <c r="H280" s="51"/>
      <c r="I280" s="51"/>
    </row>
    <row r="281" spans="1:9" ht="17.25" x14ac:dyDescent="0.3">
      <c r="A281" s="44" t="s">
        <v>47</v>
      </c>
      <c r="B281" s="44" t="s">
        <v>925</v>
      </c>
      <c r="C281" s="44" t="str">
        <f>IFERROR(VLOOKUP(B281,Base2026!A:C,2,FALSE),"")</f>
        <v>LAZARO CARDENAS</v>
      </c>
      <c r="D281" s="44">
        <v>5515383507</v>
      </c>
      <c r="E281" s="44">
        <v>190760</v>
      </c>
      <c r="F281" s="87">
        <v>264</v>
      </c>
      <c r="G281" s="46">
        <v>46127</v>
      </c>
      <c r="H281" s="44"/>
      <c r="I281" s="44"/>
    </row>
    <row r="282" spans="1:9" ht="17.25" x14ac:dyDescent="0.3">
      <c r="A282" s="51" t="s">
        <v>47</v>
      </c>
      <c r="B282" s="51" t="s">
        <v>925</v>
      </c>
      <c r="C282" s="51" t="str">
        <f>IFERROR(VLOOKUP(B282,Base2026!A:C,2,FALSE),"")</f>
        <v>LAZARO CARDENAS</v>
      </c>
      <c r="D282" s="44">
        <v>5515383507</v>
      </c>
      <c r="E282" s="51">
        <v>34218</v>
      </c>
      <c r="F282" s="68">
        <v>3320</v>
      </c>
      <c r="G282" s="52">
        <v>46127</v>
      </c>
      <c r="H282" s="51"/>
      <c r="I282" s="51"/>
    </row>
    <row r="283" spans="1:9" ht="17.25" x14ac:dyDescent="0.3">
      <c r="A283" s="64" t="s">
        <v>47</v>
      </c>
      <c r="B283" s="64" t="s">
        <v>1655</v>
      </c>
      <c r="C283" s="64" t="s">
        <v>518</v>
      </c>
      <c r="D283" s="64">
        <f>IFERROR(VLOOKUP(C283,Base2026!B:D,2,FALSE),"")</f>
        <v>5569318105</v>
      </c>
      <c r="E283" s="64">
        <v>302099</v>
      </c>
      <c r="F283" s="91">
        <v>3759.2</v>
      </c>
      <c r="G283" s="82">
        <v>46130</v>
      </c>
      <c r="H283" s="64"/>
      <c r="I283" s="64"/>
    </row>
    <row r="284" spans="1:9" ht="17.25" x14ac:dyDescent="0.3">
      <c r="A284" s="44" t="s">
        <v>47</v>
      </c>
      <c r="B284" s="44" t="s">
        <v>1655</v>
      </c>
      <c r="C284" s="44" t="s">
        <v>518</v>
      </c>
      <c r="D284" s="44">
        <f>IFERROR(VLOOKUP(C284,Base2026!B:D,2,FALSE),"")</f>
        <v>5569318105</v>
      </c>
      <c r="E284" s="44">
        <v>301583</v>
      </c>
      <c r="F284" s="87">
        <v>11626.08</v>
      </c>
      <c r="G284" s="46">
        <v>46221</v>
      </c>
      <c r="H284" s="44"/>
      <c r="I284" s="44"/>
    </row>
    <row r="285" spans="1:9" ht="17.25" x14ac:dyDescent="0.3">
      <c r="A285" s="44" t="s">
        <v>1322</v>
      </c>
      <c r="B285" s="44" t="s">
        <v>1392</v>
      </c>
      <c r="C285" s="44" t="s">
        <v>1998</v>
      </c>
      <c r="D285" s="44" t="s">
        <v>146</v>
      </c>
      <c r="E285" s="44">
        <v>299911</v>
      </c>
      <c r="F285" s="87">
        <v>18578</v>
      </c>
      <c r="G285" s="46">
        <v>46133</v>
      </c>
      <c r="H285" s="44"/>
      <c r="I285" s="44"/>
    </row>
    <row r="286" spans="1:9" ht="17.25" x14ac:dyDescent="0.3">
      <c r="A286" s="51" t="s">
        <v>1322</v>
      </c>
      <c r="B286" s="51" t="s">
        <v>1392</v>
      </c>
      <c r="C286" s="51" t="s">
        <v>1998</v>
      </c>
      <c r="D286" s="51" t="s">
        <v>146</v>
      </c>
      <c r="E286" s="51">
        <v>299918</v>
      </c>
      <c r="F286" s="68">
        <v>64536.01</v>
      </c>
      <c r="G286" s="52">
        <v>46133</v>
      </c>
      <c r="H286" s="51"/>
      <c r="I286" s="51"/>
    </row>
    <row r="287" spans="1:9" ht="17.25" x14ac:dyDescent="0.3">
      <c r="A287" s="44" t="s">
        <v>1322</v>
      </c>
      <c r="B287" s="44" t="s">
        <v>1392</v>
      </c>
      <c r="C287" s="44" t="s">
        <v>1998</v>
      </c>
      <c r="D287" s="44" t="s">
        <v>146</v>
      </c>
      <c r="E287" s="44">
        <v>33782</v>
      </c>
      <c r="F287" s="87">
        <v>20486</v>
      </c>
      <c r="G287" s="46">
        <v>46133</v>
      </c>
      <c r="H287" s="44"/>
      <c r="I287" s="44"/>
    </row>
    <row r="288" spans="1:9" ht="17.25" x14ac:dyDescent="0.3">
      <c r="A288" s="109" t="s">
        <v>47</v>
      </c>
      <c r="B288" s="109" t="s">
        <v>926</v>
      </c>
      <c r="C288" s="109" t="s">
        <v>46</v>
      </c>
      <c r="D288" s="109">
        <v>5557557036</v>
      </c>
      <c r="E288" s="109">
        <v>192051</v>
      </c>
      <c r="F288" s="110">
        <v>3694</v>
      </c>
      <c r="G288" s="111">
        <v>46134</v>
      </c>
      <c r="H288" s="109"/>
      <c r="I288" s="109"/>
    </row>
    <row r="289" spans="1:9" ht="17.25" x14ac:dyDescent="0.3">
      <c r="A289" s="44" t="s">
        <v>47</v>
      </c>
      <c r="B289" s="44" t="s">
        <v>1680</v>
      </c>
      <c r="C289" s="44" t="s">
        <v>1681</v>
      </c>
      <c r="D289" s="44">
        <v>5518264474</v>
      </c>
      <c r="E289" s="44">
        <v>355003</v>
      </c>
      <c r="F289" s="87">
        <v>4376.8900000000003</v>
      </c>
      <c r="G289" s="46">
        <v>46134</v>
      </c>
      <c r="H289" s="44"/>
      <c r="I289" s="44"/>
    </row>
    <row r="290" spans="1:9" ht="17.25" x14ac:dyDescent="0.3">
      <c r="A290" s="109" t="s">
        <v>47</v>
      </c>
      <c r="B290" s="109" t="s">
        <v>1680</v>
      </c>
      <c r="C290" s="109" t="s">
        <v>1681</v>
      </c>
      <c r="D290" s="109">
        <v>5518264474</v>
      </c>
      <c r="E290" s="109">
        <v>355004</v>
      </c>
      <c r="F290" s="110">
        <v>17273.240000000002</v>
      </c>
      <c r="G290" s="111">
        <v>46134</v>
      </c>
      <c r="H290" s="109"/>
      <c r="I290" s="109"/>
    </row>
    <row r="291" spans="1:9" ht="17.25" x14ac:dyDescent="0.3">
      <c r="A291" s="44" t="s">
        <v>47</v>
      </c>
      <c r="B291" s="44" t="s">
        <v>1555</v>
      </c>
      <c r="C291" s="44" t="s">
        <v>84</v>
      </c>
      <c r="D291" s="44">
        <v>5545355900</v>
      </c>
      <c r="E291" s="44">
        <v>34413</v>
      </c>
      <c r="F291" s="87">
        <v>192</v>
      </c>
      <c r="G291" s="46">
        <v>46136</v>
      </c>
      <c r="H291" s="44"/>
      <c r="I291" s="44"/>
    </row>
    <row r="292" spans="1:9" ht="17.25" x14ac:dyDescent="0.3">
      <c r="A292" s="76" t="s">
        <v>47</v>
      </c>
      <c r="B292" s="76" t="s">
        <v>1555</v>
      </c>
      <c r="C292" s="76" t="s">
        <v>84</v>
      </c>
      <c r="D292" s="76">
        <v>5545355900</v>
      </c>
      <c r="E292" s="76">
        <v>191978</v>
      </c>
      <c r="F292" s="95">
        <v>766</v>
      </c>
      <c r="G292" s="77">
        <v>46136</v>
      </c>
      <c r="H292" s="76"/>
      <c r="I292" s="76"/>
    </row>
    <row r="293" spans="1:9" ht="17.25" x14ac:dyDescent="0.3">
      <c r="A293" s="44" t="s">
        <v>47</v>
      </c>
      <c r="B293" s="44" t="s">
        <v>432</v>
      </c>
      <c r="C293" s="44" t="str">
        <f>IFERROR(VLOOKUP(B293,Base2026!A:C,2,FALSE),"")</f>
        <v>HEROES DE INDEPENDENCIA</v>
      </c>
      <c r="D293" s="44">
        <f>IFERROR(VLOOKUP(C293,Base2026!B:D,2,FALSE),"")</f>
        <v>5614639380</v>
      </c>
      <c r="E293" s="44">
        <v>355488</v>
      </c>
      <c r="F293" s="87">
        <v>6366</v>
      </c>
      <c r="G293" s="46">
        <v>46136</v>
      </c>
      <c r="H293" s="44"/>
      <c r="I293" s="44"/>
    </row>
    <row r="294" spans="1:9" ht="17.25" x14ac:dyDescent="0.3">
      <c r="A294" s="76" t="s">
        <v>47</v>
      </c>
      <c r="B294" s="76" t="s">
        <v>432</v>
      </c>
      <c r="C294" s="76" t="str">
        <f>IFERROR(VLOOKUP(B294,Base2026!A:C,2,FALSE),"")</f>
        <v>HEROES DE INDEPENDENCIA</v>
      </c>
      <c r="D294" s="76">
        <f>IFERROR(VLOOKUP(C294,Base2026!B:D,2,FALSE),"")</f>
        <v>5614639380</v>
      </c>
      <c r="E294" s="76">
        <v>302220</v>
      </c>
      <c r="F294" s="95">
        <v>1042</v>
      </c>
      <c r="G294" s="77">
        <v>46136</v>
      </c>
      <c r="H294" s="76"/>
      <c r="I294" s="76"/>
    </row>
    <row r="295" spans="1:9" ht="17.25" x14ac:dyDescent="0.3">
      <c r="A295" s="44" t="s">
        <v>47</v>
      </c>
      <c r="B295" s="44" t="s">
        <v>57</v>
      </c>
      <c r="C295" s="44" t="str">
        <f>IFERROR(VLOOKUP(B295,Base2026!A:C,2,FALSE),"")</f>
        <v>EJE 8</v>
      </c>
      <c r="D295" s="44">
        <f>IFERROR(VLOOKUP(C295,Base2026!B:D,2,FALSE),"")</f>
        <v>0</v>
      </c>
      <c r="E295" s="44">
        <v>302249</v>
      </c>
      <c r="F295" s="87">
        <v>6268.59</v>
      </c>
      <c r="G295" s="46">
        <v>46136</v>
      </c>
      <c r="H295" s="44"/>
      <c r="I295" s="44"/>
    </row>
    <row r="296" spans="1:9" ht="17.25" x14ac:dyDescent="0.3">
      <c r="A296" s="76" t="s">
        <v>47</v>
      </c>
      <c r="B296" s="76" t="s">
        <v>57</v>
      </c>
      <c r="C296" s="76" t="str">
        <f>IFERROR(VLOOKUP(B296,Base2026!A:C,2,FALSE),"")</f>
        <v>EJE 8</v>
      </c>
      <c r="D296" s="76">
        <f>IFERROR(VLOOKUP(C296,Base2026!B:D,2,FALSE),"")</f>
        <v>0</v>
      </c>
      <c r="E296" s="76">
        <v>302379</v>
      </c>
      <c r="F296" s="95">
        <v>6838.32</v>
      </c>
      <c r="G296" s="77">
        <v>46136</v>
      </c>
      <c r="H296" s="76"/>
      <c r="I296" s="76"/>
    </row>
    <row r="297" spans="1:9" ht="17.25" x14ac:dyDescent="0.3">
      <c r="A297" s="44" t="s">
        <v>47</v>
      </c>
      <c r="B297" s="44" t="s">
        <v>57</v>
      </c>
      <c r="C297" s="44" t="str">
        <f>IFERROR(VLOOKUP(B297,Base2026!A:C,2,FALSE),"")</f>
        <v>EJE 8</v>
      </c>
      <c r="D297" s="44">
        <f>IFERROR(VLOOKUP(C297,Base2026!B:D,2,FALSE),"")</f>
        <v>0</v>
      </c>
      <c r="E297" s="44">
        <v>302248</v>
      </c>
      <c r="F297" s="87">
        <v>1504.56</v>
      </c>
      <c r="G297" s="46">
        <v>46136</v>
      </c>
      <c r="H297" s="44"/>
      <c r="I297" s="44"/>
    </row>
    <row r="298" spans="1:9" ht="17.25" x14ac:dyDescent="0.3">
      <c r="A298" s="76" t="s">
        <v>47</v>
      </c>
      <c r="B298" s="76" t="s">
        <v>308</v>
      </c>
      <c r="C298" s="76" t="s">
        <v>648</v>
      </c>
      <c r="D298" s="76">
        <v>5527440379</v>
      </c>
      <c r="E298" s="76">
        <v>191381</v>
      </c>
      <c r="F298" s="95">
        <v>13282.78</v>
      </c>
      <c r="G298" s="77">
        <v>46136</v>
      </c>
      <c r="H298" s="76"/>
      <c r="I298" s="76"/>
    </row>
    <row r="299" spans="1:9" ht="17.25" x14ac:dyDescent="0.3">
      <c r="A299" s="44" t="s">
        <v>47</v>
      </c>
      <c r="B299" s="44" t="s">
        <v>308</v>
      </c>
      <c r="C299" s="44" t="s">
        <v>648</v>
      </c>
      <c r="D299" s="44">
        <v>5527440379</v>
      </c>
      <c r="E299" s="44">
        <v>191382</v>
      </c>
      <c r="F299" s="87">
        <v>2154</v>
      </c>
      <c r="G299" s="46">
        <v>46136</v>
      </c>
      <c r="H299" s="44"/>
      <c r="I299" s="44"/>
    </row>
    <row r="300" spans="1:9" ht="17.25" x14ac:dyDescent="0.3">
      <c r="A300" s="83" t="s">
        <v>942</v>
      </c>
      <c r="B300" s="83" t="s">
        <v>1392</v>
      </c>
      <c r="C300" s="83" t="s">
        <v>1998</v>
      </c>
      <c r="D300" s="83">
        <v>5540809412</v>
      </c>
      <c r="E300" s="83">
        <v>299919</v>
      </c>
      <c r="F300" s="97">
        <v>67683.850000000006</v>
      </c>
      <c r="G300" s="84">
        <v>46137</v>
      </c>
      <c r="H300" s="83"/>
      <c r="I300" s="83"/>
    </row>
    <row r="301" spans="1:9" ht="17.25" x14ac:dyDescent="0.3">
      <c r="A301" s="44" t="s">
        <v>942</v>
      </c>
      <c r="B301" s="44" t="s">
        <v>1392</v>
      </c>
      <c r="C301" s="44" t="s">
        <v>1998</v>
      </c>
      <c r="D301" s="44">
        <v>5540809412</v>
      </c>
      <c r="E301" s="44">
        <v>33779</v>
      </c>
      <c r="F301" s="87">
        <v>19494</v>
      </c>
      <c r="G301" s="46">
        <v>46137</v>
      </c>
      <c r="H301" s="44"/>
      <c r="I301" s="44"/>
    </row>
    <row r="302" spans="1:9" ht="17.25" x14ac:dyDescent="0.3">
      <c r="A302" s="44" t="s">
        <v>47</v>
      </c>
      <c r="B302" s="44" t="s">
        <v>1730</v>
      </c>
      <c r="C302" s="44" t="s">
        <v>1731</v>
      </c>
      <c r="D302" s="44">
        <v>5523722524</v>
      </c>
      <c r="E302" s="44">
        <v>191654</v>
      </c>
      <c r="F302" s="87">
        <v>10980</v>
      </c>
      <c r="G302" s="46">
        <v>46139</v>
      </c>
      <c r="H302" s="44"/>
      <c r="I302" s="44"/>
    </row>
    <row r="303" spans="1:9" ht="17.25" x14ac:dyDescent="0.3">
      <c r="A303" s="51" t="s">
        <v>47</v>
      </c>
      <c r="B303" s="51" t="s">
        <v>1730</v>
      </c>
      <c r="C303" s="51" t="s">
        <v>1731</v>
      </c>
      <c r="D303" s="51">
        <v>5523722524</v>
      </c>
      <c r="E303" s="51">
        <v>191655</v>
      </c>
      <c r="F303" s="68">
        <v>675</v>
      </c>
      <c r="G303" s="52">
        <v>46139</v>
      </c>
      <c r="H303" s="51"/>
      <c r="I303" s="51"/>
    </row>
    <row r="304" spans="1:9" ht="17.25" x14ac:dyDescent="0.3">
      <c r="A304" s="44" t="s">
        <v>47</v>
      </c>
      <c r="B304" s="44" t="s">
        <v>701</v>
      </c>
      <c r="C304" s="44" t="str">
        <f>IFERROR(VLOOKUP(B304,Base2026!A:C,2,FALSE),"")</f>
        <v>ZACUAUTITLAN</v>
      </c>
      <c r="D304" s="44">
        <f>IFERROR(VLOOKUP(C304,Base2026!B:D,2,FALSE),"")</f>
        <v>5523769704</v>
      </c>
      <c r="E304" s="44">
        <v>302549</v>
      </c>
      <c r="F304" s="87">
        <v>1734.16</v>
      </c>
      <c r="G304" s="46">
        <v>46139</v>
      </c>
      <c r="H304" s="44"/>
      <c r="I304" s="44"/>
    </row>
    <row r="305" spans="1:9" ht="17.25" x14ac:dyDescent="0.3">
      <c r="A305" s="51" t="s">
        <v>47</v>
      </c>
      <c r="B305" s="51" t="s">
        <v>701</v>
      </c>
      <c r="C305" s="51" t="str">
        <f>IFERROR(VLOOKUP(B305,Base2026!A:C,2,FALSE),"")</f>
        <v>ZACUAUTITLAN</v>
      </c>
      <c r="D305" s="51">
        <f>IFERROR(VLOOKUP(C305,Base2026!B:D,2,FALSE),"")</f>
        <v>5523769704</v>
      </c>
      <c r="E305" s="51">
        <v>302791</v>
      </c>
      <c r="F305" s="68">
        <v>1190.44</v>
      </c>
      <c r="G305" s="52">
        <v>46139</v>
      </c>
      <c r="H305" s="51"/>
      <c r="I305" s="51"/>
    </row>
    <row r="306" spans="1:9" ht="17.25" x14ac:dyDescent="0.3">
      <c r="A306" s="44" t="s">
        <v>47</v>
      </c>
      <c r="B306" s="44" t="s">
        <v>639</v>
      </c>
      <c r="C306" s="44" t="str">
        <f>IFERROR(VLOOKUP(B306,Base2026!A:C,2,FALSE),"")</f>
        <v>TLATEMPA</v>
      </c>
      <c r="D306" s="44">
        <f>IFERROR(VLOOKUP(C306,Base2026!B:D,2,FALSE),"")</f>
        <v>5583085008</v>
      </c>
      <c r="E306" s="44">
        <v>192287</v>
      </c>
      <c r="F306" s="87">
        <v>1480</v>
      </c>
      <c r="G306" s="46">
        <v>46139</v>
      </c>
      <c r="H306" s="44"/>
      <c r="I306" s="44"/>
    </row>
    <row r="307" spans="1:9" ht="17.25" x14ac:dyDescent="0.3">
      <c r="A307" s="51" t="s">
        <v>47</v>
      </c>
      <c r="B307" s="51" t="s">
        <v>639</v>
      </c>
      <c r="C307" s="51" t="str">
        <f>IFERROR(VLOOKUP(B307,Base2026!A:C,2,FALSE),"")</f>
        <v>TLATEMPA</v>
      </c>
      <c r="D307" s="51">
        <f>IFERROR(VLOOKUP(C307,Base2026!B:D,2,FALSE),"")</f>
        <v>5583085008</v>
      </c>
      <c r="E307" s="51">
        <v>34471</v>
      </c>
      <c r="F307" s="68">
        <v>96</v>
      </c>
      <c r="G307" s="52">
        <v>46139</v>
      </c>
      <c r="H307" s="51"/>
      <c r="I307" s="51"/>
    </row>
    <row r="308" spans="1:9" ht="17.25" x14ac:dyDescent="0.3">
      <c r="A308" s="44" t="s">
        <v>47</v>
      </c>
      <c r="B308" s="44" t="s">
        <v>1716</v>
      </c>
      <c r="C308" s="44" t="s">
        <v>1717</v>
      </c>
      <c r="D308" s="44">
        <v>5587099449</v>
      </c>
      <c r="E308" s="44">
        <v>302122</v>
      </c>
      <c r="F308" s="87">
        <v>4239</v>
      </c>
      <c r="G308" s="46">
        <v>46139</v>
      </c>
      <c r="H308" s="44"/>
      <c r="I308" s="44"/>
    </row>
    <row r="309" spans="1:9" ht="17.25" x14ac:dyDescent="0.3">
      <c r="A309" s="51" t="s">
        <v>47</v>
      </c>
      <c r="B309" s="51" t="s">
        <v>1716</v>
      </c>
      <c r="C309" s="51" t="s">
        <v>1717</v>
      </c>
      <c r="D309" s="51">
        <v>5587099449</v>
      </c>
      <c r="E309" s="51">
        <v>302123</v>
      </c>
      <c r="F309" s="68">
        <v>670</v>
      </c>
      <c r="G309" s="52">
        <v>46139</v>
      </c>
      <c r="H309" s="51"/>
      <c r="I309" s="51"/>
    </row>
    <row r="310" spans="1:9" ht="17.25" x14ac:dyDescent="0.3">
      <c r="A310" s="44" t="s">
        <v>47</v>
      </c>
      <c r="B310" s="44" t="s">
        <v>1716</v>
      </c>
      <c r="C310" s="44" t="s">
        <v>1717</v>
      </c>
      <c r="D310" s="44">
        <v>5587099449</v>
      </c>
      <c r="E310" s="44">
        <v>34292</v>
      </c>
      <c r="F310" s="87">
        <v>780</v>
      </c>
      <c r="G310" s="46">
        <v>46139</v>
      </c>
      <c r="H310" s="44"/>
      <c r="I310" s="44"/>
    </row>
    <row r="311" spans="1:9" ht="17.25" x14ac:dyDescent="0.3">
      <c r="A311" s="51" t="s">
        <v>47</v>
      </c>
      <c r="B311" s="51" t="s">
        <v>1716</v>
      </c>
      <c r="C311" s="51" t="s">
        <v>1717</v>
      </c>
      <c r="D311" s="51">
        <v>5587099449</v>
      </c>
      <c r="E311" s="51">
        <v>302121</v>
      </c>
      <c r="F311" s="68">
        <v>3727</v>
      </c>
      <c r="G311" s="52">
        <v>46139</v>
      </c>
      <c r="H311" s="51"/>
      <c r="I311" s="51"/>
    </row>
    <row r="312" spans="1:9" ht="17.25" x14ac:dyDescent="0.3">
      <c r="A312" s="44" t="s">
        <v>47</v>
      </c>
      <c r="B312" s="44" t="s">
        <v>1716</v>
      </c>
      <c r="C312" s="44" t="s">
        <v>1717</v>
      </c>
      <c r="D312" s="44">
        <v>5587099449</v>
      </c>
      <c r="E312" s="44">
        <v>342294</v>
      </c>
      <c r="F312" s="87">
        <v>460</v>
      </c>
      <c r="G312" s="46">
        <v>46139</v>
      </c>
      <c r="H312" s="44"/>
      <c r="I312" s="44"/>
    </row>
    <row r="313" spans="1:9" ht="17.25" x14ac:dyDescent="0.3">
      <c r="A313" s="51" t="s">
        <v>47</v>
      </c>
      <c r="B313" s="51" t="s">
        <v>1716</v>
      </c>
      <c r="C313" s="51" t="s">
        <v>1717</v>
      </c>
      <c r="D313" s="51">
        <v>5587099449</v>
      </c>
      <c r="E313" s="51">
        <v>302124</v>
      </c>
      <c r="F313" s="68">
        <v>3402</v>
      </c>
      <c r="G313" s="52">
        <v>46139</v>
      </c>
      <c r="H313" s="51"/>
      <c r="I313" s="51"/>
    </row>
    <row r="314" spans="1:9" ht="17.25" x14ac:dyDescent="0.3">
      <c r="A314" s="44" t="s">
        <v>47</v>
      </c>
      <c r="B314" s="44" t="s">
        <v>1738</v>
      </c>
      <c r="C314" s="44" t="s">
        <v>825</v>
      </c>
      <c r="D314" s="44">
        <v>5615788406</v>
      </c>
      <c r="E314" s="44">
        <v>355990</v>
      </c>
      <c r="F314" s="87">
        <v>9760</v>
      </c>
      <c r="G314" s="46">
        <v>46139</v>
      </c>
      <c r="H314" s="44"/>
      <c r="I314" s="44"/>
    </row>
    <row r="315" spans="1:9" ht="17.25" x14ac:dyDescent="0.3">
      <c r="A315" s="44" t="s">
        <v>47</v>
      </c>
      <c r="B315" s="44" t="s">
        <v>1744</v>
      </c>
      <c r="C315" s="44" t="s">
        <v>1151</v>
      </c>
      <c r="D315" s="44">
        <v>5516804643</v>
      </c>
      <c r="E315" s="44">
        <v>302438</v>
      </c>
      <c r="F315" s="87">
        <v>17511.990000000002</v>
      </c>
      <c r="G315" s="46">
        <v>46141</v>
      </c>
      <c r="H315" s="44"/>
      <c r="I315" s="44"/>
    </row>
    <row r="316" spans="1:9" ht="17.25" x14ac:dyDescent="0.3">
      <c r="A316" s="57" t="s">
        <v>47</v>
      </c>
      <c r="B316" s="57" t="s">
        <v>1744</v>
      </c>
      <c r="C316" s="57" t="s">
        <v>1151</v>
      </c>
      <c r="D316" s="57">
        <v>5516804643</v>
      </c>
      <c r="E316" s="57">
        <v>34368</v>
      </c>
      <c r="F316" s="90">
        <v>4588</v>
      </c>
      <c r="G316" s="58">
        <v>46141</v>
      </c>
      <c r="H316" s="57"/>
      <c r="I316" s="57"/>
    </row>
    <row r="317" spans="1:9" ht="17.25" x14ac:dyDescent="0.3">
      <c r="A317" s="44" t="s">
        <v>47</v>
      </c>
      <c r="B317" s="44" t="s">
        <v>1744</v>
      </c>
      <c r="C317" s="44" t="s">
        <v>1151</v>
      </c>
      <c r="D317" s="44">
        <v>5516804643</v>
      </c>
      <c r="E317" s="44">
        <v>302606</v>
      </c>
      <c r="F317" s="87">
        <v>3590</v>
      </c>
      <c r="G317" s="46">
        <v>46141</v>
      </c>
      <c r="H317" s="44"/>
      <c r="I317" s="44"/>
    </row>
    <row r="318" spans="1:9" ht="17.25" x14ac:dyDescent="0.3">
      <c r="A318" s="57" t="s">
        <v>47</v>
      </c>
      <c r="B318" s="57" t="s">
        <v>1744</v>
      </c>
      <c r="C318" s="57" t="s">
        <v>1151</v>
      </c>
      <c r="D318" s="57">
        <v>5516804643</v>
      </c>
      <c r="E318" s="57">
        <v>34421</v>
      </c>
      <c r="F318" s="90">
        <v>434</v>
      </c>
      <c r="G318" s="58">
        <v>46141</v>
      </c>
      <c r="H318" s="57"/>
      <c r="I318" s="57"/>
    </row>
    <row r="319" spans="1:9" ht="17.25" x14ac:dyDescent="0.3">
      <c r="A319" s="44" t="s">
        <v>47</v>
      </c>
      <c r="B319" s="44" t="s">
        <v>1761</v>
      </c>
      <c r="C319" s="44" t="s">
        <v>1762</v>
      </c>
      <c r="D319" s="44">
        <v>7771201133</v>
      </c>
      <c r="E319" s="44">
        <v>302072</v>
      </c>
      <c r="F319" s="87">
        <v>189024</v>
      </c>
      <c r="G319" s="46">
        <v>46144</v>
      </c>
      <c r="H319" s="44"/>
      <c r="I319" s="44"/>
    </row>
    <row r="320" spans="1:9" ht="17.25" x14ac:dyDescent="0.3">
      <c r="A320" s="60" t="s">
        <v>47</v>
      </c>
      <c r="B320" s="60" t="s">
        <v>1773</v>
      </c>
      <c r="C320" s="60" t="s">
        <v>125</v>
      </c>
      <c r="D320" s="60">
        <v>5560668313</v>
      </c>
      <c r="E320" s="60">
        <v>355618</v>
      </c>
      <c r="F320" s="79">
        <v>10101.870000000001</v>
      </c>
      <c r="G320" s="69">
        <v>46146</v>
      </c>
      <c r="H320" s="60"/>
      <c r="I320" s="60"/>
    </row>
    <row r="321" spans="1:9" ht="17.25" x14ac:dyDescent="0.3">
      <c r="A321" s="44" t="s">
        <v>47</v>
      </c>
      <c r="B321" s="44" t="s">
        <v>1774</v>
      </c>
      <c r="C321" s="44" t="s">
        <v>306</v>
      </c>
      <c r="D321" s="44">
        <v>5512762501</v>
      </c>
      <c r="E321" s="44">
        <v>192650</v>
      </c>
      <c r="F321" s="87">
        <v>2790.79</v>
      </c>
      <c r="G321" s="46">
        <v>46146</v>
      </c>
      <c r="H321" s="44"/>
      <c r="I321" s="44"/>
    </row>
    <row r="322" spans="1:9" ht="17.25" x14ac:dyDescent="0.3">
      <c r="A322" s="60" t="s">
        <v>47</v>
      </c>
      <c r="B322" s="60" t="s">
        <v>1624</v>
      </c>
      <c r="C322" s="60" t="s">
        <v>144</v>
      </c>
      <c r="D322" s="60">
        <v>5535078507</v>
      </c>
      <c r="E322" s="60">
        <v>192666</v>
      </c>
      <c r="F322" s="79">
        <v>2812</v>
      </c>
      <c r="G322" s="69">
        <v>46146</v>
      </c>
      <c r="H322" s="60"/>
      <c r="I322" s="60"/>
    </row>
    <row r="323" spans="1:9" ht="17.25" x14ac:dyDescent="0.3">
      <c r="A323" s="44" t="s">
        <v>47</v>
      </c>
      <c r="B323" s="44" t="s">
        <v>1624</v>
      </c>
      <c r="C323" s="44" t="s">
        <v>144</v>
      </c>
      <c r="D323" s="44">
        <v>5535078507</v>
      </c>
      <c r="E323" s="44">
        <v>34511</v>
      </c>
      <c r="F323" s="87">
        <v>30</v>
      </c>
      <c r="G323" s="46">
        <v>46146</v>
      </c>
      <c r="H323" s="44"/>
      <c r="I323" s="44"/>
    </row>
    <row r="324" spans="1:9" ht="17.25" x14ac:dyDescent="0.3">
      <c r="A324" s="60" t="s">
        <v>47</v>
      </c>
      <c r="B324" s="60" t="s">
        <v>1624</v>
      </c>
      <c r="C324" s="60" t="s">
        <v>144</v>
      </c>
      <c r="D324" s="60">
        <v>5535078507</v>
      </c>
      <c r="E324" s="60">
        <v>192665</v>
      </c>
      <c r="F324" s="79">
        <v>4590</v>
      </c>
      <c r="G324" s="69">
        <v>46146</v>
      </c>
      <c r="H324" s="60"/>
      <c r="I324" s="60"/>
    </row>
    <row r="325" spans="1:9" ht="17.25" x14ac:dyDescent="0.3">
      <c r="A325" s="44" t="s">
        <v>47</v>
      </c>
      <c r="B325" s="44" t="s">
        <v>1775</v>
      </c>
      <c r="C325" s="44" t="s">
        <v>1776</v>
      </c>
      <c r="D325" s="44">
        <v>5543048375</v>
      </c>
      <c r="E325" s="44">
        <v>34565</v>
      </c>
      <c r="F325" s="87">
        <v>425</v>
      </c>
      <c r="G325" s="46">
        <v>46146</v>
      </c>
      <c r="H325" s="44" t="s">
        <v>1458</v>
      </c>
      <c r="I325" s="44" t="s">
        <v>1533</v>
      </c>
    </row>
    <row r="326" spans="1:9" ht="17.25" x14ac:dyDescent="0.3">
      <c r="A326" s="60" t="s">
        <v>47</v>
      </c>
      <c r="B326" s="60" t="s">
        <v>1775</v>
      </c>
      <c r="C326" s="60" t="s">
        <v>1776</v>
      </c>
      <c r="D326" s="60">
        <v>5543048375</v>
      </c>
      <c r="E326" s="60">
        <v>34564</v>
      </c>
      <c r="F326" s="79">
        <v>6419.12</v>
      </c>
      <c r="G326" s="69">
        <v>46146</v>
      </c>
      <c r="H326" s="60"/>
      <c r="I326" s="60"/>
    </row>
    <row r="327" spans="1:9" ht="17.25" x14ac:dyDescent="0.3">
      <c r="A327" s="44" t="s">
        <v>47</v>
      </c>
      <c r="B327" s="44" t="s">
        <v>1775</v>
      </c>
      <c r="C327" s="44" t="s">
        <v>1776</v>
      </c>
      <c r="D327" s="44">
        <v>5543048375</v>
      </c>
      <c r="E327" s="44">
        <v>34563</v>
      </c>
      <c r="F327" s="87">
        <v>2885</v>
      </c>
      <c r="G327" s="46">
        <v>46146</v>
      </c>
      <c r="H327" s="44"/>
      <c r="I327" s="44"/>
    </row>
    <row r="328" spans="1:9" ht="17.25" x14ac:dyDescent="0.3">
      <c r="A328" s="60" t="s">
        <v>47</v>
      </c>
      <c r="B328" s="60" t="s">
        <v>1775</v>
      </c>
      <c r="C328" s="60" t="s">
        <v>1776</v>
      </c>
      <c r="D328" s="60">
        <v>5543048375</v>
      </c>
      <c r="E328" s="60">
        <v>193054</v>
      </c>
      <c r="F328" s="79">
        <v>3040</v>
      </c>
      <c r="G328" s="69">
        <v>46146</v>
      </c>
      <c r="H328" s="60"/>
      <c r="I328" s="60"/>
    </row>
    <row r="329" spans="1:9" ht="17.25" x14ac:dyDescent="0.3">
      <c r="A329" s="44" t="s">
        <v>47</v>
      </c>
      <c r="B329" s="44" t="s">
        <v>261</v>
      </c>
      <c r="C329" s="44" t="s">
        <v>183</v>
      </c>
      <c r="D329" s="44">
        <v>5545307626</v>
      </c>
      <c r="E329" s="44">
        <v>302975</v>
      </c>
      <c r="F329" s="87">
        <v>5121.83</v>
      </c>
      <c r="G329" s="46">
        <v>46146</v>
      </c>
      <c r="H329" s="44"/>
      <c r="I329" s="44"/>
    </row>
    <row r="330" spans="1:9" ht="17.25" x14ac:dyDescent="0.3">
      <c r="A330" s="60" t="s">
        <v>47</v>
      </c>
      <c r="B330" s="60" t="s">
        <v>1171</v>
      </c>
      <c r="C330" s="60" t="s">
        <v>1777</v>
      </c>
      <c r="D330" s="60">
        <v>5534234252</v>
      </c>
      <c r="E330" s="60">
        <v>191799</v>
      </c>
      <c r="F330" s="79">
        <v>17102.990000000002</v>
      </c>
      <c r="G330" s="69">
        <v>46146</v>
      </c>
      <c r="H330" s="60"/>
      <c r="I330" s="60"/>
    </row>
    <row r="331" spans="1:9" ht="17.25" x14ac:dyDescent="0.3">
      <c r="A331" s="44" t="s">
        <v>47</v>
      </c>
      <c r="B331" s="44" t="s">
        <v>1171</v>
      </c>
      <c r="C331" s="44" t="s">
        <v>1777</v>
      </c>
      <c r="D331" s="44">
        <v>3334234252</v>
      </c>
      <c r="E331" s="44">
        <v>34386</v>
      </c>
      <c r="F331" s="87">
        <v>2960</v>
      </c>
      <c r="G331" s="46">
        <v>46146</v>
      </c>
      <c r="H331" s="44"/>
      <c r="I331" s="44"/>
    </row>
    <row r="332" spans="1:9" ht="17.25" x14ac:dyDescent="0.3">
      <c r="A332" s="51" t="s">
        <v>47</v>
      </c>
      <c r="B332" s="51" t="s">
        <v>1787</v>
      </c>
      <c r="C332" s="51" t="s">
        <v>1788</v>
      </c>
      <c r="D332" s="51">
        <v>5545758293</v>
      </c>
      <c r="E332" s="51">
        <v>303215</v>
      </c>
      <c r="F332" s="68">
        <v>3700.08</v>
      </c>
      <c r="G332" s="52">
        <v>46147</v>
      </c>
      <c r="H332" s="51"/>
      <c r="I332" s="51"/>
    </row>
    <row r="333" spans="1:9" ht="17.25" x14ac:dyDescent="0.3">
      <c r="A333" s="44" t="s">
        <v>47</v>
      </c>
      <c r="B333" s="44" t="s">
        <v>1641</v>
      </c>
      <c r="C333" s="44" t="s">
        <v>336</v>
      </c>
      <c r="D333" s="44">
        <v>5527577305</v>
      </c>
      <c r="E333" s="44">
        <v>192820</v>
      </c>
      <c r="F333" s="85">
        <v>1410.64</v>
      </c>
      <c r="G333" s="46">
        <v>46147</v>
      </c>
      <c r="H333" s="44"/>
      <c r="I333" s="44"/>
    </row>
    <row r="334" spans="1:9" ht="17.25" x14ac:dyDescent="0.3">
      <c r="A334" s="51" t="s">
        <v>47</v>
      </c>
      <c r="B334" s="51" t="s">
        <v>1641</v>
      </c>
      <c r="C334" s="51" t="s">
        <v>336</v>
      </c>
      <c r="D334" s="51">
        <v>5527577305</v>
      </c>
      <c r="E334" s="51">
        <v>193062</v>
      </c>
      <c r="F334" s="68">
        <v>233</v>
      </c>
      <c r="G334" s="52">
        <v>46147</v>
      </c>
      <c r="H334" s="51"/>
      <c r="I334" s="51"/>
    </row>
    <row r="335" spans="1:9" ht="17.25" x14ac:dyDescent="0.3">
      <c r="A335" s="44" t="s">
        <v>47</v>
      </c>
      <c r="B335" s="44" t="s">
        <v>1641</v>
      </c>
      <c r="C335" s="44" t="s">
        <v>336</v>
      </c>
      <c r="D335" s="44">
        <v>5527577305</v>
      </c>
      <c r="E335" s="44">
        <v>193061</v>
      </c>
      <c r="F335" s="85">
        <v>1013.48</v>
      </c>
      <c r="G335" s="46">
        <v>46147</v>
      </c>
      <c r="H335" s="44"/>
      <c r="I335" s="44"/>
    </row>
    <row r="336" spans="1:9" ht="17.25" x14ac:dyDescent="0.3">
      <c r="A336" s="51" t="s">
        <v>47</v>
      </c>
      <c r="B336" s="51" t="s">
        <v>537</v>
      </c>
      <c r="C336" s="51" t="s">
        <v>538</v>
      </c>
      <c r="D336" s="51">
        <v>5541813683</v>
      </c>
      <c r="E336" s="51">
        <v>192630</v>
      </c>
      <c r="F336" s="68">
        <v>3983.99</v>
      </c>
      <c r="G336" s="52">
        <v>46147</v>
      </c>
      <c r="H336" s="51"/>
      <c r="I336" s="51"/>
    </row>
    <row r="337" spans="1:9" ht="17.25" x14ac:dyDescent="0.3">
      <c r="A337" s="44" t="s">
        <v>47</v>
      </c>
      <c r="B337" s="44" t="s">
        <v>537</v>
      </c>
      <c r="C337" s="44" t="s">
        <v>538</v>
      </c>
      <c r="D337" s="44">
        <v>5541813683</v>
      </c>
      <c r="E337" s="44">
        <v>34507</v>
      </c>
      <c r="F337" s="85">
        <v>1166</v>
      </c>
      <c r="G337" s="46">
        <v>46147</v>
      </c>
      <c r="H337" s="44"/>
      <c r="I337" s="44"/>
    </row>
    <row r="338" spans="1:9" ht="17.25" x14ac:dyDescent="0.3">
      <c r="A338" s="51" t="s">
        <v>47</v>
      </c>
      <c r="B338" s="51" t="s">
        <v>537</v>
      </c>
      <c r="C338" s="51" t="s">
        <v>538</v>
      </c>
      <c r="D338" s="51">
        <v>5541813683</v>
      </c>
      <c r="E338" s="51">
        <v>356374</v>
      </c>
      <c r="F338" s="68">
        <v>3694</v>
      </c>
      <c r="G338" s="52">
        <v>46147</v>
      </c>
      <c r="H338" s="51"/>
      <c r="I338" s="51"/>
    </row>
    <row r="339" spans="1:9" ht="17.25" x14ac:dyDescent="0.3">
      <c r="A339" s="44" t="s">
        <v>47</v>
      </c>
      <c r="B339" s="44" t="s">
        <v>230</v>
      </c>
      <c r="C339" s="44" t="s">
        <v>152</v>
      </c>
      <c r="D339" s="44">
        <v>5554171386</v>
      </c>
      <c r="E339" s="44">
        <v>303450</v>
      </c>
      <c r="F339" s="87">
        <v>6129</v>
      </c>
      <c r="G339" s="46">
        <v>46147</v>
      </c>
      <c r="H339" s="44" t="s">
        <v>1458</v>
      </c>
      <c r="I339" s="44" t="s">
        <v>1766</v>
      </c>
    </row>
    <row r="340" spans="1:9" ht="17.25" x14ac:dyDescent="0.3">
      <c r="A340" s="51" t="s">
        <v>47</v>
      </c>
      <c r="B340" s="51" t="s">
        <v>1791</v>
      </c>
      <c r="C340" s="51" t="s">
        <v>152</v>
      </c>
      <c r="D340" s="51">
        <v>5540194335</v>
      </c>
      <c r="E340" s="51">
        <v>356550</v>
      </c>
      <c r="F340" s="68">
        <v>738</v>
      </c>
      <c r="G340" s="52">
        <v>46147</v>
      </c>
      <c r="H340" s="51"/>
      <c r="I340" s="51"/>
    </row>
    <row r="341" spans="1:9" ht="17.25" x14ac:dyDescent="0.3">
      <c r="A341" s="60" t="s">
        <v>47</v>
      </c>
      <c r="B341" s="60" t="s">
        <v>1796</v>
      </c>
      <c r="C341" s="60" t="s">
        <v>806</v>
      </c>
      <c r="D341" s="60">
        <v>5544410345</v>
      </c>
      <c r="E341" s="60">
        <v>302005</v>
      </c>
      <c r="F341" s="79">
        <v>120720.21</v>
      </c>
      <c r="G341" s="69">
        <v>46148</v>
      </c>
      <c r="H341" s="60"/>
      <c r="I341" s="60"/>
    </row>
    <row r="342" spans="1:9" ht="17.25" x14ac:dyDescent="0.3">
      <c r="A342" s="44" t="s">
        <v>47</v>
      </c>
      <c r="B342" s="44" t="s">
        <v>1796</v>
      </c>
      <c r="C342" s="44" t="s">
        <v>806</v>
      </c>
      <c r="D342" s="44">
        <v>5544410345</v>
      </c>
      <c r="E342" s="44">
        <v>302005</v>
      </c>
      <c r="F342" s="87"/>
      <c r="G342" s="46">
        <v>46148</v>
      </c>
      <c r="H342" s="44"/>
      <c r="I342" s="44"/>
    </row>
    <row r="343" spans="1:9" ht="17.25" x14ac:dyDescent="0.3">
      <c r="A343" s="60" t="s">
        <v>47</v>
      </c>
      <c r="B343" s="60" t="s">
        <v>1797</v>
      </c>
      <c r="C343" s="60" t="s">
        <v>806</v>
      </c>
      <c r="D343" s="60">
        <v>5575687120</v>
      </c>
      <c r="E343" s="60">
        <v>303345</v>
      </c>
      <c r="F343" s="79">
        <v>17000</v>
      </c>
      <c r="G343" s="69">
        <v>46148</v>
      </c>
      <c r="H343" s="60" t="s">
        <v>1458</v>
      </c>
      <c r="I343" s="60" t="s">
        <v>1798</v>
      </c>
    </row>
    <row r="344" spans="1:9" ht="17.25" x14ac:dyDescent="0.3">
      <c r="A344" s="51" t="s">
        <v>47</v>
      </c>
      <c r="B344" s="51" t="s">
        <v>1812</v>
      </c>
      <c r="C344" s="51" t="s">
        <v>43</v>
      </c>
      <c r="D344" s="51">
        <v>5515018339</v>
      </c>
      <c r="E344" s="51">
        <v>193525</v>
      </c>
      <c r="F344" s="68">
        <v>3290</v>
      </c>
      <c r="G344" s="52">
        <v>46149</v>
      </c>
      <c r="H344" s="51"/>
      <c r="I344" s="51"/>
    </row>
    <row r="345" spans="1:9" ht="17.25" x14ac:dyDescent="0.3">
      <c r="A345" s="44" t="s">
        <v>47</v>
      </c>
      <c r="B345" s="44" t="s">
        <v>1813</v>
      </c>
      <c r="C345" s="44" t="s">
        <v>631</v>
      </c>
      <c r="D345" s="44">
        <v>5523788617</v>
      </c>
      <c r="E345" s="44">
        <v>193515</v>
      </c>
      <c r="F345" s="85">
        <v>942</v>
      </c>
      <c r="G345" s="46">
        <v>46149</v>
      </c>
      <c r="H345" s="44"/>
      <c r="I345" s="44"/>
    </row>
    <row r="346" spans="1:9" ht="17.25" x14ac:dyDescent="0.3">
      <c r="A346" s="51" t="s">
        <v>47</v>
      </c>
      <c r="B346" s="51" t="s">
        <v>1814</v>
      </c>
      <c r="C346" s="51" t="s">
        <v>458</v>
      </c>
      <c r="D346" s="51">
        <v>5574123805</v>
      </c>
      <c r="E346" s="51">
        <v>356042</v>
      </c>
      <c r="F346" s="68">
        <v>15667.17</v>
      </c>
      <c r="G346" s="52">
        <v>46149</v>
      </c>
      <c r="H346" s="51"/>
      <c r="I346" s="51"/>
    </row>
    <row r="347" spans="1:9" ht="17.25" x14ac:dyDescent="0.3">
      <c r="A347" s="44" t="s">
        <v>47</v>
      </c>
      <c r="B347" s="44" t="s">
        <v>1814</v>
      </c>
      <c r="C347" s="44" t="s">
        <v>458</v>
      </c>
      <c r="D347" s="44">
        <v>5574123805</v>
      </c>
      <c r="E347" s="44">
        <v>356043</v>
      </c>
      <c r="F347" s="85">
        <v>1529</v>
      </c>
      <c r="G347" s="46">
        <v>46149</v>
      </c>
      <c r="H347" s="44"/>
      <c r="I347" s="44"/>
    </row>
    <row r="348" spans="1:9" ht="17.25" x14ac:dyDescent="0.3">
      <c r="A348" s="51" t="s">
        <v>47</v>
      </c>
      <c r="B348" s="51" t="s">
        <v>1814</v>
      </c>
      <c r="C348" s="51" t="s">
        <v>458</v>
      </c>
      <c r="D348" s="51">
        <v>5574123805</v>
      </c>
      <c r="E348" s="51">
        <v>192685</v>
      </c>
      <c r="F348" s="68">
        <v>932</v>
      </c>
      <c r="G348" s="52">
        <v>46149</v>
      </c>
      <c r="H348" s="51"/>
      <c r="I348" s="51"/>
    </row>
    <row r="349" spans="1:9" ht="17.25" x14ac:dyDescent="0.3">
      <c r="A349" s="44" t="s">
        <v>47</v>
      </c>
      <c r="B349" s="44" t="s">
        <v>271</v>
      </c>
      <c r="C349" s="44" t="str">
        <f>IFERROR(VLOOKUP(B349,Base2026!A:C,2,FALSE),"")</f>
        <v>POLIGONO 5</v>
      </c>
      <c r="D349" s="44">
        <f>IFERROR(VLOOKUP(C349,Base2026!B:D,2,FALSE),"")</f>
        <v>5535892760</v>
      </c>
      <c r="E349" s="44">
        <v>302316</v>
      </c>
      <c r="F349" s="85">
        <v>946</v>
      </c>
      <c r="G349" s="46">
        <v>46149</v>
      </c>
      <c r="H349" s="44"/>
      <c r="I349" s="44"/>
    </row>
    <row r="350" spans="1:9" ht="17.25" x14ac:dyDescent="0.3">
      <c r="A350" s="51" t="s">
        <v>47</v>
      </c>
      <c r="B350" s="51" t="s">
        <v>271</v>
      </c>
      <c r="C350" s="51" t="str">
        <f>IFERROR(VLOOKUP(B350,Base2026!A:C,2,FALSE),"")</f>
        <v>POLIGONO 5</v>
      </c>
      <c r="D350" s="51">
        <f>IFERROR(VLOOKUP(C350,Base2026!B:D,2,FALSE),"")</f>
        <v>5535892760</v>
      </c>
      <c r="E350" s="51">
        <v>356257</v>
      </c>
      <c r="F350" s="68">
        <v>4252</v>
      </c>
      <c r="G350" s="52">
        <v>46149</v>
      </c>
      <c r="H350" s="51"/>
      <c r="I350" s="51"/>
    </row>
    <row r="351" spans="1:9" ht="17.25" x14ac:dyDescent="0.3">
      <c r="A351" s="44" t="s">
        <v>47</v>
      </c>
      <c r="B351" s="44" t="s">
        <v>1824</v>
      </c>
      <c r="C351" s="44" t="s">
        <v>806</v>
      </c>
      <c r="D351" s="44">
        <v>5516443874</v>
      </c>
      <c r="E351" s="44">
        <v>303027</v>
      </c>
      <c r="F351" s="87">
        <v>11671.5</v>
      </c>
      <c r="G351" s="46">
        <v>46150</v>
      </c>
      <c r="H351" s="44"/>
      <c r="I351" s="44"/>
    </row>
    <row r="352" spans="1:9" ht="17.25" x14ac:dyDescent="0.3">
      <c r="A352" s="74" t="s">
        <v>47</v>
      </c>
      <c r="B352" s="74" t="s">
        <v>1817</v>
      </c>
      <c r="C352" s="74" t="s">
        <v>456</v>
      </c>
      <c r="D352" s="74">
        <f>IFERROR(VLOOKUP(C352,Base2026!B:D,2,FALSE),"")</f>
        <v>5529503930</v>
      </c>
      <c r="E352" s="74">
        <v>192292</v>
      </c>
      <c r="F352" s="94">
        <v>16119.99</v>
      </c>
      <c r="G352" s="75">
        <v>46150</v>
      </c>
      <c r="H352" s="74"/>
      <c r="I352" s="74"/>
    </row>
    <row r="353" spans="1:9" ht="17.25" x14ac:dyDescent="0.3">
      <c r="A353" s="44" t="s">
        <v>47</v>
      </c>
      <c r="B353" s="44" t="s">
        <v>1817</v>
      </c>
      <c r="C353" s="44" t="s">
        <v>456</v>
      </c>
      <c r="D353" s="44">
        <f>IFERROR(VLOOKUP(C353,Base2026!B:D,2,FALSE),"")</f>
        <v>5529503930</v>
      </c>
      <c r="E353" s="44">
        <v>34470</v>
      </c>
      <c r="F353" s="87">
        <v>2082</v>
      </c>
      <c r="G353" s="46">
        <v>46150</v>
      </c>
      <c r="H353" s="44"/>
      <c r="I353" s="44"/>
    </row>
    <row r="354" spans="1:9" ht="17.25" x14ac:dyDescent="0.3">
      <c r="A354" s="44" t="s">
        <v>47</v>
      </c>
      <c r="B354" s="44" t="s">
        <v>1845</v>
      </c>
      <c r="C354" s="44" t="s">
        <v>306</v>
      </c>
      <c r="D354" s="44">
        <v>5533352197</v>
      </c>
      <c r="E354" s="44">
        <v>302887</v>
      </c>
      <c r="F354" s="87">
        <v>27942.95</v>
      </c>
      <c r="G354" s="46">
        <v>46151</v>
      </c>
      <c r="H354" s="44"/>
      <c r="I354" s="44"/>
    </row>
    <row r="355" spans="1:9" ht="17.25" x14ac:dyDescent="0.3">
      <c r="A355" s="103" t="s">
        <v>47</v>
      </c>
      <c r="B355" s="103" t="s">
        <v>521</v>
      </c>
      <c r="C355" s="103" t="s">
        <v>816</v>
      </c>
      <c r="D355" s="103">
        <v>528013590</v>
      </c>
      <c r="E355" s="103">
        <v>193253</v>
      </c>
      <c r="F355" s="104">
        <v>5138</v>
      </c>
      <c r="G355" s="105">
        <v>46151</v>
      </c>
      <c r="H355" s="103"/>
      <c r="I355" s="103"/>
    </row>
    <row r="356" spans="1:9" ht="17.25" x14ac:dyDescent="0.3">
      <c r="A356" s="44" t="s">
        <v>47</v>
      </c>
      <c r="B356" s="44" t="s">
        <v>521</v>
      </c>
      <c r="C356" s="44" t="s">
        <v>1630</v>
      </c>
      <c r="D356" s="44">
        <v>528013590</v>
      </c>
      <c r="E356" s="44">
        <v>34601</v>
      </c>
      <c r="F356" s="87">
        <v>772</v>
      </c>
      <c r="G356" s="46">
        <v>46151</v>
      </c>
      <c r="H356" s="44"/>
      <c r="I356" s="44"/>
    </row>
    <row r="357" spans="1:9" ht="17.25" x14ac:dyDescent="0.3">
      <c r="A357" s="103" t="s">
        <v>47</v>
      </c>
      <c r="B357" s="103" t="s">
        <v>1049</v>
      </c>
      <c r="C357" s="103" t="s">
        <v>1846</v>
      </c>
      <c r="D357" s="103">
        <v>5545163219</v>
      </c>
      <c r="E357" s="103">
        <v>34492</v>
      </c>
      <c r="F357" s="104">
        <v>682</v>
      </c>
      <c r="G357" s="105">
        <v>46151</v>
      </c>
      <c r="H357" s="103"/>
      <c r="I357" s="103"/>
    </row>
    <row r="358" spans="1:9" ht="17.25" x14ac:dyDescent="0.3">
      <c r="A358" s="44" t="s">
        <v>47</v>
      </c>
      <c r="B358" s="44" t="s">
        <v>1049</v>
      </c>
      <c r="C358" s="44" t="s">
        <v>1846</v>
      </c>
      <c r="D358" s="44">
        <v>5545163219</v>
      </c>
      <c r="E358" s="44">
        <v>192546</v>
      </c>
      <c r="F358" s="85">
        <v>6593</v>
      </c>
      <c r="G358" s="46">
        <v>46151</v>
      </c>
      <c r="H358" s="44"/>
      <c r="I358" s="44"/>
    </row>
    <row r="359" spans="1:9" ht="17.25" x14ac:dyDescent="0.3">
      <c r="A359" s="115" t="s">
        <v>47</v>
      </c>
      <c r="B359" s="115" t="s">
        <v>1049</v>
      </c>
      <c r="C359" s="115" t="s">
        <v>1846</v>
      </c>
      <c r="D359" s="115">
        <v>5545163219</v>
      </c>
      <c r="E359" s="115">
        <v>192547</v>
      </c>
      <c r="F359" s="116">
        <v>325</v>
      </c>
      <c r="G359" s="117">
        <v>46151</v>
      </c>
      <c r="H359" s="115"/>
      <c r="I359" s="115"/>
    </row>
    <row r="360" spans="1:9" ht="17.25" x14ac:dyDescent="0.3">
      <c r="A360" s="48" t="s">
        <v>47</v>
      </c>
      <c r="B360" s="48" t="s">
        <v>1862</v>
      </c>
      <c r="C360" s="48" t="s">
        <v>1863</v>
      </c>
      <c r="D360" s="48">
        <v>5613221228</v>
      </c>
      <c r="E360" s="48">
        <v>303872</v>
      </c>
      <c r="F360" s="88">
        <v>14848</v>
      </c>
      <c r="G360" s="50">
        <v>46154</v>
      </c>
      <c r="H360" s="48" t="s">
        <v>1874</v>
      </c>
      <c r="I360" s="48"/>
    </row>
    <row r="361" spans="1:9" ht="17.25" x14ac:dyDescent="0.3">
      <c r="A361" s="44" t="s">
        <v>47</v>
      </c>
      <c r="B361" s="44" t="s">
        <v>1865</v>
      </c>
      <c r="C361" s="44" t="s">
        <v>1866</v>
      </c>
      <c r="D361" s="44">
        <v>5536791358</v>
      </c>
      <c r="E361" s="44">
        <v>303391</v>
      </c>
      <c r="F361" s="87">
        <v>17026</v>
      </c>
      <c r="G361" s="46">
        <v>46154</v>
      </c>
      <c r="H361" s="44"/>
      <c r="I361" s="44"/>
    </row>
    <row r="362" spans="1:9" ht="17.25" x14ac:dyDescent="0.3">
      <c r="A362" s="44" t="s">
        <v>47</v>
      </c>
      <c r="B362" s="44" t="s">
        <v>121</v>
      </c>
      <c r="C362" s="44" t="s">
        <v>1889</v>
      </c>
      <c r="D362" s="44">
        <v>5612852406</v>
      </c>
      <c r="E362" s="44">
        <v>355613</v>
      </c>
      <c r="F362" s="87">
        <v>3284</v>
      </c>
      <c r="G362" s="46">
        <v>46155</v>
      </c>
      <c r="H362" s="44" t="s">
        <v>1869</v>
      </c>
      <c r="I362" s="44">
        <v>1</v>
      </c>
    </row>
    <row r="363" spans="1:9" ht="17.25" x14ac:dyDescent="0.3">
      <c r="A363" s="44" t="s">
        <v>47</v>
      </c>
      <c r="B363" s="44" t="s">
        <v>121</v>
      </c>
      <c r="C363" s="44" t="s">
        <v>1889</v>
      </c>
      <c r="D363" s="44">
        <v>5612852406</v>
      </c>
      <c r="E363" s="44">
        <v>192069</v>
      </c>
      <c r="F363" s="87">
        <v>3600</v>
      </c>
      <c r="G363" s="46">
        <v>46155</v>
      </c>
      <c r="H363" s="44" t="s">
        <v>1890</v>
      </c>
      <c r="I363" s="44">
        <v>1</v>
      </c>
    </row>
    <row r="364" spans="1:9" ht="17.25" x14ac:dyDescent="0.3">
      <c r="A364" s="109" t="s">
        <v>47</v>
      </c>
      <c r="B364" s="109" t="s">
        <v>1544</v>
      </c>
      <c r="C364" s="109" t="s">
        <v>1893</v>
      </c>
      <c r="D364" s="109">
        <v>5577936861</v>
      </c>
      <c r="E364" s="109">
        <v>356909</v>
      </c>
      <c r="F364" s="110">
        <v>555</v>
      </c>
      <c r="G364" s="111">
        <v>46155</v>
      </c>
      <c r="H364" s="109"/>
      <c r="I364" s="109"/>
    </row>
    <row r="365" spans="1:9" ht="17.25" x14ac:dyDescent="0.3">
      <c r="A365" s="109" t="s">
        <v>47</v>
      </c>
      <c r="B365" s="109" t="s">
        <v>1544</v>
      </c>
      <c r="C365" s="109" t="s">
        <v>1893</v>
      </c>
      <c r="D365" s="109">
        <v>5577936861</v>
      </c>
      <c r="E365" s="109">
        <v>356908</v>
      </c>
      <c r="F365" s="110">
        <v>916</v>
      </c>
      <c r="G365" s="111">
        <v>46156</v>
      </c>
      <c r="H365" s="109" t="s">
        <v>1461</v>
      </c>
      <c r="I365" s="109"/>
    </row>
    <row r="366" spans="1:9" ht="17.25" x14ac:dyDescent="0.3">
      <c r="A366" s="44" t="s">
        <v>47</v>
      </c>
      <c r="B366" s="44" t="s">
        <v>1894</v>
      </c>
      <c r="C366" s="44" t="s">
        <v>306</v>
      </c>
      <c r="D366" s="44">
        <v>5533352197</v>
      </c>
      <c r="E366" s="44">
        <v>303630</v>
      </c>
      <c r="F366" s="87">
        <v>11970</v>
      </c>
      <c r="G366" s="46">
        <v>46155</v>
      </c>
      <c r="H366" s="44"/>
      <c r="I366" s="44"/>
    </row>
    <row r="367" spans="1:9" ht="17.25" x14ac:dyDescent="0.3">
      <c r="A367" s="109" t="s">
        <v>47</v>
      </c>
      <c r="B367" s="109" t="s">
        <v>1895</v>
      </c>
      <c r="C367" s="109" t="s">
        <v>41</v>
      </c>
      <c r="D367" s="109">
        <v>4425655168</v>
      </c>
      <c r="E367" s="109">
        <v>356805</v>
      </c>
      <c r="F367" s="110">
        <v>1719</v>
      </c>
      <c r="G367" s="111">
        <v>46155</v>
      </c>
      <c r="H367" s="109"/>
      <c r="I367" s="109"/>
    </row>
    <row r="368" spans="1:9" ht="17.25" x14ac:dyDescent="0.3">
      <c r="A368" s="44" t="s">
        <v>47</v>
      </c>
      <c r="B368" s="44" t="s">
        <v>1896</v>
      </c>
      <c r="C368" s="44" t="s">
        <v>1897</v>
      </c>
      <c r="D368" s="44">
        <v>5540305931</v>
      </c>
      <c r="E368" s="44">
        <v>303259</v>
      </c>
      <c r="F368" s="87">
        <v>27393</v>
      </c>
      <c r="G368" s="46">
        <v>46155</v>
      </c>
      <c r="H368" s="44"/>
      <c r="I368" s="44"/>
    </row>
    <row r="369" spans="1:9" ht="17.25" x14ac:dyDescent="0.3">
      <c r="A369" s="109" t="s">
        <v>47</v>
      </c>
      <c r="B369" s="109" t="s">
        <v>1896</v>
      </c>
      <c r="C369" s="109" t="s">
        <v>1897</v>
      </c>
      <c r="D369" s="109">
        <v>5540305931</v>
      </c>
      <c r="E369" s="109">
        <v>303258</v>
      </c>
      <c r="F369" s="110">
        <v>1560</v>
      </c>
      <c r="G369" s="111">
        <v>46155</v>
      </c>
      <c r="H369" s="109"/>
      <c r="I369" s="109"/>
    </row>
    <row r="370" spans="1:9" ht="17.25" x14ac:dyDescent="0.3">
      <c r="A370" s="44" t="s">
        <v>47</v>
      </c>
      <c r="B370" s="44" t="s">
        <v>1896</v>
      </c>
      <c r="C370" s="44" t="s">
        <v>1897</v>
      </c>
      <c r="D370" s="44">
        <v>5540305931</v>
      </c>
      <c r="E370" s="44">
        <v>303259</v>
      </c>
      <c r="F370" s="87">
        <v>10944</v>
      </c>
      <c r="G370" s="46">
        <v>46155</v>
      </c>
      <c r="H370" s="44"/>
      <c r="I370" s="44"/>
    </row>
    <row r="371" spans="1:9" ht="17.25" x14ac:dyDescent="0.3">
      <c r="A371" s="76" t="s">
        <v>47</v>
      </c>
      <c r="B371" s="76" t="s">
        <v>1907</v>
      </c>
      <c r="C371" s="76" t="s">
        <v>1876</v>
      </c>
      <c r="D371" s="76">
        <v>5517459767</v>
      </c>
      <c r="E371" s="76">
        <v>356990</v>
      </c>
      <c r="F371" s="95">
        <v>6300</v>
      </c>
      <c r="G371" s="77">
        <v>46156</v>
      </c>
      <c r="H371" s="76" t="s">
        <v>1911</v>
      </c>
      <c r="I371" s="76">
        <v>7</v>
      </c>
    </row>
    <row r="372" spans="1:9" ht="17.25" x14ac:dyDescent="0.3">
      <c r="A372" s="44" t="s">
        <v>47</v>
      </c>
      <c r="B372" s="44" t="s">
        <v>872</v>
      </c>
      <c r="C372" s="44" t="s">
        <v>1908</v>
      </c>
      <c r="D372" s="44">
        <v>5528812468</v>
      </c>
      <c r="E372" s="44">
        <v>304191</v>
      </c>
      <c r="F372" s="87">
        <v>12999</v>
      </c>
      <c r="G372" s="53">
        <v>46156</v>
      </c>
      <c r="H372" s="44"/>
      <c r="I372" s="44"/>
    </row>
    <row r="373" spans="1:9" ht="17.25" x14ac:dyDescent="0.3">
      <c r="A373" s="76" t="s">
        <v>47</v>
      </c>
      <c r="B373" s="76" t="s">
        <v>1909</v>
      </c>
      <c r="C373" s="76" t="s">
        <v>1910</v>
      </c>
      <c r="D373" s="76">
        <v>5536645595</v>
      </c>
      <c r="E373" s="76">
        <v>193869</v>
      </c>
      <c r="F373" s="95">
        <v>10145</v>
      </c>
      <c r="G373" s="77">
        <v>46156</v>
      </c>
      <c r="H373" s="76"/>
      <c r="I373" s="76"/>
    </row>
    <row r="374" spans="1:9" ht="17.25" x14ac:dyDescent="0.3">
      <c r="A374" s="112" t="s">
        <v>47</v>
      </c>
      <c r="B374" s="112" t="s">
        <v>1935</v>
      </c>
      <c r="C374" s="112" t="s">
        <v>1936</v>
      </c>
      <c r="D374" s="112">
        <v>5514672368</v>
      </c>
      <c r="E374" s="112">
        <v>194409</v>
      </c>
      <c r="F374" s="113">
        <v>1672</v>
      </c>
      <c r="G374" s="114">
        <v>46157</v>
      </c>
      <c r="H374" s="112"/>
      <c r="I374" s="112"/>
    </row>
    <row r="375" spans="1:9" ht="17.25" x14ac:dyDescent="0.3">
      <c r="A375" s="44" t="s">
        <v>47</v>
      </c>
      <c r="B375" s="44" t="s">
        <v>1937</v>
      </c>
      <c r="C375" s="44" t="s">
        <v>1938</v>
      </c>
      <c r="D375" s="44">
        <v>5515369770</v>
      </c>
      <c r="E375" s="44">
        <v>356458</v>
      </c>
      <c r="F375" s="87">
        <v>7946</v>
      </c>
      <c r="G375" s="46">
        <v>46157</v>
      </c>
      <c r="H375" s="44"/>
      <c r="I375" s="44"/>
    </row>
    <row r="376" spans="1:9" ht="17.25" x14ac:dyDescent="0.3">
      <c r="A376" s="112" t="s">
        <v>47</v>
      </c>
      <c r="B376" s="112" t="s">
        <v>1921</v>
      </c>
      <c r="C376" s="112" t="s">
        <v>1939</v>
      </c>
      <c r="D376" s="112">
        <v>5529570508</v>
      </c>
      <c r="E376" s="112">
        <v>303718</v>
      </c>
      <c r="F376" s="113">
        <v>8524</v>
      </c>
      <c r="G376" s="114">
        <v>46157</v>
      </c>
      <c r="H376" s="112"/>
      <c r="I376" s="112"/>
    </row>
    <row r="377" spans="1:9" ht="17.25" x14ac:dyDescent="0.3">
      <c r="A377" s="44" t="s">
        <v>47</v>
      </c>
      <c r="B377" s="44" t="s">
        <v>1940</v>
      </c>
      <c r="C377" s="44" t="s">
        <v>1939</v>
      </c>
      <c r="D377" s="44">
        <v>5529570508</v>
      </c>
      <c r="E377" s="44">
        <v>303716</v>
      </c>
      <c r="F377" s="87">
        <v>8208</v>
      </c>
      <c r="G377" s="46">
        <v>46157</v>
      </c>
      <c r="H377" s="44"/>
      <c r="I377" s="44"/>
    </row>
    <row r="378" spans="1:9" ht="17.25" x14ac:dyDescent="0.3">
      <c r="A378" s="112" t="s">
        <v>47</v>
      </c>
      <c r="B378" s="112" t="s">
        <v>1941</v>
      </c>
      <c r="C378" s="112" t="s">
        <v>390</v>
      </c>
      <c r="D378" s="112"/>
      <c r="E378" s="112">
        <v>303701</v>
      </c>
      <c r="F378" s="113">
        <v>6863</v>
      </c>
      <c r="G378" s="114">
        <v>46157</v>
      </c>
      <c r="H378" s="112"/>
      <c r="I378" s="112"/>
    </row>
    <row r="379" spans="1:9" ht="17.25" x14ac:dyDescent="0.3">
      <c r="A379" s="44" t="s">
        <v>47</v>
      </c>
      <c r="B379" s="44" t="s">
        <v>1942</v>
      </c>
      <c r="C379" s="44" t="s">
        <v>1943</v>
      </c>
      <c r="D379" s="44">
        <v>5548548167</v>
      </c>
      <c r="E379" s="44">
        <v>303818</v>
      </c>
      <c r="F379" s="87">
        <v>16958</v>
      </c>
      <c r="G379" s="46">
        <v>46157</v>
      </c>
      <c r="H379" s="44"/>
      <c r="I379" s="44"/>
    </row>
    <row r="380" spans="1:9" ht="17.25" x14ac:dyDescent="0.3">
      <c r="A380" s="60" t="s">
        <v>47</v>
      </c>
      <c r="B380" s="60" t="s">
        <v>1967</v>
      </c>
      <c r="C380" s="60" t="s">
        <v>1968</v>
      </c>
      <c r="D380" s="60">
        <v>5596905099</v>
      </c>
      <c r="E380" s="60">
        <v>194476</v>
      </c>
      <c r="F380" s="79">
        <v>3486</v>
      </c>
      <c r="G380" s="69">
        <v>46158</v>
      </c>
      <c r="H380" s="60"/>
      <c r="I380" s="60"/>
    </row>
    <row r="381" spans="1:9" ht="17.25" x14ac:dyDescent="0.3">
      <c r="A381" s="44" t="s">
        <v>47</v>
      </c>
      <c r="B381" s="44" t="s">
        <v>1969</v>
      </c>
      <c r="C381" s="44" t="s">
        <v>1970</v>
      </c>
      <c r="D381" s="44">
        <v>5541796866</v>
      </c>
      <c r="E381" s="44">
        <v>304088</v>
      </c>
      <c r="F381" s="87">
        <v>1583</v>
      </c>
      <c r="G381" s="46">
        <v>46158</v>
      </c>
      <c r="H381" s="44"/>
      <c r="I381" s="44"/>
    </row>
  </sheetData>
  <mergeCells count="3">
    <mergeCell ref="A1:B1"/>
    <mergeCell ref="C1:I5"/>
    <mergeCell ref="A3:B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B12BF-E8CC-4515-962D-A6E472191070}">
  <sheetPr codeName="Hoja5"/>
  <dimension ref="A1:J1407"/>
  <sheetViews>
    <sheetView topLeftCell="B1" workbookViewId="0">
      <selection activeCell="I110" sqref="I110"/>
    </sheetView>
  </sheetViews>
  <sheetFormatPr baseColWidth="10" defaultRowHeight="15" x14ac:dyDescent="0.25"/>
  <cols>
    <col min="1" max="1" width="48.5703125" bestFit="1" customWidth="1"/>
    <col min="2" max="2" width="14.140625" bestFit="1" customWidth="1"/>
    <col min="3" max="3" width="37.5703125" bestFit="1" customWidth="1"/>
    <col min="4" max="4" width="20" bestFit="1" customWidth="1"/>
    <col min="5" max="5" width="24.42578125" bestFit="1" customWidth="1"/>
    <col min="6" max="6" width="22.85546875" bestFit="1" customWidth="1"/>
    <col min="7" max="7" width="19" customWidth="1"/>
    <col min="8" max="8" width="15.140625" bestFit="1" customWidth="1"/>
    <col min="9" max="9" width="18.28515625" bestFit="1" customWidth="1"/>
  </cols>
  <sheetData>
    <row r="1" spans="1:10" x14ac:dyDescent="0.25">
      <c r="A1" s="164" t="s">
        <v>2010</v>
      </c>
      <c r="B1" s="165"/>
      <c r="C1" s="165"/>
      <c r="D1" s="165"/>
      <c r="E1" s="165"/>
      <c r="F1" s="165"/>
    </row>
    <row r="2" spans="1:10" x14ac:dyDescent="0.25">
      <c r="A2" s="165"/>
      <c r="B2" s="165"/>
      <c r="C2" s="165"/>
      <c r="D2" s="165"/>
      <c r="E2" s="165"/>
      <c r="F2" s="165"/>
    </row>
    <row r="3" spans="1:10" x14ac:dyDescent="0.25">
      <c r="A3" s="165"/>
      <c r="B3" s="165"/>
      <c r="C3" s="165"/>
      <c r="D3" s="165"/>
      <c r="E3" s="165"/>
      <c r="F3" s="165"/>
    </row>
    <row r="4" spans="1:10" ht="18.75" x14ac:dyDescent="0.3">
      <c r="A4" s="120" t="s">
        <v>2011</v>
      </c>
      <c r="B4" s="121" t="s">
        <v>595</v>
      </c>
      <c r="C4" s="121" t="s">
        <v>597</v>
      </c>
      <c r="D4" s="121" t="s">
        <v>2015</v>
      </c>
      <c r="E4" s="121" t="s">
        <v>2012</v>
      </c>
      <c r="F4" s="121" t="s">
        <v>2016</v>
      </c>
      <c r="G4" t="s">
        <v>759</v>
      </c>
    </row>
    <row r="5" spans="1:10" hidden="1" x14ac:dyDescent="0.25">
      <c r="A5" s="119" t="s">
        <v>2009</v>
      </c>
      <c r="B5" s="118" t="s">
        <v>595</v>
      </c>
      <c r="C5" s="119" t="s">
        <v>597</v>
      </c>
      <c r="D5" s="118" t="s">
        <v>2008</v>
      </c>
      <c r="E5" s="122" t="s">
        <v>2012</v>
      </c>
      <c r="F5" s="118" t="s">
        <v>2007</v>
      </c>
    </row>
    <row r="6" spans="1:10" hidden="1" x14ac:dyDescent="0.25">
      <c r="A6" t="s">
        <v>2006</v>
      </c>
      <c r="B6" t="s">
        <v>47</v>
      </c>
      <c r="C6" t="s">
        <v>359</v>
      </c>
      <c r="D6">
        <v>1</v>
      </c>
      <c r="E6" s="123">
        <v>0</v>
      </c>
      <c r="F6">
        <f>SUM(D6:E6)</f>
        <v>1</v>
      </c>
    </row>
    <row r="7" spans="1:10" hidden="1" x14ac:dyDescent="0.25">
      <c r="A7" t="s">
        <v>2006</v>
      </c>
      <c r="B7" t="s">
        <v>47</v>
      </c>
      <c r="C7" t="s">
        <v>123</v>
      </c>
      <c r="D7">
        <v>1</v>
      </c>
      <c r="E7" s="123">
        <v>0</v>
      </c>
      <c r="F7">
        <v>1</v>
      </c>
    </row>
    <row r="8" spans="1:10" x14ac:dyDescent="0.25">
      <c r="A8" t="s">
        <v>2006</v>
      </c>
      <c r="B8" t="s">
        <v>17</v>
      </c>
      <c r="C8" t="s">
        <v>19</v>
      </c>
      <c r="D8">
        <v>1</v>
      </c>
      <c r="E8" s="123">
        <v>254</v>
      </c>
      <c r="F8">
        <v>1</v>
      </c>
    </row>
    <row r="9" spans="1:10" hidden="1" x14ac:dyDescent="0.25">
      <c r="A9" t="s">
        <v>2006</v>
      </c>
      <c r="B9" t="s">
        <v>47</v>
      </c>
      <c r="C9" t="s">
        <v>129</v>
      </c>
      <c r="D9">
        <v>1</v>
      </c>
      <c r="E9" s="123">
        <v>822</v>
      </c>
      <c r="F9">
        <v>1</v>
      </c>
      <c r="I9" t="s">
        <v>2013</v>
      </c>
      <c r="J9">
        <f>SUM(F217:F1404)</f>
        <v>1581</v>
      </c>
    </row>
    <row r="10" spans="1:10" hidden="1" x14ac:dyDescent="0.25">
      <c r="A10" t="s">
        <v>2006</v>
      </c>
      <c r="B10" t="s">
        <v>47</v>
      </c>
      <c r="C10" t="s">
        <v>345</v>
      </c>
      <c r="D10">
        <v>1</v>
      </c>
      <c r="E10" s="123">
        <v>877.84</v>
      </c>
      <c r="F10">
        <v>1</v>
      </c>
    </row>
    <row r="11" spans="1:10" hidden="1" x14ac:dyDescent="0.25">
      <c r="A11" t="s">
        <v>2006</v>
      </c>
      <c r="B11" t="s">
        <v>47</v>
      </c>
      <c r="C11" t="s">
        <v>32</v>
      </c>
      <c r="D11">
        <v>1</v>
      </c>
      <c r="E11" s="123">
        <v>3325.76</v>
      </c>
      <c r="F11">
        <v>1</v>
      </c>
    </row>
    <row r="12" spans="1:10" hidden="1" x14ac:dyDescent="0.25">
      <c r="A12" t="s">
        <v>2006</v>
      </c>
      <c r="B12" t="s">
        <v>47</v>
      </c>
      <c r="C12" t="s">
        <v>212</v>
      </c>
      <c r="D12">
        <v>1</v>
      </c>
      <c r="E12" s="123">
        <v>570.48</v>
      </c>
      <c r="F12">
        <v>1</v>
      </c>
    </row>
    <row r="13" spans="1:10" hidden="1" x14ac:dyDescent="0.25">
      <c r="A13" t="s">
        <v>2006</v>
      </c>
      <c r="B13" t="s">
        <v>47</v>
      </c>
      <c r="C13" t="s">
        <v>253</v>
      </c>
      <c r="D13">
        <v>1</v>
      </c>
      <c r="E13" s="123">
        <v>3874</v>
      </c>
      <c r="F13">
        <v>1</v>
      </c>
    </row>
    <row r="14" spans="1:10" hidden="1" x14ac:dyDescent="0.25">
      <c r="A14" t="s">
        <v>2006</v>
      </c>
      <c r="B14" t="s">
        <v>47</v>
      </c>
      <c r="C14" t="s">
        <v>80</v>
      </c>
      <c r="D14">
        <v>1</v>
      </c>
      <c r="E14" s="123">
        <v>4205.6000000000004</v>
      </c>
      <c r="F14">
        <v>1</v>
      </c>
    </row>
    <row r="15" spans="1:10" hidden="1" x14ac:dyDescent="0.25">
      <c r="A15" t="s">
        <v>2006</v>
      </c>
      <c r="B15" t="s">
        <v>10</v>
      </c>
      <c r="C15" t="s">
        <v>178</v>
      </c>
      <c r="D15">
        <v>1</v>
      </c>
      <c r="E15" s="123">
        <v>610</v>
      </c>
      <c r="F15">
        <v>1</v>
      </c>
    </row>
    <row r="16" spans="1:10" hidden="1" x14ac:dyDescent="0.25">
      <c r="A16" t="s">
        <v>2006</v>
      </c>
      <c r="B16" t="s">
        <v>47</v>
      </c>
      <c r="C16" t="s">
        <v>30</v>
      </c>
      <c r="D16">
        <v>1</v>
      </c>
      <c r="E16" s="123">
        <v>5442</v>
      </c>
      <c r="F16">
        <v>1</v>
      </c>
    </row>
    <row r="17" spans="1:6" hidden="1" x14ac:dyDescent="0.25">
      <c r="A17" t="s">
        <v>2006</v>
      </c>
      <c r="B17" t="s">
        <v>10</v>
      </c>
      <c r="C17" t="s">
        <v>329</v>
      </c>
      <c r="D17">
        <v>1</v>
      </c>
      <c r="E17" s="123">
        <v>650</v>
      </c>
      <c r="F17">
        <v>1</v>
      </c>
    </row>
    <row r="18" spans="1:6" hidden="1" x14ac:dyDescent="0.25">
      <c r="A18" t="s">
        <v>2006</v>
      </c>
      <c r="B18" t="s">
        <v>47</v>
      </c>
      <c r="C18" t="s">
        <v>214</v>
      </c>
      <c r="D18">
        <v>1</v>
      </c>
      <c r="E18" s="123">
        <v>6915.27</v>
      </c>
      <c r="F18">
        <v>1</v>
      </c>
    </row>
    <row r="19" spans="1:6" hidden="1" x14ac:dyDescent="0.25">
      <c r="A19" t="s">
        <v>2006</v>
      </c>
      <c r="B19" t="s">
        <v>47</v>
      </c>
      <c r="C19" t="s">
        <v>130</v>
      </c>
      <c r="D19">
        <v>1</v>
      </c>
      <c r="E19" s="123">
        <v>8523.99</v>
      </c>
      <c r="F19">
        <v>1</v>
      </c>
    </row>
    <row r="20" spans="1:6" hidden="1" x14ac:dyDescent="0.25">
      <c r="A20" t="s">
        <v>2006</v>
      </c>
      <c r="B20" t="s">
        <v>10</v>
      </c>
      <c r="C20" t="s">
        <v>373</v>
      </c>
      <c r="D20">
        <v>1</v>
      </c>
      <c r="E20" s="123">
        <v>890</v>
      </c>
      <c r="F20">
        <v>1</v>
      </c>
    </row>
    <row r="21" spans="1:6" x14ac:dyDescent="0.25">
      <c r="A21" t="s">
        <v>2006</v>
      </c>
      <c r="B21" t="s">
        <v>17</v>
      </c>
      <c r="C21" t="s">
        <v>341</v>
      </c>
      <c r="D21">
        <v>1</v>
      </c>
      <c r="E21" s="123">
        <v>917</v>
      </c>
      <c r="F21">
        <v>1</v>
      </c>
    </row>
    <row r="22" spans="1:6" hidden="1" x14ac:dyDescent="0.25">
      <c r="A22" t="s">
        <v>2006</v>
      </c>
      <c r="B22" t="s">
        <v>47</v>
      </c>
      <c r="C22" t="s">
        <v>56</v>
      </c>
      <c r="D22">
        <v>1</v>
      </c>
      <c r="E22" s="123">
        <v>9168</v>
      </c>
      <c r="F22">
        <v>1</v>
      </c>
    </row>
    <row r="23" spans="1:6" hidden="1" x14ac:dyDescent="0.25">
      <c r="A23" t="s">
        <v>2006</v>
      </c>
      <c r="B23" t="s">
        <v>47</v>
      </c>
      <c r="C23" t="s">
        <v>88</v>
      </c>
      <c r="D23">
        <v>2</v>
      </c>
      <c r="E23" s="123">
        <v>2623</v>
      </c>
      <c r="F23">
        <v>2</v>
      </c>
    </row>
    <row r="24" spans="1:6" hidden="1" x14ac:dyDescent="0.25">
      <c r="A24" t="s">
        <v>2006</v>
      </c>
      <c r="B24" t="s">
        <v>316</v>
      </c>
      <c r="C24" t="s">
        <v>283</v>
      </c>
      <c r="D24">
        <v>1</v>
      </c>
      <c r="E24" s="123">
        <v>1170</v>
      </c>
      <c r="F24">
        <v>1</v>
      </c>
    </row>
    <row r="25" spans="1:6" hidden="1" x14ac:dyDescent="0.25">
      <c r="A25" t="s">
        <v>2006</v>
      </c>
      <c r="B25" t="s">
        <v>47</v>
      </c>
      <c r="C25" t="s">
        <v>187</v>
      </c>
      <c r="D25">
        <v>2</v>
      </c>
      <c r="E25" s="123">
        <v>6582.5599999999986</v>
      </c>
      <c r="F25">
        <v>2</v>
      </c>
    </row>
    <row r="26" spans="1:6" x14ac:dyDescent="0.25">
      <c r="A26" t="s">
        <v>2006</v>
      </c>
      <c r="B26" t="s">
        <v>17</v>
      </c>
      <c r="C26" t="s">
        <v>157</v>
      </c>
      <c r="D26">
        <v>1</v>
      </c>
      <c r="E26" s="123">
        <v>1341.8</v>
      </c>
      <c r="F26">
        <v>1</v>
      </c>
    </row>
    <row r="27" spans="1:6" hidden="1" x14ac:dyDescent="0.25">
      <c r="A27" t="s">
        <v>2006</v>
      </c>
      <c r="B27" t="s">
        <v>47</v>
      </c>
      <c r="C27" t="s">
        <v>6</v>
      </c>
      <c r="D27">
        <v>2</v>
      </c>
      <c r="E27" s="123">
        <v>16469.04</v>
      </c>
      <c r="F27">
        <v>2</v>
      </c>
    </row>
    <row r="28" spans="1:6" x14ac:dyDescent="0.25">
      <c r="A28" t="s">
        <v>2006</v>
      </c>
      <c r="B28" t="s">
        <v>17</v>
      </c>
      <c r="C28" t="s">
        <v>259</v>
      </c>
      <c r="D28">
        <v>1</v>
      </c>
      <c r="E28" s="123">
        <v>1646.24</v>
      </c>
      <c r="F28">
        <v>1</v>
      </c>
    </row>
    <row r="29" spans="1:6" hidden="1" x14ac:dyDescent="0.25">
      <c r="A29" t="s">
        <v>2006</v>
      </c>
      <c r="B29" t="s">
        <v>47</v>
      </c>
      <c r="C29" t="s">
        <v>58</v>
      </c>
      <c r="D29">
        <v>5</v>
      </c>
      <c r="E29" s="123">
        <v>63423.79</v>
      </c>
      <c r="F29">
        <v>2</v>
      </c>
    </row>
    <row r="30" spans="1:6" hidden="1" x14ac:dyDescent="0.25">
      <c r="A30" t="s">
        <v>2006</v>
      </c>
      <c r="B30" t="s">
        <v>10</v>
      </c>
      <c r="C30" t="s">
        <v>161</v>
      </c>
      <c r="D30">
        <v>1</v>
      </c>
      <c r="E30" s="123">
        <v>1652</v>
      </c>
      <c r="F30">
        <v>1</v>
      </c>
    </row>
    <row r="31" spans="1:6" hidden="1" x14ac:dyDescent="0.25">
      <c r="A31" t="s">
        <v>2006</v>
      </c>
      <c r="B31" t="s">
        <v>10</v>
      </c>
      <c r="C31" t="s">
        <v>44</v>
      </c>
      <c r="D31">
        <v>1</v>
      </c>
      <c r="E31" s="123">
        <v>1780</v>
      </c>
      <c r="F31">
        <v>1</v>
      </c>
    </row>
    <row r="32" spans="1:6" hidden="1" x14ac:dyDescent="0.25">
      <c r="A32" t="s">
        <v>2005</v>
      </c>
      <c r="B32" t="s">
        <v>47</v>
      </c>
      <c r="C32" t="s">
        <v>800</v>
      </c>
      <c r="D32">
        <v>1</v>
      </c>
      <c r="E32" s="123">
        <v>0</v>
      </c>
      <c r="F32">
        <v>1</v>
      </c>
    </row>
    <row r="33" spans="1:6" hidden="1" x14ac:dyDescent="0.25">
      <c r="A33" t="s">
        <v>2006</v>
      </c>
      <c r="B33" t="s">
        <v>316</v>
      </c>
      <c r="C33" t="s">
        <v>290</v>
      </c>
      <c r="D33">
        <v>1</v>
      </c>
      <c r="E33" s="123">
        <v>1805</v>
      </c>
      <c r="F33">
        <v>1</v>
      </c>
    </row>
    <row r="34" spans="1:6" x14ac:dyDescent="0.25">
      <c r="A34" t="s">
        <v>2006</v>
      </c>
      <c r="B34" t="s">
        <v>17</v>
      </c>
      <c r="C34" t="s">
        <v>409</v>
      </c>
      <c r="D34">
        <v>1</v>
      </c>
      <c r="E34" s="123">
        <v>1840</v>
      </c>
      <c r="F34">
        <v>1</v>
      </c>
    </row>
    <row r="35" spans="1:6" x14ac:dyDescent="0.25">
      <c r="A35" t="s">
        <v>2006</v>
      </c>
      <c r="B35" t="s">
        <v>17</v>
      </c>
      <c r="C35" t="s">
        <v>206</v>
      </c>
      <c r="D35">
        <v>1</v>
      </c>
      <c r="E35" s="123">
        <v>1884</v>
      </c>
      <c r="F35">
        <v>1</v>
      </c>
    </row>
    <row r="36" spans="1:6" hidden="1" x14ac:dyDescent="0.25">
      <c r="A36" t="s">
        <v>2006</v>
      </c>
      <c r="B36" t="s">
        <v>264</v>
      </c>
      <c r="C36" t="s">
        <v>265</v>
      </c>
      <c r="D36">
        <v>1</v>
      </c>
      <c r="E36" s="123">
        <v>1894</v>
      </c>
      <c r="F36">
        <v>1</v>
      </c>
    </row>
    <row r="37" spans="1:6" hidden="1" x14ac:dyDescent="0.25">
      <c r="A37" t="s">
        <v>2005</v>
      </c>
      <c r="B37" t="s">
        <v>47</v>
      </c>
      <c r="C37" t="s">
        <v>63</v>
      </c>
      <c r="D37">
        <v>1</v>
      </c>
      <c r="E37" s="123">
        <v>1963.92</v>
      </c>
      <c r="F37">
        <v>1</v>
      </c>
    </row>
    <row r="38" spans="1:6" x14ac:dyDescent="0.25">
      <c r="A38" t="s">
        <v>2006</v>
      </c>
      <c r="B38" t="s">
        <v>17</v>
      </c>
      <c r="C38" t="s">
        <v>192</v>
      </c>
      <c r="D38">
        <v>1</v>
      </c>
      <c r="E38" s="123">
        <v>1934</v>
      </c>
      <c r="F38">
        <v>1</v>
      </c>
    </row>
    <row r="39" spans="1:6" hidden="1" x14ac:dyDescent="0.25">
      <c r="A39" t="s">
        <v>2005</v>
      </c>
      <c r="B39" t="s">
        <v>47</v>
      </c>
      <c r="C39" t="s">
        <v>237</v>
      </c>
      <c r="D39">
        <v>1</v>
      </c>
      <c r="E39" s="123">
        <v>2187</v>
      </c>
      <c r="F39">
        <v>1</v>
      </c>
    </row>
    <row r="40" spans="1:6" hidden="1" x14ac:dyDescent="0.25">
      <c r="A40" t="s">
        <v>2005</v>
      </c>
      <c r="B40" t="s">
        <v>47</v>
      </c>
      <c r="C40" t="s">
        <v>336</v>
      </c>
      <c r="D40">
        <v>1</v>
      </c>
      <c r="E40" s="123">
        <v>2400</v>
      </c>
      <c r="F40">
        <v>1</v>
      </c>
    </row>
    <row r="41" spans="1:6" x14ac:dyDescent="0.25">
      <c r="A41" t="s">
        <v>2006</v>
      </c>
      <c r="B41" t="s">
        <v>17</v>
      </c>
      <c r="C41" t="s">
        <v>346</v>
      </c>
      <c r="D41">
        <v>1</v>
      </c>
      <c r="E41" s="123">
        <v>2012</v>
      </c>
      <c r="F41">
        <v>1</v>
      </c>
    </row>
    <row r="42" spans="1:6" hidden="1" x14ac:dyDescent="0.25">
      <c r="A42" t="s">
        <v>2005</v>
      </c>
      <c r="B42" t="s">
        <v>47</v>
      </c>
      <c r="C42" t="s">
        <v>144</v>
      </c>
      <c r="D42">
        <v>1</v>
      </c>
      <c r="E42" s="123">
        <v>2600</v>
      </c>
      <c r="F42">
        <v>1</v>
      </c>
    </row>
    <row r="43" spans="1:6" hidden="1" x14ac:dyDescent="0.25">
      <c r="A43" t="s">
        <v>2006</v>
      </c>
      <c r="B43" t="s">
        <v>47</v>
      </c>
      <c r="C43" t="s">
        <v>185</v>
      </c>
      <c r="D43">
        <v>1</v>
      </c>
      <c r="E43" s="123">
        <v>2062</v>
      </c>
      <c r="F43">
        <v>1</v>
      </c>
    </row>
    <row r="44" spans="1:6" hidden="1" x14ac:dyDescent="0.25">
      <c r="A44" t="s">
        <v>2005</v>
      </c>
      <c r="B44" t="s">
        <v>47</v>
      </c>
      <c r="C44" t="s">
        <v>478</v>
      </c>
      <c r="D44">
        <v>1</v>
      </c>
      <c r="E44" s="123">
        <v>3513.32</v>
      </c>
      <c r="F44">
        <v>1</v>
      </c>
    </row>
    <row r="45" spans="1:6" x14ac:dyDescent="0.25">
      <c r="A45" t="s">
        <v>2006</v>
      </c>
      <c r="B45" t="s">
        <v>17</v>
      </c>
      <c r="C45" t="s">
        <v>148</v>
      </c>
      <c r="D45">
        <v>1</v>
      </c>
      <c r="E45" s="123">
        <v>2144</v>
      </c>
      <c r="F45">
        <v>1</v>
      </c>
    </row>
    <row r="46" spans="1:6" hidden="1" x14ac:dyDescent="0.25">
      <c r="A46" t="s">
        <v>2005</v>
      </c>
      <c r="B46" t="s">
        <v>47</v>
      </c>
      <c r="C46" t="s">
        <v>115</v>
      </c>
      <c r="D46">
        <v>1</v>
      </c>
      <c r="E46" s="123">
        <v>5864</v>
      </c>
      <c r="F46">
        <v>1</v>
      </c>
    </row>
    <row r="47" spans="1:6" hidden="1" x14ac:dyDescent="0.25">
      <c r="A47" t="s">
        <v>2005</v>
      </c>
      <c r="B47" t="s">
        <v>47</v>
      </c>
      <c r="C47" t="s">
        <v>252</v>
      </c>
      <c r="D47">
        <v>1</v>
      </c>
      <c r="E47" s="123">
        <v>6245.83</v>
      </c>
      <c r="F47">
        <v>1</v>
      </c>
    </row>
    <row r="48" spans="1:6" hidden="1" x14ac:dyDescent="0.25">
      <c r="A48" t="s">
        <v>2006</v>
      </c>
      <c r="B48" t="s">
        <v>10</v>
      </c>
      <c r="C48" t="s">
        <v>235</v>
      </c>
      <c r="D48">
        <v>1</v>
      </c>
      <c r="E48" s="123">
        <v>2210.52</v>
      </c>
      <c r="F48">
        <v>1</v>
      </c>
    </row>
    <row r="49" spans="1:6" hidden="1" x14ac:dyDescent="0.25">
      <c r="A49" t="s">
        <v>2005</v>
      </c>
      <c r="B49" t="s">
        <v>47</v>
      </c>
      <c r="C49" t="s">
        <v>117</v>
      </c>
      <c r="D49">
        <v>1</v>
      </c>
      <c r="E49" s="123">
        <v>8727.99</v>
      </c>
      <c r="F49">
        <v>1</v>
      </c>
    </row>
    <row r="50" spans="1:6" hidden="1" x14ac:dyDescent="0.25">
      <c r="A50" t="s">
        <v>2006</v>
      </c>
      <c r="B50" t="s">
        <v>10</v>
      </c>
      <c r="C50" t="s">
        <v>333</v>
      </c>
      <c r="D50">
        <v>1</v>
      </c>
      <c r="E50" s="123">
        <v>2238</v>
      </c>
      <c r="F50">
        <v>1</v>
      </c>
    </row>
    <row r="51" spans="1:6" hidden="1" x14ac:dyDescent="0.25">
      <c r="A51" t="s">
        <v>2005</v>
      </c>
      <c r="B51" t="s">
        <v>47</v>
      </c>
      <c r="C51" t="s">
        <v>56</v>
      </c>
      <c r="D51">
        <v>1</v>
      </c>
      <c r="E51" s="123">
        <v>8879.0400000000009</v>
      </c>
      <c r="F51">
        <v>1</v>
      </c>
    </row>
    <row r="52" spans="1:6" hidden="1" x14ac:dyDescent="0.25">
      <c r="A52" t="s">
        <v>2006</v>
      </c>
      <c r="B52" t="s">
        <v>10</v>
      </c>
      <c r="C52" t="s">
        <v>176</v>
      </c>
      <c r="D52">
        <v>1</v>
      </c>
      <c r="E52" s="123">
        <v>2276</v>
      </c>
      <c r="F52">
        <v>1</v>
      </c>
    </row>
    <row r="53" spans="1:6" hidden="1" x14ac:dyDescent="0.25">
      <c r="A53" t="s">
        <v>2005</v>
      </c>
      <c r="B53" t="s">
        <v>47</v>
      </c>
      <c r="C53" t="s">
        <v>244</v>
      </c>
      <c r="D53">
        <v>1</v>
      </c>
      <c r="E53" s="123">
        <v>9179.19</v>
      </c>
      <c r="F53">
        <v>1</v>
      </c>
    </row>
    <row r="54" spans="1:6" hidden="1" x14ac:dyDescent="0.25">
      <c r="A54" t="s">
        <v>2006</v>
      </c>
      <c r="B54" t="s">
        <v>10</v>
      </c>
      <c r="C54" t="s">
        <v>101</v>
      </c>
      <c r="D54">
        <v>1</v>
      </c>
      <c r="E54" s="123">
        <v>2377.08</v>
      </c>
      <c r="F54">
        <v>1</v>
      </c>
    </row>
    <row r="55" spans="1:6" hidden="1" x14ac:dyDescent="0.25">
      <c r="A55" t="s">
        <v>2006</v>
      </c>
      <c r="B55" t="s">
        <v>10</v>
      </c>
      <c r="C55" t="s">
        <v>375</v>
      </c>
      <c r="D55">
        <v>1</v>
      </c>
      <c r="E55" s="123">
        <v>2387</v>
      </c>
      <c r="F55">
        <v>1</v>
      </c>
    </row>
    <row r="56" spans="1:6" hidden="1" x14ac:dyDescent="0.25">
      <c r="A56" t="s">
        <v>2006</v>
      </c>
      <c r="B56" t="s">
        <v>11</v>
      </c>
      <c r="C56" t="s">
        <v>197</v>
      </c>
      <c r="D56">
        <v>1</v>
      </c>
      <c r="E56" s="123">
        <v>2594.6</v>
      </c>
      <c r="F56">
        <v>1</v>
      </c>
    </row>
    <row r="57" spans="1:6" hidden="1" x14ac:dyDescent="0.25">
      <c r="A57" t="s">
        <v>2005</v>
      </c>
      <c r="B57" t="s">
        <v>47</v>
      </c>
      <c r="C57" t="s">
        <v>721</v>
      </c>
      <c r="D57">
        <v>1</v>
      </c>
      <c r="E57" s="123">
        <v>10118</v>
      </c>
      <c r="F57">
        <v>1</v>
      </c>
    </row>
    <row r="58" spans="1:6" hidden="1" x14ac:dyDescent="0.25">
      <c r="A58" t="s">
        <v>2005</v>
      </c>
      <c r="B58" t="s">
        <v>47</v>
      </c>
      <c r="C58" t="s">
        <v>88</v>
      </c>
      <c r="D58">
        <v>1</v>
      </c>
      <c r="E58" s="123">
        <v>10375</v>
      </c>
      <c r="F58">
        <v>1</v>
      </c>
    </row>
    <row r="59" spans="1:6" hidden="1" x14ac:dyDescent="0.25">
      <c r="A59" t="s">
        <v>2006</v>
      </c>
      <c r="B59" t="s">
        <v>47</v>
      </c>
      <c r="C59" t="s">
        <v>60</v>
      </c>
      <c r="D59">
        <v>1</v>
      </c>
      <c r="E59" s="123">
        <v>2642</v>
      </c>
      <c r="F59">
        <v>1</v>
      </c>
    </row>
    <row r="60" spans="1:6" x14ac:dyDescent="0.25">
      <c r="A60" t="s">
        <v>2006</v>
      </c>
      <c r="B60" t="s">
        <v>17</v>
      </c>
      <c r="C60" t="s">
        <v>65</v>
      </c>
      <c r="D60">
        <v>1</v>
      </c>
      <c r="E60" s="123">
        <v>2650</v>
      </c>
      <c r="F60">
        <v>1</v>
      </c>
    </row>
    <row r="61" spans="1:6" hidden="1" x14ac:dyDescent="0.25">
      <c r="A61" t="s">
        <v>2006</v>
      </c>
      <c r="B61" t="s">
        <v>47</v>
      </c>
      <c r="C61" t="s">
        <v>183</v>
      </c>
      <c r="D61">
        <v>1</v>
      </c>
      <c r="E61" s="123">
        <v>2685</v>
      </c>
      <c r="F61">
        <v>1</v>
      </c>
    </row>
    <row r="62" spans="1:6" hidden="1" x14ac:dyDescent="0.25">
      <c r="A62" t="s">
        <v>2005</v>
      </c>
      <c r="B62" t="s">
        <v>47</v>
      </c>
      <c r="C62" t="s">
        <v>58</v>
      </c>
      <c r="D62">
        <v>1</v>
      </c>
      <c r="E62" s="123">
        <v>11133.4</v>
      </c>
      <c r="F62">
        <v>1</v>
      </c>
    </row>
    <row r="63" spans="1:6" hidden="1" x14ac:dyDescent="0.25">
      <c r="A63" t="s">
        <v>2006</v>
      </c>
      <c r="B63" t="s">
        <v>47</v>
      </c>
      <c r="C63" t="s">
        <v>342</v>
      </c>
      <c r="D63">
        <v>2</v>
      </c>
      <c r="E63" s="123">
        <v>2819.4</v>
      </c>
      <c r="F63">
        <v>1</v>
      </c>
    </row>
    <row r="64" spans="1:6" hidden="1" x14ac:dyDescent="0.25">
      <c r="A64" t="s">
        <v>2005</v>
      </c>
      <c r="B64" t="s">
        <v>47</v>
      </c>
      <c r="C64" t="s">
        <v>147</v>
      </c>
      <c r="D64">
        <v>1</v>
      </c>
      <c r="E64" s="123">
        <v>23914.77</v>
      </c>
      <c r="F64">
        <v>1</v>
      </c>
    </row>
    <row r="65" spans="1:6" hidden="1" x14ac:dyDescent="0.25">
      <c r="A65" t="s">
        <v>2006</v>
      </c>
      <c r="B65" t="s">
        <v>10</v>
      </c>
      <c r="C65" t="s">
        <v>105</v>
      </c>
      <c r="D65">
        <v>1</v>
      </c>
      <c r="E65" s="123">
        <v>2878</v>
      </c>
      <c r="F65">
        <v>1</v>
      </c>
    </row>
    <row r="66" spans="1:6" hidden="1" x14ac:dyDescent="0.25">
      <c r="A66" t="s">
        <v>2006</v>
      </c>
      <c r="B66" t="s">
        <v>10</v>
      </c>
      <c r="C66" t="s">
        <v>405</v>
      </c>
      <c r="D66">
        <v>1</v>
      </c>
      <c r="E66" s="123">
        <v>2936</v>
      </c>
      <c r="F66">
        <v>1</v>
      </c>
    </row>
    <row r="67" spans="1:6" x14ac:dyDescent="0.25">
      <c r="A67" t="s">
        <v>2006</v>
      </c>
      <c r="B67" t="s">
        <v>17</v>
      </c>
      <c r="C67" t="s">
        <v>155</v>
      </c>
      <c r="D67">
        <v>1</v>
      </c>
      <c r="E67" s="123">
        <v>2963</v>
      </c>
      <c r="F67">
        <v>1</v>
      </c>
    </row>
    <row r="68" spans="1:6" x14ac:dyDescent="0.25">
      <c r="A68" t="s">
        <v>2006</v>
      </c>
      <c r="B68" t="s">
        <v>17</v>
      </c>
      <c r="C68" t="s">
        <v>140</v>
      </c>
      <c r="D68">
        <v>1</v>
      </c>
      <c r="E68" s="123">
        <v>2964</v>
      </c>
      <c r="F68">
        <v>1</v>
      </c>
    </row>
    <row r="69" spans="1:6" hidden="1" x14ac:dyDescent="0.25">
      <c r="A69" t="s">
        <v>2004</v>
      </c>
      <c r="B69" t="s">
        <v>47</v>
      </c>
      <c r="C69" t="s">
        <v>253</v>
      </c>
      <c r="D69">
        <v>1</v>
      </c>
      <c r="E69" s="123">
        <v>2019</v>
      </c>
      <c r="F69">
        <v>1</v>
      </c>
    </row>
    <row r="70" spans="1:6" hidden="1" x14ac:dyDescent="0.25">
      <c r="A70" t="s">
        <v>2006</v>
      </c>
      <c r="B70" t="s">
        <v>10</v>
      </c>
      <c r="C70" t="s">
        <v>153</v>
      </c>
      <c r="D70">
        <v>1</v>
      </c>
      <c r="E70" s="123">
        <v>3000</v>
      </c>
      <c r="F70">
        <v>1</v>
      </c>
    </row>
    <row r="71" spans="1:6" hidden="1" x14ac:dyDescent="0.25">
      <c r="A71" t="s">
        <v>2006</v>
      </c>
      <c r="B71" t="s">
        <v>10</v>
      </c>
      <c r="C71" t="s">
        <v>393</v>
      </c>
      <c r="D71">
        <v>2</v>
      </c>
      <c r="E71" s="123">
        <v>3046</v>
      </c>
      <c r="F71">
        <v>1</v>
      </c>
    </row>
    <row r="72" spans="1:6" hidden="1" x14ac:dyDescent="0.25">
      <c r="A72" t="s">
        <v>2004</v>
      </c>
      <c r="B72" t="s">
        <v>47</v>
      </c>
      <c r="C72" t="s">
        <v>218</v>
      </c>
      <c r="D72">
        <v>1</v>
      </c>
      <c r="E72" s="123">
        <v>2228</v>
      </c>
      <c r="F72">
        <v>1</v>
      </c>
    </row>
    <row r="73" spans="1:6" hidden="1" x14ac:dyDescent="0.25">
      <c r="A73" t="s">
        <v>2006</v>
      </c>
      <c r="B73" t="s">
        <v>10</v>
      </c>
      <c r="C73" t="s">
        <v>97</v>
      </c>
      <c r="D73">
        <v>1</v>
      </c>
      <c r="E73" s="123">
        <v>3388</v>
      </c>
      <c r="F73">
        <v>1</v>
      </c>
    </row>
    <row r="74" spans="1:6" hidden="1" x14ac:dyDescent="0.25">
      <c r="A74" t="s">
        <v>2004</v>
      </c>
      <c r="B74" t="s">
        <v>47</v>
      </c>
      <c r="C74" t="s">
        <v>782</v>
      </c>
      <c r="D74">
        <v>1</v>
      </c>
      <c r="E74" s="123">
        <v>2417.0100000000002</v>
      </c>
      <c r="F74">
        <v>1</v>
      </c>
    </row>
    <row r="75" spans="1:6" hidden="1" x14ac:dyDescent="0.25">
      <c r="A75" t="s">
        <v>2006</v>
      </c>
      <c r="B75" t="s">
        <v>10</v>
      </c>
      <c r="C75" t="s">
        <v>371</v>
      </c>
      <c r="D75">
        <v>1</v>
      </c>
      <c r="E75" s="123">
        <v>3504</v>
      </c>
      <c r="F75">
        <v>1</v>
      </c>
    </row>
    <row r="76" spans="1:6" hidden="1" x14ac:dyDescent="0.25">
      <c r="A76" t="s">
        <v>2006</v>
      </c>
      <c r="B76" t="s">
        <v>47</v>
      </c>
      <c r="C76" t="s">
        <v>152</v>
      </c>
      <c r="D76">
        <v>2</v>
      </c>
      <c r="E76" s="123">
        <v>3709</v>
      </c>
      <c r="F76">
        <v>1</v>
      </c>
    </row>
    <row r="77" spans="1:6" hidden="1" x14ac:dyDescent="0.25">
      <c r="A77" t="s">
        <v>2006</v>
      </c>
      <c r="B77" t="s">
        <v>47</v>
      </c>
      <c r="C77" t="s">
        <v>385</v>
      </c>
      <c r="D77">
        <v>1</v>
      </c>
      <c r="E77" s="123">
        <v>3740.32</v>
      </c>
      <c r="F77">
        <v>1</v>
      </c>
    </row>
    <row r="78" spans="1:6" hidden="1" x14ac:dyDescent="0.25">
      <c r="A78" t="s">
        <v>2004</v>
      </c>
      <c r="B78" t="s">
        <v>47</v>
      </c>
      <c r="C78" t="s">
        <v>356</v>
      </c>
      <c r="D78">
        <v>1</v>
      </c>
      <c r="E78" s="123">
        <v>3624.52</v>
      </c>
      <c r="F78">
        <v>1</v>
      </c>
    </row>
    <row r="79" spans="1:6" hidden="1" x14ac:dyDescent="0.25">
      <c r="A79" t="s">
        <v>2004</v>
      </c>
      <c r="B79" t="s">
        <v>47</v>
      </c>
      <c r="C79" t="s">
        <v>70</v>
      </c>
      <c r="D79">
        <v>1</v>
      </c>
      <c r="E79" s="123">
        <v>3701.13</v>
      </c>
      <c r="F79">
        <v>1</v>
      </c>
    </row>
    <row r="80" spans="1:6" hidden="1" x14ac:dyDescent="0.25">
      <c r="A80" t="s">
        <v>2004</v>
      </c>
      <c r="B80" t="s">
        <v>47</v>
      </c>
      <c r="C80" t="s">
        <v>276</v>
      </c>
      <c r="D80">
        <v>1</v>
      </c>
      <c r="E80" s="123">
        <v>6059.03</v>
      </c>
      <c r="F80">
        <v>1</v>
      </c>
    </row>
    <row r="81" spans="1:6" hidden="1" x14ac:dyDescent="0.25">
      <c r="A81" t="s">
        <v>2004</v>
      </c>
      <c r="B81" t="s">
        <v>47</v>
      </c>
      <c r="C81" t="s">
        <v>16</v>
      </c>
      <c r="D81">
        <v>1</v>
      </c>
      <c r="E81" s="123">
        <v>6355.99</v>
      </c>
      <c r="F81">
        <v>1</v>
      </c>
    </row>
    <row r="82" spans="1:6" hidden="1" x14ac:dyDescent="0.25">
      <c r="A82" t="s">
        <v>2006</v>
      </c>
      <c r="B82" t="s">
        <v>10</v>
      </c>
      <c r="C82" t="s">
        <v>306</v>
      </c>
      <c r="D82">
        <v>1</v>
      </c>
      <c r="E82" s="123">
        <v>3999.99</v>
      </c>
      <c r="F82">
        <v>1</v>
      </c>
    </row>
    <row r="83" spans="1:6" x14ac:dyDescent="0.25">
      <c r="A83" t="s">
        <v>2006</v>
      </c>
      <c r="B83" t="s">
        <v>17</v>
      </c>
      <c r="C83" t="s">
        <v>203</v>
      </c>
      <c r="D83">
        <v>1</v>
      </c>
      <c r="E83" s="123">
        <v>4048</v>
      </c>
      <c r="F83">
        <v>1</v>
      </c>
    </row>
    <row r="84" spans="1:6" hidden="1" x14ac:dyDescent="0.25">
      <c r="A84" t="s">
        <v>2004</v>
      </c>
      <c r="B84" t="s">
        <v>47</v>
      </c>
      <c r="C84" t="s">
        <v>84</v>
      </c>
      <c r="D84">
        <v>1</v>
      </c>
      <c r="E84" s="123">
        <v>7332.6</v>
      </c>
      <c r="F84">
        <v>1</v>
      </c>
    </row>
    <row r="85" spans="1:6" hidden="1" x14ac:dyDescent="0.25">
      <c r="A85" t="s">
        <v>2006</v>
      </c>
      <c r="B85" t="s">
        <v>10</v>
      </c>
      <c r="C85" t="s">
        <v>392</v>
      </c>
      <c r="D85">
        <v>1</v>
      </c>
      <c r="E85" s="123">
        <v>4135</v>
      </c>
      <c r="F85">
        <v>1</v>
      </c>
    </row>
    <row r="86" spans="1:6" hidden="1" x14ac:dyDescent="0.25">
      <c r="A86" t="s">
        <v>2004</v>
      </c>
      <c r="B86" t="s">
        <v>47</v>
      </c>
      <c r="C86" t="s">
        <v>339</v>
      </c>
      <c r="D86">
        <v>1</v>
      </c>
      <c r="E86" s="123">
        <v>12853.27</v>
      </c>
      <c r="F86">
        <v>1</v>
      </c>
    </row>
    <row r="87" spans="1:6" hidden="1" x14ac:dyDescent="0.25">
      <c r="A87" t="s">
        <v>2004</v>
      </c>
      <c r="B87" t="s">
        <v>47</v>
      </c>
      <c r="C87" t="s">
        <v>58</v>
      </c>
      <c r="D87">
        <v>1</v>
      </c>
      <c r="E87" s="123">
        <v>13245.67</v>
      </c>
      <c r="F87">
        <v>1</v>
      </c>
    </row>
    <row r="88" spans="1:6" hidden="1" x14ac:dyDescent="0.25">
      <c r="A88" t="s">
        <v>2006</v>
      </c>
      <c r="B88" t="s">
        <v>10</v>
      </c>
      <c r="C88" t="s">
        <v>225</v>
      </c>
      <c r="D88">
        <v>1</v>
      </c>
      <c r="E88" s="123">
        <v>4212.1499999999996</v>
      </c>
      <c r="F88">
        <v>1</v>
      </c>
    </row>
    <row r="89" spans="1:6" hidden="1" x14ac:dyDescent="0.25">
      <c r="A89" t="s">
        <v>2006</v>
      </c>
      <c r="B89" t="s">
        <v>10</v>
      </c>
      <c r="C89" t="s">
        <v>280</v>
      </c>
      <c r="D89">
        <v>1</v>
      </c>
      <c r="E89" s="123">
        <v>4359</v>
      </c>
      <c r="F89">
        <v>1</v>
      </c>
    </row>
    <row r="90" spans="1:6" hidden="1" x14ac:dyDescent="0.25">
      <c r="A90" t="s">
        <v>2004</v>
      </c>
      <c r="B90" t="s">
        <v>47</v>
      </c>
      <c r="C90" t="s">
        <v>880</v>
      </c>
      <c r="D90">
        <v>1</v>
      </c>
      <c r="E90" s="123">
        <v>19079.88</v>
      </c>
      <c r="F90">
        <v>1</v>
      </c>
    </row>
    <row r="91" spans="1:6" hidden="1" x14ac:dyDescent="0.25">
      <c r="A91" t="s">
        <v>2004</v>
      </c>
      <c r="B91" t="s">
        <v>47</v>
      </c>
      <c r="C91" t="s">
        <v>190</v>
      </c>
      <c r="D91">
        <v>1</v>
      </c>
      <c r="E91" s="123">
        <v>31055.47</v>
      </c>
      <c r="F91">
        <v>1</v>
      </c>
    </row>
    <row r="92" spans="1:6" hidden="1" x14ac:dyDescent="0.25">
      <c r="A92" t="s">
        <v>2003</v>
      </c>
      <c r="B92" t="s">
        <v>47</v>
      </c>
      <c r="C92" t="s">
        <v>107</v>
      </c>
      <c r="D92">
        <v>1</v>
      </c>
      <c r="E92" s="123">
        <v>216</v>
      </c>
      <c r="F92">
        <v>1</v>
      </c>
    </row>
    <row r="93" spans="1:6" hidden="1" x14ac:dyDescent="0.25">
      <c r="A93" t="s">
        <v>2003</v>
      </c>
      <c r="B93" t="s">
        <v>47</v>
      </c>
      <c r="C93" t="s">
        <v>253</v>
      </c>
      <c r="D93">
        <v>1</v>
      </c>
      <c r="E93" s="123">
        <v>793.52</v>
      </c>
      <c r="F93">
        <v>1</v>
      </c>
    </row>
    <row r="94" spans="1:6" hidden="1" x14ac:dyDescent="0.25">
      <c r="A94" t="s">
        <v>2003</v>
      </c>
      <c r="B94" t="s">
        <v>47</v>
      </c>
      <c r="C94" t="s">
        <v>88</v>
      </c>
      <c r="D94">
        <v>1</v>
      </c>
      <c r="E94" s="123">
        <v>1148</v>
      </c>
      <c r="F94">
        <v>1</v>
      </c>
    </row>
    <row r="95" spans="1:6" hidden="1" x14ac:dyDescent="0.25">
      <c r="A95" t="s">
        <v>2003</v>
      </c>
      <c r="B95" t="s">
        <v>47</v>
      </c>
      <c r="C95" t="s">
        <v>1284</v>
      </c>
      <c r="D95">
        <v>1</v>
      </c>
      <c r="E95" s="123">
        <v>1356</v>
      </c>
      <c r="F95">
        <v>1</v>
      </c>
    </row>
    <row r="96" spans="1:6" hidden="1" x14ac:dyDescent="0.25">
      <c r="A96" t="s">
        <v>2003</v>
      </c>
      <c r="B96" t="s">
        <v>47</v>
      </c>
      <c r="C96" t="s">
        <v>952</v>
      </c>
      <c r="D96">
        <v>1</v>
      </c>
      <c r="E96" s="123">
        <v>1737</v>
      </c>
      <c r="F96">
        <v>1</v>
      </c>
    </row>
    <row r="97" spans="1:6" x14ac:dyDescent="0.25">
      <c r="A97" t="s">
        <v>2006</v>
      </c>
      <c r="B97" t="s">
        <v>17</v>
      </c>
      <c r="C97" t="s">
        <v>34</v>
      </c>
      <c r="D97">
        <v>1</v>
      </c>
      <c r="E97" s="123">
        <v>5319</v>
      </c>
      <c r="F97">
        <v>1</v>
      </c>
    </row>
    <row r="98" spans="1:6" hidden="1" x14ac:dyDescent="0.25">
      <c r="A98" t="s">
        <v>2006</v>
      </c>
      <c r="B98" t="s">
        <v>10</v>
      </c>
      <c r="C98" t="s">
        <v>154</v>
      </c>
      <c r="D98">
        <v>1</v>
      </c>
      <c r="E98" s="123">
        <v>5337</v>
      </c>
      <c r="F98">
        <v>1</v>
      </c>
    </row>
    <row r="99" spans="1:6" hidden="1" x14ac:dyDescent="0.25">
      <c r="A99" t="s">
        <v>2006</v>
      </c>
      <c r="B99" t="s">
        <v>10</v>
      </c>
      <c r="C99" t="s">
        <v>2</v>
      </c>
      <c r="D99">
        <v>1</v>
      </c>
      <c r="E99" s="123">
        <v>5345</v>
      </c>
      <c r="F99">
        <v>1</v>
      </c>
    </row>
    <row r="100" spans="1:6" hidden="1" x14ac:dyDescent="0.25">
      <c r="A100" t="s">
        <v>2006</v>
      </c>
      <c r="B100" t="s">
        <v>11</v>
      </c>
      <c r="C100" t="s">
        <v>242</v>
      </c>
      <c r="D100">
        <v>1</v>
      </c>
      <c r="E100" s="123">
        <v>5381</v>
      </c>
      <c r="F100">
        <v>1</v>
      </c>
    </row>
    <row r="101" spans="1:6" hidden="1" x14ac:dyDescent="0.25">
      <c r="A101" t="s">
        <v>2003</v>
      </c>
      <c r="B101" t="s">
        <v>47</v>
      </c>
      <c r="C101" t="s">
        <v>478</v>
      </c>
      <c r="D101">
        <v>1</v>
      </c>
      <c r="E101" s="123">
        <v>1773.84</v>
      </c>
      <c r="F101">
        <v>1</v>
      </c>
    </row>
    <row r="102" spans="1:6" hidden="1" x14ac:dyDescent="0.25">
      <c r="A102" t="s">
        <v>2006</v>
      </c>
      <c r="B102" t="s">
        <v>10</v>
      </c>
      <c r="C102" t="s">
        <v>354</v>
      </c>
      <c r="D102">
        <v>1</v>
      </c>
      <c r="E102" s="123">
        <v>5469.35</v>
      </c>
      <c r="F102">
        <v>1</v>
      </c>
    </row>
    <row r="103" spans="1:6" hidden="1" x14ac:dyDescent="0.25">
      <c r="A103" t="s">
        <v>2003</v>
      </c>
      <c r="B103" t="s">
        <v>47</v>
      </c>
      <c r="C103" t="s">
        <v>159</v>
      </c>
      <c r="D103">
        <v>1</v>
      </c>
      <c r="E103" s="123">
        <v>2347</v>
      </c>
      <c r="F103">
        <v>1</v>
      </c>
    </row>
    <row r="104" spans="1:6" x14ac:dyDescent="0.25">
      <c r="A104" t="s">
        <v>2006</v>
      </c>
      <c r="B104" t="s">
        <v>17</v>
      </c>
      <c r="C104" t="s">
        <v>417</v>
      </c>
      <c r="D104">
        <v>1</v>
      </c>
      <c r="E104" s="123">
        <v>5646</v>
      </c>
      <c r="F104">
        <v>1</v>
      </c>
    </row>
    <row r="105" spans="1:6" x14ac:dyDescent="0.25">
      <c r="A105" t="s">
        <v>2006</v>
      </c>
      <c r="B105" t="s">
        <v>17</v>
      </c>
      <c r="C105" t="s">
        <v>170</v>
      </c>
      <c r="D105">
        <v>1</v>
      </c>
      <c r="E105" s="123">
        <v>5924</v>
      </c>
      <c r="F105">
        <v>1</v>
      </c>
    </row>
    <row r="106" spans="1:6" hidden="1" x14ac:dyDescent="0.25">
      <c r="A106" t="s">
        <v>2006</v>
      </c>
      <c r="B106" t="s">
        <v>10</v>
      </c>
      <c r="C106" t="s">
        <v>403</v>
      </c>
      <c r="D106">
        <v>1</v>
      </c>
      <c r="E106" s="123">
        <v>6030</v>
      </c>
      <c r="F106">
        <v>1</v>
      </c>
    </row>
    <row r="107" spans="1:6" hidden="1" x14ac:dyDescent="0.25">
      <c r="A107" t="s">
        <v>2003</v>
      </c>
      <c r="B107" t="s">
        <v>47</v>
      </c>
      <c r="C107" t="s">
        <v>82</v>
      </c>
      <c r="D107">
        <v>1</v>
      </c>
      <c r="E107" s="123">
        <v>2848.68</v>
      </c>
      <c r="F107">
        <v>1</v>
      </c>
    </row>
    <row r="108" spans="1:6" hidden="1" x14ac:dyDescent="0.25">
      <c r="A108" t="s">
        <v>2006</v>
      </c>
      <c r="B108" t="s">
        <v>47</v>
      </c>
      <c r="C108" t="s">
        <v>225</v>
      </c>
      <c r="D108">
        <v>1</v>
      </c>
      <c r="E108" s="123">
        <v>6322.23</v>
      </c>
      <c r="F108">
        <v>1</v>
      </c>
    </row>
    <row r="109" spans="1:6" hidden="1" x14ac:dyDescent="0.25">
      <c r="A109" t="s">
        <v>2006</v>
      </c>
      <c r="B109" t="s">
        <v>47</v>
      </c>
      <c r="C109" t="s">
        <v>48</v>
      </c>
      <c r="D109">
        <v>1</v>
      </c>
      <c r="E109" s="123">
        <v>6458.99</v>
      </c>
      <c r="F109">
        <v>1</v>
      </c>
    </row>
    <row r="110" spans="1:6" x14ac:dyDescent="0.25">
      <c r="A110" t="s">
        <v>2006</v>
      </c>
      <c r="B110" t="s">
        <v>17</v>
      </c>
      <c r="C110" t="s">
        <v>165</v>
      </c>
      <c r="D110">
        <v>1</v>
      </c>
      <c r="E110" s="123">
        <v>6690.27</v>
      </c>
      <c r="F110">
        <v>1</v>
      </c>
    </row>
    <row r="111" spans="1:6" hidden="1" x14ac:dyDescent="0.25">
      <c r="A111" t="s">
        <v>2003</v>
      </c>
      <c r="B111" t="s">
        <v>47</v>
      </c>
      <c r="C111" t="s">
        <v>84</v>
      </c>
      <c r="D111">
        <v>1</v>
      </c>
      <c r="E111" s="123">
        <v>3407.75</v>
      </c>
      <c r="F111">
        <v>1</v>
      </c>
    </row>
    <row r="112" spans="1:6" hidden="1" x14ac:dyDescent="0.25">
      <c r="A112" t="s">
        <v>2003</v>
      </c>
      <c r="B112" t="s">
        <v>47</v>
      </c>
      <c r="C112" t="s">
        <v>631</v>
      </c>
      <c r="D112">
        <v>1</v>
      </c>
      <c r="E112" s="123">
        <v>3630</v>
      </c>
      <c r="F112">
        <v>1</v>
      </c>
    </row>
    <row r="113" spans="1:6" hidden="1" x14ac:dyDescent="0.25">
      <c r="A113" t="s">
        <v>2006</v>
      </c>
      <c r="B113" t="s">
        <v>10</v>
      </c>
      <c r="C113" t="s">
        <v>377</v>
      </c>
      <c r="D113">
        <v>1</v>
      </c>
      <c r="E113" s="123">
        <v>7150</v>
      </c>
      <c r="F113">
        <v>1</v>
      </c>
    </row>
    <row r="114" spans="1:6" x14ac:dyDescent="0.25">
      <c r="A114" t="s">
        <v>2006</v>
      </c>
      <c r="B114" t="s">
        <v>17</v>
      </c>
      <c r="C114" t="s">
        <v>377</v>
      </c>
      <c r="D114">
        <v>1</v>
      </c>
      <c r="E114" s="123">
        <v>7150</v>
      </c>
      <c r="F114">
        <v>1</v>
      </c>
    </row>
    <row r="115" spans="1:6" hidden="1" x14ac:dyDescent="0.25">
      <c r="A115" t="s">
        <v>2003</v>
      </c>
      <c r="B115" t="s">
        <v>47</v>
      </c>
      <c r="C115" t="s">
        <v>580</v>
      </c>
      <c r="D115">
        <v>1</v>
      </c>
      <c r="E115" s="123">
        <v>4279.99</v>
      </c>
      <c r="F115">
        <v>1</v>
      </c>
    </row>
    <row r="116" spans="1:6" hidden="1" x14ac:dyDescent="0.25">
      <c r="A116" t="s">
        <v>2006</v>
      </c>
      <c r="B116" t="s">
        <v>47</v>
      </c>
      <c r="C116" t="s">
        <v>127</v>
      </c>
      <c r="D116">
        <v>1</v>
      </c>
      <c r="E116" s="123">
        <v>7320</v>
      </c>
      <c r="F116">
        <v>1</v>
      </c>
    </row>
    <row r="117" spans="1:6" hidden="1" x14ac:dyDescent="0.25">
      <c r="A117" t="s">
        <v>2003</v>
      </c>
      <c r="B117" t="s">
        <v>47</v>
      </c>
      <c r="C117" t="s">
        <v>458</v>
      </c>
      <c r="D117">
        <v>1</v>
      </c>
      <c r="E117" s="123">
        <v>4467</v>
      </c>
      <c r="F117">
        <v>1</v>
      </c>
    </row>
    <row r="118" spans="1:6" hidden="1" x14ac:dyDescent="0.25">
      <c r="A118" t="s">
        <v>2006</v>
      </c>
      <c r="B118" t="s">
        <v>47</v>
      </c>
      <c r="C118" t="s">
        <v>125</v>
      </c>
      <c r="D118">
        <v>1</v>
      </c>
      <c r="E118" s="123">
        <v>7464.39</v>
      </c>
      <c r="F118">
        <v>1</v>
      </c>
    </row>
    <row r="119" spans="1:6" hidden="1" x14ac:dyDescent="0.25">
      <c r="A119" t="s">
        <v>2003</v>
      </c>
      <c r="B119" t="s">
        <v>47</v>
      </c>
      <c r="C119" t="s">
        <v>119</v>
      </c>
      <c r="D119">
        <v>1</v>
      </c>
      <c r="E119" s="123">
        <v>6072.04</v>
      </c>
      <c r="F119">
        <v>1</v>
      </c>
    </row>
    <row r="120" spans="1:6" hidden="1" x14ac:dyDescent="0.25">
      <c r="A120" t="s">
        <v>2003</v>
      </c>
      <c r="B120" t="s">
        <v>47</v>
      </c>
      <c r="C120" t="s">
        <v>465</v>
      </c>
      <c r="D120">
        <v>1</v>
      </c>
      <c r="E120" s="123">
        <v>8501.2000000000007</v>
      </c>
      <c r="F120">
        <v>1</v>
      </c>
    </row>
    <row r="121" spans="1:6" hidden="1" x14ac:dyDescent="0.25">
      <c r="A121" t="s">
        <v>2003</v>
      </c>
      <c r="B121" t="s">
        <v>47</v>
      </c>
      <c r="C121" t="s">
        <v>6</v>
      </c>
      <c r="D121">
        <v>1</v>
      </c>
      <c r="E121" s="123">
        <v>10768</v>
      </c>
      <c r="F121">
        <v>1</v>
      </c>
    </row>
    <row r="122" spans="1:6" hidden="1" x14ac:dyDescent="0.25">
      <c r="A122" t="s">
        <v>2003</v>
      </c>
      <c r="B122" t="s">
        <v>47</v>
      </c>
      <c r="C122" t="s">
        <v>174</v>
      </c>
      <c r="D122">
        <v>1</v>
      </c>
      <c r="E122" s="123">
        <v>18125.990000000002</v>
      </c>
      <c r="F122">
        <v>1</v>
      </c>
    </row>
    <row r="123" spans="1:6" x14ac:dyDescent="0.25">
      <c r="A123" t="s">
        <v>2006</v>
      </c>
      <c r="B123" t="s">
        <v>17</v>
      </c>
      <c r="C123" t="s">
        <v>279</v>
      </c>
      <c r="D123">
        <v>1</v>
      </c>
      <c r="E123" s="123">
        <v>8160</v>
      </c>
      <c r="F123">
        <v>1</v>
      </c>
    </row>
    <row r="124" spans="1:6" hidden="1" x14ac:dyDescent="0.25">
      <c r="A124" t="s">
        <v>2003</v>
      </c>
      <c r="B124" t="s">
        <v>47</v>
      </c>
      <c r="C124" t="s">
        <v>93</v>
      </c>
      <c r="D124">
        <v>1</v>
      </c>
      <c r="E124" s="123">
        <v>31492.78</v>
      </c>
      <c r="F124">
        <v>1</v>
      </c>
    </row>
    <row r="125" spans="1:6" hidden="1" x14ac:dyDescent="0.25">
      <c r="A125" t="s">
        <v>2006</v>
      </c>
      <c r="B125" t="s">
        <v>10</v>
      </c>
      <c r="C125" t="s">
        <v>352</v>
      </c>
      <c r="D125">
        <v>1</v>
      </c>
      <c r="E125" s="123">
        <v>8450</v>
      </c>
      <c r="F125">
        <v>1</v>
      </c>
    </row>
    <row r="126" spans="1:6" hidden="1" x14ac:dyDescent="0.25">
      <c r="A126" t="s">
        <v>2002</v>
      </c>
      <c r="B126" t="s">
        <v>47</v>
      </c>
      <c r="C126" t="s">
        <v>113</v>
      </c>
      <c r="D126">
        <v>1</v>
      </c>
      <c r="E126" s="123">
        <v>1316.76</v>
      </c>
      <c r="F126">
        <v>1</v>
      </c>
    </row>
    <row r="127" spans="1:6" hidden="1" x14ac:dyDescent="0.25">
      <c r="A127" t="s">
        <v>2002</v>
      </c>
      <c r="B127" t="s">
        <v>47</v>
      </c>
      <c r="C127" t="s">
        <v>54</v>
      </c>
      <c r="D127">
        <v>1</v>
      </c>
      <c r="E127" s="123">
        <v>5910</v>
      </c>
      <c r="F127">
        <v>1</v>
      </c>
    </row>
    <row r="128" spans="1:6" x14ac:dyDescent="0.25">
      <c r="A128" t="s">
        <v>2006</v>
      </c>
      <c r="B128" t="s">
        <v>17</v>
      </c>
      <c r="C128" t="s">
        <v>299</v>
      </c>
      <c r="D128">
        <v>1</v>
      </c>
      <c r="E128" s="123">
        <v>8694.24</v>
      </c>
      <c r="F128">
        <v>1</v>
      </c>
    </row>
    <row r="129" spans="1:6" x14ac:dyDescent="0.25">
      <c r="A129" t="s">
        <v>2006</v>
      </c>
      <c r="B129" t="s">
        <v>17</v>
      </c>
      <c r="C129" t="s">
        <v>153</v>
      </c>
      <c r="D129">
        <v>1</v>
      </c>
      <c r="E129" s="123">
        <v>8699</v>
      </c>
      <c r="F129">
        <v>1</v>
      </c>
    </row>
    <row r="130" spans="1:6" hidden="1" x14ac:dyDescent="0.25">
      <c r="A130" t="s">
        <v>2002</v>
      </c>
      <c r="B130" t="s">
        <v>47</v>
      </c>
      <c r="C130" t="s">
        <v>825</v>
      </c>
      <c r="D130">
        <v>1</v>
      </c>
      <c r="E130" s="123">
        <v>9760</v>
      </c>
      <c r="F130">
        <v>1</v>
      </c>
    </row>
    <row r="131" spans="1:6" hidden="1" x14ac:dyDescent="0.25">
      <c r="A131" t="s">
        <v>2006</v>
      </c>
      <c r="B131" t="s">
        <v>47</v>
      </c>
      <c r="C131" t="s">
        <v>341</v>
      </c>
      <c r="D131">
        <v>1</v>
      </c>
      <c r="E131" s="123">
        <v>9307.48</v>
      </c>
      <c r="F131">
        <v>1</v>
      </c>
    </row>
    <row r="132" spans="1:6" hidden="1" x14ac:dyDescent="0.25">
      <c r="A132" t="s">
        <v>2006</v>
      </c>
      <c r="B132" t="s">
        <v>47</v>
      </c>
      <c r="C132" t="s">
        <v>149</v>
      </c>
      <c r="D132">
        <v>1</v>
      </c>
      <c r="E132" s="123">
        <v>9439.0300000000007</v>
      </c>
      <c r="F132">
        <v>1</v>
      </c>
    </row>
    <row r="133" spans="1:6" hidden="1" x14ac:dyDescent="0.25">
      <c r="A133" t="s">
        <v>2001</v>
      </c>
      <c r="B133" t="s">
        <v>47</v>
      </c>
      <c r="C133" t="s">
        <v>631</v>
      </c>
      <c r="D133">
        <v>1</v>
      </c>
      <c r="E133" s="123">
        <v>942</v>
      </c>
      <c r="F133">
        <v>1</v>
      </c>
    </row>
    <row r="134" spans="1:6" hidden="1" x14ac:dyDescent="0.25">
      <c r="A134" t="s">
        <v>2006</v>
      </c>
      <c r="B134" t="s">
        <v>10</v>
      </c>
      <c r="C134" t="s">
        <v>313</v>
      </c>
      <c r="D134">
        <v>1</v>
      </c>
      <c r="E134" s="123">
        <v>10267.44</v>
      </c>
      <c r="F134">
        <v>1</v>
      </c>
    </row>
    <row r="135" spans="1:6" x14ac:dyDescent="0.25">
      <c r="A135" t="s">
        <v>2006</v>
      </c>
      <c r="B135" t="s">
        <v>17</v>
      </c>
      <c r="C135" t="s">
        <v>28</v>
      </c>
      <c r="D135">
        <v>1</v>
      </c>
      <c r="E135" s="123">
        <v>10953.44</v>
      </c>
      <c r="F135">
        <v>1</v>
      </c>
    </row>
    <row r="136" spans="1:6" x14ac:dyDescent="0.25">
      <c r="A136" t="s">
        <v>2006</v>
      </c>
      <c r="B136" t="s">
        <v>17</v>
      </c>
      <c r="C136" t="s">
        <v>301</v>
      </c>
      <c r="D136">
        <v>1</v>
      </c>
      <c r="E136" s="123">
        <v>11157.67</v>
      </c>
      <c r="F136">
        <v>1</v>
      </c>
    </row>
    <row r="137" spans="1:6" hidden="1" x14ac:dyDescent="0.25">
      <c r="A137" t="s">
        <v>2001</v>
      </c>
      <c r="B137" t="s">
        <v>47</v>
      </c>
      <c r="C137" t="s">
        <v>41</v>
      </c>
      <c r="D137">
        <v>1</v>
      </c>
      <c r="E137" s="123">
        <v>1719</v>
      </c>
      <c r="F137">
        <v>1</v>
      </c>
    </row>
    <row r="138" spans="1:6" hidden="1" x14ac:dyDescent="0.25">
      <c r="A138" t="s">
        <v>2001</v>
      </c>
      <c r="B138" t="s">
        <v>47</v>
      </c>
      <c r="C138" t="s">
        <v>43</v>
      </c>
      <c r="D138">
        <v>1</v>
      </c>
      <c r="E138" s="123">
        <v>3290</v>
      </c>
      <c r="F138">
        <v>1</v>
      </c>
    </row>
    <row r="139" spans="1:6" hidden="1" x14ac:dyDescent="0.25">
      <c r="A139" t="s">
        <v>2001</v>
      </c>
      <c r="B139" t="s">
        <v>47</v>
      </c>
      <c r="C139" t="s">
        <v>390</v>
      </c>
      <c r="D139">
        <v>1</v>
      </c>
      <c r="E139" s="123">
        <v>6863</v>
      </c>
      <c r="F139">
        <v>1</v>
      </c>
    </row>
    <row r="140" spans="1:6" hidden="1" x14ac:dyDescent="0.25">
      <c r="A140" t="s">
        <v>2001</v>
      </c>
      <c r="B140" t="s">
        <v>47</v>
      </c>
      <c r="C140" t="s">
        <v>1938</v>
      </c>
      <c r="D140">
        <v>1</v>
      </c>
      <c r="E140" s="123">
        <v>7946</v>
      </c>
      <c r="F140">
        <v>1</v>
      </c>
    </row>
    <row r="141" spans="1:6" hidden="1" x14ac:dyDescent="0.25">
      <c r="A141" t="s">
        <v>2001</v>
      </c>
      <c r="B141" t="s">
        <v>47</v>
      </c>
      <c r="C141" t="s">
        <v>1863</v>
      </c>
      <c r="D141">
        <v>1</v>
      </c>
      <c r="E141" s="123">
        <v>14848</v>
      </c>
      <c r="F141">
        <v>1</v>
      </c>
    </row>
    <row r="142" spans="1:6" hidden="1" x14ac:dyDescent="0.25">
      <c r="A142" t="s">
        <v>2001</v>
      </c>
      <c r="B142" t="s">
        <v>47</v>
      </c>
      <c r="C142" t="s">
        <v>1866</v>
      </c>
      <c r="D142">
        <v>1</v>
      </c>
      <c r="E142" s="123">
        <v>17026</v>
      </c>
      <c r="F142">
        <v>1</v>
      </c>
    </row>
    <row r="143" spans="1:6" x14ac:dyDescent="0.25">
      <c r="A143" t="s">
        <v>2006</v>
      </c>
      <c r="B143" t="s">
        <v>17</v>
      </c>
      <c r="C143" t="s">
        <v>324</v>
      </c>
      <c r="D143">
        <v>1</v>
      </c>
      <c r="E143" s="123">
        <v>12765.99</v>
      </c>
      <c r="F143">
        <v>1</v>
      </c>
    </row>
    <row r="144" spans="1:6" hidden="1" x14ac:dyDescent="0.25">
      <c r="A144" t="s">
        <v>2006</v>
      </c>
      <c r="B144" t="s">
        <v>47</v>
      </c>
      <c r="C144" t="s">
        <v>361</v>
      </c>
      <c r="D144">
        <v>1</v>
      </c>
      <c r="E144" s="123">
        <v>13088</v>
      </c>
      <c r="F144">
        <v>1</v>
      </c>
    </row>
    <row r="145" spans="1:6" hidden="1" x14ac:dyDescent="0.25">
      <c r="A145" t="s">
        <v>2006</v>
      </c>
      <c r="B145" t="s">
        <v>10</v>
      </c>
      <c r="C145" t="s">
        <v>349</v>
      </c>
      <c r="D145">
        <v>1</v>
      </c>
      <c r="E145" s="123">
        <v>13298.99</v>
      </c>
      <c r="F145">
        <v>1</v>
      </c>
    </row>
    <row r="146" spans="1:6" hidden="1" x14ac:dyDescent="0.25">
      <c r="A146" t="s">
        <v>2005</v>
      </c>
      <c r="B146" t="s">
        <v>47</v>
      </c>
      <c r="C146" t="s">
        <v>593</v>
      </c>
      <c r="D146">
        <v>2</v>
      </c>
      <c r="E146" s="123">
        <v>3930</v>
      </c>
      <c r="F146">
        <v>1</v>
      </c>
    </row>
    <row r="147" spans="1:6" hidden="1" x14ac:dyDescent="0.25">
      <c r="A147" t="s">
        <v>2006</v>
      </c>
      <c r="B147" t="s">
        <v>10</v>
      </c>
      <c r="C147" t="s">
        <v>195</v>
      </c>
      <c r="D147">
        <v>1</v>
      </c>
      <c r="E147" s="123">
        <v>14306</v>
      </c>
      <c r="F147">
        <v>1</v>
      </c>
    </row>
    <row r="148" spans="1:6" hidden="1" x14ac:dyDescent="0.25">
      <c r="A148" t="s">
        <v>2006</v>
      </c>
      <c r="B148" t="s">
        <v>10</v>
      </c>
      <c r="C148" t="s">
        <v>327</v>
      </c>
      <c r="D148">
        <v>1</v>
      </c>
      <c r="E148" s="123">
        <v>14379.59</v>
      </c>
      <c r="F148">
        <v>1</v>
      </c>
    </row>
    <row r="149" spans="1:6" x14ac:dyDescent="0.25">
      <c r="A149" t="s">
        <v>2006</v>
      </c>
      <c r="B149" t="s">
        <v>17</v>
      </c>
      <c r="C149" t="s">
        <v>297</v>
      </c>
      <c r="D149">
        <v>1</v>
      </c>
      <c r="E149" s="123">
        <v>14379.59</v>
      </c>
      <c r="F149">
        <v>1</v>
      </c>
    </row>
    <row r="150" spans="1:6" hidden="1" x14ac:dyDescent="0.25">
      <c r="A150" t="s">
        <v>2005</v>
      </c>
      <c r="B150" t="s">
        <v>47</v>
      </c>
      <c r="C150" t="s">
        <v>46</v>
      </c>
      <c r="D150">
        <v>2</v>
      </c>
      <c r="E150" s="123">
        <v>14286.54</v>
      </c>
      <c r="F150">
        <v>2</v>
      </c>
    </row>
    <row r="151" spans="1:6" hidden="1" x14ac:dyDescent="0.25">
      <c r="A151" t="s">
        <v>2005</v>
      </c>
      <c r="B151" t="s">
        <v>47</v>
      </c>
      <c r="C151" t="s">
        <v>107</v>
      </c>
      <c r="D151">
        <v>2</v>
      </c>
      <c r="E151" s="123">
        <v>18320</v>
      </c>
      <c r="F151">
        <v>2</v>
      </c>
    </row>
    <row r="152" spans="1:6" hidden="1" x14ac:dyDescent="0.25">
      <c r="A152" t="s">
        <v>2004</v>
      </c>
      <c r="B152" t="s">
        <v>47</v>
      </c>
      <c r="C152" t="s">
        <v>458</v>
      </c>
      <c r="D152">
        <v>2</v>
      </c>
      <c r="E152" s="123">
        <v>28373.02</v>
      </c>
      <c r="F152">
        <v>2</v>
      </c>
    </row>
    <row r="153" spans="1:6" hidden="1" x14ac:dyDescent="0.25">
      <c r="A153" t="s">
        <v>2006</v>
      </c>
      <c r="B153" t="s">
        <v>47</v>
      </c>
      <c r="C153" t="s">
        <v>311</v>
      </c>
      <c r="D153">
        <v>1</v>
      </c>
      <c r="E153" s="123">
        <v>18317.97</v>
      </c>
      <c r="F153">
        <v>1</v>
      </c>
    </row>
    <row r="154" spans="1:6" hidden="1" x14ac:dyDescent="0.25">
      <c r="A154" t="s">
        <v>2003</v>
      </c>
      <c r="B154" t="s">
        <v>47</v>
      </c>
      <c r="C154" t="s">
        <v>117</v>
      </c>
      <c r="D154">
        <v>2</v>
      </c>
      <c r="E154" s="123">
        <v>2367</v>
      </c>
      <c r="F154">
        <v>2</v>
      </c>
    </row>
    <row r="155" spans="1:6" hidden="1" x14ac:dyDescent="0.25">
      <c r="A155" t="s">
        <v>2006</v>
      </c>
      <c r="B155" t="s">
        <v>47</v>
      </c>
      <c r="C155" t="s">
        <v>388</v>
      </c>
      <c r="D155">
        <v>2</v>
      </c>
      <c r="E155" s="123">
        <v>20396.98</v>
      </c>
      <c r="F155">
        <v>1</v>
      </c>
    </row>
    <row r="156" spans="1:6" hidden="1" x14ac:dyDescent="0.25">
      <c r="A156" t="s">
        <v>2003</v>
      </c>
      <c r="B156" t="s">
        <v>47</v>
      </c>
      <c r="C156" t="s">
        <v>425</v>
      </c>
      <c r="D156">
        <v>2</v>
      </c>
      <c r="E156" s="123">
        <v>4628</v>
      </c>
      <c r="F156">
        <v>2</v>
      </c>
    </row>
    <row r="157" spans="1:6" x14ac:dyDescent="0.25">
      <c r="A157" t="s">
        <v>2006</v>
      </c>
      <c r="B157" t="s">
        <v>17</v>
      </c>
      <c r="C157" t="s">
        <v>39</v>
      </c>
      <c r="D157">
        <v>1</v>
      </c>
      <c r="E157" s="123">
        <v>21554.55</v>
      </c>
      <c r="F157">
        <v>1</v>
      </c>
    </row>
    <row r="158" spans="1:6" hidden="1" x14ac:dyDescent="0.25">
      <c r="A158" t="s">
        <v>2006</v>
      </c>
      <c r="B158" t="s">
        <v>47</v>
      </c>
      <c r="C158" t="s">
        <v>346</v>
      </c>
      <c r="D158">
        <v>1</v>
      </c>
      <c r="E158" s="123">
        <v>21950</v>
      </c>
      <c r="F158">
        <v>1</v>
      </c>
    </row>
    <row r="159" spans="1:6" hidden="1" x14ac:dyDescent="0.25">
      <c r="A159" t="s">
        <v>2003</v>
      </c>
      <c r="B159" t="s">
        <v>47</v>
      </c>
      <c r="C159" t="s">
        <v>138</v>
      </c>
      <c r="D159">
        <v>2</v>
      </c>
      <c r="E159" s="123">
        <v>7966.99</v>
      </c>
      <c r="F159">
        <v>2</v>
      </c>
    </row>
    <row r="160" spans="1:6" hidden="1" x14ac:dyDescent="0.25">
      <c r="A160" t="s">
        <v>2006</v>
      </c>
      <c r="B160" t="s">
        <v>47</v>
      </c>
      <c r="C160" t="s">
        <v>52</v>
      </c>
      <c r="D160">
        <v>1</v>
      </c>
      <c r="E160" s="123">
        <v>23200.59</v>
      </c>
      <c r="F160">
        <v>1</v>
      </c>
    </row>
    <row r="161" spans="1:6" hidden="1" x14ac:dyDescent="0.25">
      <c r="A161" t="s">
        <v>2003</v>
      </c>
      <c r="B161" t="s">
        <v>47</v>
      </c>
      <c r="C161" t="s">
        <v>68</v>
      </c>
      <c r="D161">
        <v>2</v>
      </c>
      <c r="E161" s="123">
        <v>10037.040000000001</v>
      </c>
      <c r="F161">
        <v>2</v>
      </c>
    </row>
    <row r="162" spans="1:6" hidden="1" x14ac:dyDescent="0.25">
      <c r="A162" t="s">
        <v>2006</v>
      </c>
      <c r="B162" t="s">
        <v>10</v>
      </c>
      <c r="C162" t="s">
        <v>9</v>
      </c>
      <c r="D162">
        <v>1</v>
      </c>
      <c r="E162" s="123">
        <v>24886.959999999999</v>
      </c>
      <c r="F162">
        <v>1</v>
      </c>
    </row>
    <row r="163" spans="1:6" hidden="1" x14ac:dyDescent="0.25">
      <c r="A163" t="s">
        <v>2006</v>
      </c>
      <c r="B163" t="s">
        <v>47</v>
      </c>
      <c r="C163" t="s">
        <v>312</v>
      </c>
      <c r="D163">
        <v>1</v>
      </c>
      <c r="E163" s="123">
        <v>26850</v>
      </c>
      <c r="F163">
        <v>1</v>
      </c>
    </row>
    <row r="164" spans="1:6" hidden="1" x14ac:dyDescent="0.25">
      <c r="A164" t="s">
        <v>2002</v>
      </c>
      <c r="B164" t="s">
        <v>47</v>
      </c>
      <c r="C164" t="s">
        <v>84</v>
      </c>
      <c r="D164">
        <v>2</v>
      </c>
      <c r="E164" s="123">
        <v>958</v>
      </c>
      <c r="F164">
        <v>1</v>
      </c>
    </row>
    <row r="165" spans="1:6" hidden="1" x14ac:dyDescent="0.25">
      <c r="A165" t="s">
        <v>2002</v>
      </c>
      <c r="B165" t="s">
        <v>47</v>
      </c>
      <c r="C165" t="s">
        <v>41</v>
      </c>
      <c r="D165">
        <v>2</v>
      </c>
      <c r="E165" s="123">
        <v>3584</v>
      </c>
      <c r="F165">
        <v>1</v>
      </c>
    </row>
    <row r="166" spans="1:6" hidden="1" x14ac:dyDescent="0.25">
      <c r="A166" t="s">
        <v>2002</v>
      </c>
      <c r="B166" t="s">
        <v>47</v>
      </c>
      <c r="C166" t="s">
        <v>119</v>
      </c>
      <c r="D166">
        <v>2</v>
      </c>
      <c r="E166" s="123">
        <v>6700</v>
      </c>
      <c r="F166">
        <v>1</v>
      </c>
    </row>
    <row r="167" spans="1:6" x14ac:dyDescent="0.25">
      <c r="A167" t="s">
        <v>2006</v>
      </c>
      <c r="B167" t="s">
        <v>17</v>
      </c>
      <c r="C167" t="s">
        <v>303</v>
      </c>
      <c r="D167">
        <v>1</v>
      </c>
      <c r="E167" s="123">
        <v>44593.97</v>
      </c>
      <c r="F167">
        <v>1</v>
      </c>
    </row>
    <row r="168" spans="1:6" hidden="1" x14ac:dyDescent="0.25">
      <c r="A168" t="s">
        <v>2002</v>
      </c>
      <c r="B168" t="s">
        <v>47</v>
      </c>
      <c r="C168" t="s">
        <v>531</v>
      </c>
      <c r="D168">
        <v>2</v>
      </c>
      <c r="E168" s="123">
        <v>7408</v>
      </c>
      <c r="F168">
        <v>1</v>
      </c>
    </row>
    <row r="169" spans="1:6" hidden="1" x14ac:dyDescent="0.25">
      <c r="A169" t="s">
        <v>2002</v>
      </c>
      <c r="B169" t="s">
        <v>47</v>
      </c>
      <c r="C169" t="s">
        <v>478</v>
      </c>
      <c r="D169">
        <v>2</v>
      </c>
      <c r="E169" s="123">
        <v>9847</v>
      </c>
      <c r="F169">
        <v>1</v>
      </c>
    </row>
    <row r="170" spans="1:6" hidden="1" x14ac:dyDescent="0.25">
      <c r="A170" t="s">
        <v>2002</v>
      </c>
      <c r="B170" t="s">
        <v>47</v>
      </c>
      <c r="C170" t="s">
        <v>648</v>
      </c>
      <c r="D170">
        <v>2</v>
      </c>
      <c r="E170" s="123">
        <v>15436.78</v>
      </c>
      <c r="F170">
        <v>1</v>
      </c>
    </row>
    <row r="171" spans="1:6" hidden="1" x14ac:dyDescent="0.25">
      <c r="A171" t="s">
        <v>2002</v>
      </c>
      <c r="B171" t="s">
        <v>47</v>
      </c>
      <c r="C171" t="s">
        <v>46</v>
      </c>
      <c r="D171">
        <v>2</v>
      </c>
      <c r="E171" s="123">
        <v>4289</v>
      </c>
      <c r="F171">
        <v>2</v>
      </c>
    </row>
    <row r="172" spans="1:6" hidden="1" x14ac:dyDescent="0.25">
      <c r="A172" t="s">
        <v>2002</v>
      </c>
      <c r="B172" t="s">
        <v>47</v>
      </c>
      <c r="C172" t="s">
        <v>285</v>
      </c>
      <c r="D172">
        <v>2</v>
      </c>
      <c r="E172" s="123">
        <v>5592.2</v>
      </c>
      <c r="F172">
        <v>2</v>
      </c>
    </row>
    <row r="173" spans="1:6" hidden="1" x14ac:dyDescent="0.25">
      <c r="A173" t="s">
        <v>2001</v>
      </c>
      <c r="B173" t="s">
        <v>47</v>
      </c>
      <c r="C173" t="s">
        <v>339</v>
      </c>
      <c r="D173">
        <v>2</v>
      </c>
      <c r="E173" s="123">
        <v>5198</v>
      </c>
      <c r="F173">
        <v>1</v>
      </c>
    </row>
    <row r="174" spans="1:6" hidden="1" x14ac:dyDescent="0.25">
      <c r="A174" t="s">
        <v>2001</v>
      </c>
      <c r="B174" t="s">
        <v>47</v>
      </c>
      <c r="C174" t="s">
        <v>1939</v>
      </c>
      <c r="D174">
        <v>2</v>
      </c>
      <c r="E174" s="123">
        <v>16732</v>
      </c>
      <c r="F174">
        <v>2</v>
      </c>
    </row>
    <row r="175" spans="1:6" hidden="1" x14ac:dyDescent="0.25">
      <c r="A175" t="s">
        <v>2004</v>
      </c>
      <c r="B175" t="s">
        <v>47</v>
      </c>
      <c r="C175" t="s">
        <v>187</v>
      </c>
      <c r="D175">
        <v>3</v>
      </c>
      <c r="E175" s="123">
        <v>14061.64</v>
      </c>
      <c r="F175">
        <v>2</v>
      </c>
    </row>
    <row r="176" spans="1:6" hidden="1" x14ac:dyDescent="0.25">
      <c r="A176" t="s">
        <v>2006</v>
      </c>
      <c r="B176" t="s">
        <v>10</v>
      </c>
      <c r="C176" t="s">
        <v>303</v>
      </c>
      <c r="D176">
        <v>2</v>
      </c>
      <c r="E176" s="123">
        <v>5382</v>
      </c>
      <c r="F176">
        <v>2</v>
      </c>
    </row>
    <row r="177" spans="1:6" x14ac:dyDescent="0.25">
      <c r="A177" t="s">
        <v>2006</v>
      </c>
      <c r="B177" t="s">
        <v>17</v>
      </c>
      <c r="C177" t="s">
        <v>111</v>
      </c>
      <c r="D177">
        <v>2</v>
      </c>
      <c r="E177" s="123">
        <v>5452</v>
      </c>
      <c r="F177">
        <v>2</v>
      </c>
    </row>
    <row r="178" spans="1:6" hidden="1" x14ac:dyDescent="0.25">
      <c r="A178" t="s">
        <v>2004</v>
      </c>
      <c r="B178" t="s">
        <v>47</v>
      </c>
      <c r="C178" t="s">
        <v>41</v>
      </c>
      <c r="D178">
        <v>3</v>
      </c>
      <c r="E178" s="123">
        <v>35589.89</v>
      </c>
      <c r="F178">
        <v>3</v>
      </c>
    </row>
    <row r="179" spans="1:6" hidden="1" x14ac:dyDescent="0.25">
      <c r="A179" t="s">
        <v>2003</v>
      </c>
      <c r="B179" t="s">
        <v>47</v>
      </c>
      <c r="C179" t="s">
        <v>250</v>
      </c>
      <c r="D179">
        <v>3</v>
      </c>
      <c r="E179" s="123">
        <v>10553.04</v>
      </c>
      <c r="F179">
        <v>1</v>
      </c>
    </row>
    <row r="180" spans="1:6" hidden="1" x14ac:dyDescent="0.25">
      <c r="A180" t="s">
        <v>2003</v>
      </c>
      <c r="B180" t="s">
        <v>47</v>
      </c>
      <c r="C180" t="s">
        <v>43</v>
      </c>
      <c r="D180">
        <v>3</v>
      </c>
      <c r="E180" s="123">
        <v>6184</v>
      </c>
      <c r="F180">
        <v>3</v>
      </c>
    </row>
    <row r="181" spans="1:6" hidden="1" x14ac:dyDescent="0.25">
      <c r="A181" t="s">
        <v>2003</v>
      </c>
      <c r="B181" t="s">
        <v>47</v>
      </c>
      <c r="C181" t="s">
        <v>30</v>
      </c>
      <c r="D181">
        <v>3</v>
      </c>
      <c r="E181" s="123">
        <v>17124.04</v>
      </c>
      <c r="F181">
        <v>3</v>
      </c>
    </row>
    <row r="182" spans="1:6" x14ac:dyDescent="0.25">
      <c r="A182" t="s">
        <v>2006</v>
      </c>
      <c r="B182" t="s">
        <v>17</v>
      </c>
      <c r="C182" t="s">
        <v>35</v>
      </c>
      <c r="D182">
        <v>2</v>
      </c>
      <c r="E182" s="123">
        <v>8695.880000000001</v>
      </c>
      <c r="F182">
        <v>2</v>
      </c>
    </row>
    <row r="183" spans="1:6" x14ac:dyDescent="0.25">
      <c r="A183" t="s">
        <v>2006</v>
      </c>
      <c r="B183" t="s">
        <v>17</v>
      </c>
      <c r="C183" t="s">
        <v>208</v>
      </c>
      <c r="D183">
        <v>2</v>
      </c>
      <c r="E183" s="123">
        <v>9081.75</v>
      </c>
      <c r="F183">
        <v>2</v>
      </c>
    </row>
    <row r="184" spans="1:6" hidden="1" x14ac:dyDescent="0.25">
      <c r="A184" t="s">
        <v>2002</v>
      </c>
      <c r="B184" t="s">
        <v>47</v>
      </c>
      <c r="C184" t="s">
        <v>58</v>
      </c>
      <c r="D184">
        <v>3</v>
      </c>
      <c r="E184" s="123">
        <v>14611.47</v>
      </c>
      <c r="F184">
        <v>1</v>
      </c>
    </row>
    <row r="185" spans="1:6" hidden="1" x14ac:dyDescent="0.25">
      <c r="A185" t="s">
        <v>2006</v>
      </c>
      <c r="B185" t="s">
        <v>10</v>
      </c>
      <c r="C185" t="s">
        <v>267</v>
      </c>
      <c r="D185">
        <v>2</v>
      </c>
      <c r="E185" s="123">
        <v>10081</v>
      </c>
      <c r="F185">
        <v>2</v>
      </c>
    </row>
    <row r="186" spans="1:6" x14ac:dyDescent="0.25">
      <c r="A186" t="s">
        <v>2006</v>
      </c>
      <c r="B186" t="s">
        <v>17</v>
      </c>
      <c r="C186" t="s">
        <v>72</v>
      </c>
      <c r="D186">
        <v>2</v>
      </c>
      <c r="E186" s="123">
        <v>11846</v>
      </c>
      <c r="F186">
        <v>2</v>
      </c>
    </row>
    <row r="187" spans="1:6" x14ac:dyDescent="0.25">
      <c r="A187" t="s">
        <v>2006</v>
      </c>
      <c r="B187" t="s">
        <v>17</v>
      </c>
      <c r="C187" t="s">
        <v>152</v>
      </c>
      <c r="D187">
        <v>2</v>
      </c>
      <c r="E187" s="123">
        <v>12378.24</v>
      </c>
      <c r="F187">
        <v>2</v>
      </c>
    </row>
    <row r="188" spans="1:6" x14ac:dyDescent="0.25">
      <c r="A188" t="s">
        <v>2006</v>
      </c>
      <c r="B188" t="s">
        <v>17</v>
      </c>
      <c r="C188" t="s">
        <v>274</v>
      </c>
      <c r="D188">
        <v>3</v>
      </c>
      <c r="E188" s="123">
        <v>12965.71</v>
      </c>
      <c r="F188">
        <v>2</v>
      </c>
    </row>
    <row r="189" spans="1:6" hidden="1" x14ac:dyDescent="0.25">
      <c r="A189" t="s">
        <v>2002</v>
      </c>
      <c r="B189" t="s">
        <v>47</v>
      </c>
      <c r="C189" t="s">
        <v>43</v>
      </c>
      <c r="D189">
        <v>3</v>
      </c>
      <c r="E189" s="123">
        <v>9011</v>
      </c>
      <c r="F189">
        <v>2</v>
      </c>
    </row>
    <row r="190" spans="1:6" hidden="1" x14ac:dyDescent="0.25">
      <c r="A190" t="s">
        <v>2002</v>
      </c>
      <c r="B190" t="s">
        <v>47</v>
      </c>
      <c r="C190" t="s">
        <v>68</v>
      </c>
      <c r="D190">
        <v>3</v>
      </c>
      <c r="E190" s="123">
        <v>11345.32</v>
      </c>
      <c r="F190">
        <v>2</v>
      </c>
    </row>
    <row r="191" spans="1:6" hidden="1" x14ac:dyDescent="0.25">
      <c r="A191" t="s">
        <v>2001</v>
      </c>
      <c r="B191" t="s">
        <v>47</v>
      </c>
      <c r="C191" t="s">
        <v>336</v>
      </c>
      <c r="D191">
        <v>3</v>
      </c>
      <c r="E191" s="123">
        <v>2657.12</v>
      </c>
      <c r="F191">
        <v>1</v>
      </c>
    </row>
    <row r="192" spans="1:6" hidden="1" x14ac:dyDescent="0.25">
      <c r="A192" t="s">
        <v>2001</v>
      </c>
      <c r="B192" t="s">
        <v>47</v>
      </c>
      <c r="C192" t="s">
        <v>144</v>
      </c>
      <c r="D192">
        <v>3</v>
      </c>
      <c r="E192" s="123">
        <v>7432</v>
      </c>
      <c r="F192">
        <v>1</v>
      </c>
    </row>
    <row r="193" spans="1:6" hidden="1" x14ac:dyDescent="0.25">
      <c r="A193" t="s">
        <v>2001</v>
      </c>
      <c r="B193" t="s">
        <v>47</v>
      </c>
      <c r="C193" t="s">
        <v>458</v>
      </c>
      <c r="D193">
        <v>3</v>
      </c>
      <c r="E193" s="123">
        <v>18128.169999999998</v>
      </c>
      <c r="F193">
        <v>1</v>
      </c>
    </row>
    <row r="194" spans="1:6" hidden="1" x14ac:dyDescent="0.25">
      <c r="A194" t="s">
        <v>2003</v>
      </c>
      <c r="B194" t="s">
        <v>47</v>
      </c>
      <c r="C194" t="s">
        <v>41</v>
      </c>
      <c r="D194">
        <v>4</v>
      </c>
      <c r="E194" s="123">
        <v>12416.92</v>
      </c>
      <c r="F194">
        <v>4</v>
      </c>
    </row>
    <row r="195" spans="1:6" hidden="1" x14ac:dyDescent="0.25">
      <c r="A195" t="s">
        <v>2006</v>
      </c>
      <c r="B195" t="s">
        <v>10</v>
      </c>
      <c r="C195" t="s">
        <v>28</v>
      </c>
      <c r="D195">
        <v>2</v>
      </c>
      <c r="E195" s="123">
        <v>24146</v>
      </c>
      <c r="F195">
        <v>2</v>
      </c>
    </row>
    <row r="196" spans="1:6" hidden="1" x14ac:dyDescent="0.25">
      <c r="A196" t="s">
        <v>2002</v>
      </c>
      <c r="B196" t="s">
        <v>47</v>
      </c>
      <c r="C196" t="s">
        <v>1151</v>
      </c>
      <c r="D196">
        <v>4</v>
      </c>
      <c r="E196" s="123">
        <v>26123.99</v>
      </c>
      <c r="F196">
        <v>1</v>
      </c>
    </row>
    <row r="197" spans="1:6" hidden="1" x14ac:dyDescent="0.25">
      <c r="A197" t="s">
        <v>2005</v>
      </c>
      <c r="B197" t="s">
        <v>47</v>
      </c>
      <c r="C197" t="s">
        <v>41</v>
      </c>
      <c r="D197">
        <v>5</v>
      </c>
      <c r="E197" s="123">
        <v>12712</v>
      </c>
      <c r="F197">
        <v>4</v>
      </c>
    </row>
    <row r="198" spans="1:6" hidden="1" x14ac:dyDescent="0.25">
      <c r="A198" t="s">
        <v>2003</v>
      </c>
      <c r="B198" t="s">
        <v>47</v>
      </c>
      <c r="C198" t="s">
        <v>16</v>
      </c>
      <c r="D198">
        <v>5</v>
      </c>
      <c r="E198" s="123">
        <v>29236.81</v>
      </c>
      <c r="F198">
        <v>2</v>
      </c>
    </row>
    <row r="199" spans="1:6" x14ac:dyDescent="0.25">
      <c r="A199" t="s">
        <v>2006</v>
      </c>
      <c r="B199" t="s">
        <v>17</v>
      </c>
      <c r="C199" t="s">
        <v>23</v>
      </c>
      <c r="D199">
        <v>2</v>
      </c>
      <c r="E199" s="123">
        <v>48259.66</v>
      </c>
      <c r="F199">
        <v>2</v>
      </c>
    </row>
    <row r="200" spans="1:6" hidden="1" x14ac:dyDescent="0.25">
      <c r="A200" t="s">
        <v>2002</v>
      </c>
      <c r="B200" t="s">
        <v>47</v>
      </c>
      <c r="C200" t="s">
        <v>187</v>
      </c>
      <c r="D200">
        <v>5</v>
      </c>
      <c r="E200" s="123">
        <v>8108</v>
      </c>
      <c r="F200">
        <v>2</v>
      </c>
    </row>
    <row r="201" spans="1:6" hidden="1" x14ac:dyDescent="0.25">
      <c r="A201" t="s">
        <v>2004</v>
      </c>
      <c r="B201" t="s">
        <v>47</v>
      </c>
      <c r="C201" t="s">
        <v>30</v>
      </c>
      <c r="D201">
        <v>6</v>
      </c>
      <c r="E201" s="123">
        <v>25950.29</v>
      </c>
      <c r="F201">
        <v>2</v>
      </c>
    </row>
    <row r="202" spans="1:6" hidden="1" x14ac:dyDescent="0.25">
      <c r="A202" t="s">
        <v>2006</v>
      </c>
      <c r="B202" t="s">
        <v>10</v>
      </c>
      <c r="C202" t="s">
        <v>60</v>
      </c>
      <c r="D202">
        <v>4</v>
      </c>
      <c r="E202" s="123">
        <v>9781.64</v>
      </c>
      <c r="F202">
        <v>3</v>
      </c>
    </row>
    <row r="203" spans="1:6" hidden="1" x14ac:dyDescent="0.25">
      <c r="A203" t="s">
        <v>2004</v>
      </c>
      <c r="B203" t="s">
        <v>955</v>
      </c>
      <c r="C203" t="s">
        <v>46</v>
      </c>
      <c r="D203">
        <v>1</v>
      </c>
      <c r="E203" s="123">
        <v>5314</v>
      </c>
      <c r="F203">
        <v>1</v>
      </c>
    </row>
    <row r="204" spans="1:6" hidden="1" x14ac:dyDescent="0.25">
      <c r="A204" t="s">
        <v>2004</v>
      </c>
      <c r="B204" t="s">
        <v>955</v>
      </c>
      <c r="C204" t="s">
        <v>123</v>
      </c>
      <c r="D204">
        <v>1</v>
      </c>
      <c r="E204" s="123">
        <v>5885.01</v>
      </c>
      <c r="F204">
        <v>1</v>
      </c>
    </row>
    <row r="205" spans="1:6" hidden="1" x14ac:dyDescent="0.25">
      <c r="A205" t="s">
        <v>2006</v>
      </c>
      <c r="B205" t="s">
        <v>10</v>
      </c>
      <c r="C205" t="s">
        <v>123</v>
      </c>
      <c r="D205">
        <v>1</v>
      </c>
      <c r="E205" s="123">
        <v>568</v>
      </c>
      <c r="F205">
        <v>1</v>
      </c>
    </row>
    <row r="206" spans="1:6" hidden="1" x14ac:dyDescent="0.25">
      <c r="A206" t="s">
        <v>2006</v>
      </c>
      <c r="B206" t="s">
        <v>10</v>
      </c>
      <c r="C206" t="s">
        <v>390</v>
      </c>
      <c r="D206">
        <v>1</v>
      </c>
      <c r="E206" s="123">
        <v>1650</v>
      </c>
      <c r="F206">
        <v>1</v>
      </c>
    </row>
    <row r="207" spans="1:6" hidden="1" x14ac:dyDescent="0.25">
      <c r="A207" t="s">
        <v>2006</v>
      </c>
      <c r="B207" t="s">
        <v>10</v>
      </c>
      <c r="C207" t="s">
        <v>174</v>
      </c>
      <c r="D207">
        <v>1</v>
      </c>
      <c r="E207" s="123">
        <v>1920</v>
      </c>
      <c r="F207">
        <v>1</v>
      </c>
    </row>
    <row r="208" spans="1:6" x14ac:dyDescent="0.25">
      <c r="A208" t="s">
        <v>2006</v>
      </c>
      <c r="B208" t="s">
        <v>17</v>
      </c>
      <c r="C208" t="s">
        <v>201</v>
      </c>
      <c r="D208">
        <v>3</v>
      </c>
      <c r="E208" s="123">
        <v>28050</v>
      </c>
      <c r="F208">
        <v>3</v>
      </c>
    </row>
    <row r="209" spans="1:8" hidden="1" x14ac:dyDescent="0.25">
      <c r="A209" t="s">
        <v>2006</v>
      </c>
      <c r="B209" t="s">
        <v>10</v>
      </c>
      <c r="C209" t="s">
        <v>129</v>
      </c>
      <c r="D209">
        <v>1</v>
      </c>
      <c r="E209" s="123">
        <v>1935</v>
      </c>
      <c r="F209">
        <v>1</v>
      </c>
    </row>
    <row r="210" spans="1:8" hidden="1" x14ac:dyDescent="0.25">
      <c r="A210" t="s">
        <v>2006</v>
      </c>
      <c r="B210" t="s">
        <v>10</v>
      </c>
      <c r="C210" t="s">
        <v>4</v>
      </c>
      <c r="D210">
        <v>1</v>
      </c>
      <c r="E210" s="123">
        <v>2723</v>
      </c>
      <c r="F210">
        <v>1</v>
      </c>
    </row>
    <row r="211" spans="1:8" hidden="1" x14ac:dyDescent="0.25">
      <c r="A211" t="s">
        <v>2006</v>
      </c>
      <c r="B211" t="s">
        <v>10</v>
      </c>
      <c r="C211" t="s">
        <v>130</v>
      </c>
      <c r="D211">
        <v>1</v>
      </c>
      <c r="E211" s="123">
        <v>2964</v>
      </c>
      <c r="F211">
        <v>1</v>
      </c>
    </row>
    <row r="212" spans="1:8" hidden="1" x14ac:dyDescent="0.25">
      <c r="A212" t="s">
        <v>2006</v>
      </c>
      <c r="B212" t="s">
        <v>10</v>
      </c>
      <c r="C212" t="s">
        <v>41</v>
      </c>
      <c r="D212">
        <v>1</v>
      </c>
      <c r="E212" s="123">
        <v>4741.3999999999996</v>
      </c>
      <c r="F212">
        <v>1</v>
      </c>
    </row>
    <row r="213" spans="1:8" hidden="1" x14ac:dyDescent="0.25">
      <c r="A213" t="s">
        <v>2006</v>
      </c>
      <c r="B213" t="s">
        <v>10</v>
      </c>
      <c r="C213" t="s">
        <v>113</v>
      </c>
      <c r="D213">
        <v>1</v>
      </c>
      <c r="E213" s="123">
        <v>4906</v>
      </c>
      <c r="F213">
        <v>1</v>
      </c>
    </row>
    <row r="214" spans="1:8" hidden="1" x14ac:dyDescent="0.25">
      <c r="A214" t="s">
        <v>2006</v>
      </c>
      <c r="B214" t="s">
        <v>10</v>
      </c>
      <c r="C214" t="s">
        <v>336</v>
      </c>
      <c r="D214">
        <v>1</v>
      </c>
      <c r="E214" s="123">
        <v>5626.96</v>
      </c>
      <c r="F214">
        <v>1</v>
      </c>
    </row>
    <row r="215" spans="1:8" x14ac:dyDescent="0.25">
      <c r="A215" t="s">
        <v>2006</v>
      </c>
      <c r="B215" t="s">
        <v>17</v>
      </c>
      <c r="C215" t="s">
        <v>74</v>
      </c>
      <c r="D215">
        <v>5</v>
      </c>
      <c r="E215" s="123">
        <v>37749</v>
      </c>
      <c r="F215">
        <v>4</v>
      </c>
    </row>
    <row r="216" spans="1:8" hidden="1" x14ac:dyDescent="0.25">
      <c r="A216" t="s">
        <v>2006</v>
      </c>
      <c r="B216" t="s">
        <v>10</v>
      </c>
      <c r="C216" t="s">
        <v>30</v>
      </c>
      <c r="D216">
        <v>2</v>
      </c>
      <c r="E216" s="123">
        <v>6959.52</v>
      </c>
      <c r="F216">
        <v>1</v>
      </c>
    </row>
    <row r="217" spans="1:8" hidden="1" x14ac:dyDescent="0.25">
      <c r="A217" t="s">
        <v>2006</v>
      </c>
      <c r="B217" t="s">
        <v>10</v>
      </c>
      <c r="C217" t="s">
        <v>250</v>
      </c>
      <c r="D217">
        <v>1</v>
      </c>
      <c r="E217" s="123">
        <v>7379.39</v>
      </c>
      <c r="F217">
        <v>1</v>
      </c>
    </row>
    <row r="218" spans="1:8" hidden="1" x14ac:dyDescent="0.25">
      <c r="A218" t="s">
        <v>2006</v>
      </c>
      <c r="B218" t="s">
        <v>10</v>
      </c>
      <c r="C218" t="s">
        <v>56</v>
      </c>
      <c r="D218">
        <v>1</v>
      </c>
      <c r="E218" s="123">
        <v>7911.92</v>
      </c>
      <c r="F218">
        <v>1</v>
      </c>
      <c r="G218" t="s">
        <v>2014</v>
      </c>
      <c r="H218" s="125">
        <f>SUM(E217:E1404)</f>
        <v>15986199.723000018</v>
      </c>
    </row>
    <row r="219" spans="1:8" hidden="1" x14ac:dyDescent="0.25">
      <c r="A219" t="s">
        <v>2006</v>
      </c>
      <c r="B219" t="s">
        <v>10</v>
      </c>
      <c r="C219" t="s">
        <v>6</v>
      </c>
      <c r="D219">
        <v>2</v>
      </c>
      <c r="E219" s="123">
        <v>8300</v>
      </c>
      <c r="F219">
        <v>1</v>
      </c>
    </row>
    <row r="220" spans="1:8" hidden="1" x14ac:dyDescent="0.25">
      <c r="A220" t="s">
        <v>2005</v>
      </c>
      <c r="B220" t="s">
        <v>47</v>
      </c>
      <c r="C220" t="s">
        <v>311</v>
      </c>
      <c r="D220">
        <v>1</v>
      </c>
      <c r="E220" s="123">
        <v>0</v>
      </c>
      <c r="F220">
        <v>1</v>
      </c>
    </row>
    <row r="221" spans="1:8" x14ac:dyDescent="0.25">
      <c r="A221" t="s">
        <v>2005</v>
      </c>
      <c r="B221" t="s">
        <v>17</v>
      </c>
      <c r="C221" t="s">
        <v>564</v>
      </c>
      <c r="D221">
        <v>1</v>
      </c>
      <c r="E221" s="123">
        <v>74.959999999999994</v>
      </c>
      <c r="F221">
        <v>1</v>
      </c>
    </row>
    <row r="222" spans="1:8" hidden="1" x14ac:dyDescent="0.25">
      <c r="A222" t="s">
        <v>2005</v>
      </c>
      <c r="B222" t="s">
        <v>10</v>
      </c>
      <c r="C222" t="s">
        <v>450</v>
      </c>
      <c r="D222">
        <v>1</v>
      </c>
      <c r="E222" s="123">
        <v>102</v>
      </c>
      <c r="F222">
        <v>1</v>
      </c>
    </row>
    <row r="223" spans="1:8" hidden="1" x14ac:dyDescent="0.25">
      <c r="A223" t="s">
        <v>2005</v>
      </c>
      <c r="B223" t="s">
        <v>10</v>
      </c>
      <c r="C223" t="s">
        <v>743</v>
      </c>
      <c r="D223">
        <v>1</v>
      </c>
      <c r="E223" s="123">
        <v>211</v>
      </c>
      <c r="F223">
        <v>1</v>
      </c>
    </row>
    <row r="224" spans="1:8" hidden="1" x14ac:dyDescent="0.25">
      <c r="A224" t="s">
        <v>2006</v>
      </c>
      <c r="B224" t="s">
        <v>10</v>
      </c>
      <c r="C224" t="s">
        <v>163</v>
      </c>
      <c r="D224">
        <v>1</v>
      </c>
      <c r="E224" s="123">
        <v>11958.99</v>
      </c>
      <c r="F224">
        <v>1</v>
      </c>
    </row>
    <row r="225" spans="1:6" hidden="1" x14ac:dyDescent="0.25">
      <c r="A225" t="s">
        <v>2005</v>
      </c>
      <c r="B225" t="s">
        <v>47</v>
      </c>
      <c r="C225" t="s">
        <v>827</v>
      </c>
      <c r="D225">
        <v>1</v>
      </c>
      <c r="E225" s="123">
        <v>330</v>
      </c>
      <c r="F225">
        <v>1</v>
      </c>
    </row>
    <row r="226" spans="1:6" hidden="1" x14ac:dyDescent="0.25">
      <c r="A226" t="s">
        <v>2005</v>
      </c>
      <c r="B226" t="s">
        <v>10</v>
      </c>
      <c r="C226" t="s">
        <v>814</v>
      </c>
      <c r="D226">
        <v>1</v>
      </c>
      <c r="E226" s="123">
        <v>505</v>
      </c>
      <c r="F226">
        <v>1</v>
      </c>
    </row>
    <row r="227" spans="1:6" hidden="1" x14ac:dyDescent="0.25">
      <c r="A227" t="s">
        <v>2005</v>
      </c>
      <c r="B227" t="s">
        <v>10</v>
      </c>
      <c r="C227" t="s">
        <v>306</v>
      </c>
      <c r="D227">
        <v>1</v>
      </c>
      <c r="E227" s="123">
        <v>573.20000000000005</v>
      </c>
      <c r="F227">
        <v>1</v>
      </c>
    </row>
    <row r="228" spans="1:6" hidden="1" x14ac:dyDescent="0.25">
      <c r="A228" t="s">
        <v>2005</v>
      </c>
      <c r="B228" t="s">
        <v>10</v>
      </c>
      <c r="C228" t="s">
        <v>575</v>
      </c>
      <c r="D228">
        <v>1</v>
      </c>
      <c r="E228" s="123">
        <v>595</v>
      </c>
      <c r="F228">
        <v>1</v>
      </c>
    </row>
    <row r="229" spans="1:6" x14ac:dyDescent="0.25">
      <c r="A229" t="s">
        <v>2005</v>
      </c>
      <c r="B229" t="s">
        <v>17</v>
      </c>
      <c r="C229" t="s">
        <v>297</v>
      </c>
      <c r="D229">
        <v>1</v>
      </c>
      <c r="E229" s="123">
        <v>603</v>
      </c>
      <c r="F229">
        <v>1</v>
      </c>
    </row>
    <row r="230" spans="1:6" hidden="1" x14ac:dyDescent="0.25">
      <c r="A230" t="s">
        <v>2006</v>
      </c>
      <c r="B230" t="s">
        <v>10</v>
      </c>
      <c r="C230" t="s">
        <v>43</v>
      </c>
      <c r="D230">
        <v>1</v>
      </c>
      <c r="E230" s="123">
        <v>14735.64</v>
      </c>
      <c r="F230">
        <v>1</v>
      </c>
    </row>
    <row r="231" spans="1:6" hidden="1" x14ac:dyDescent="0.25">
      <c r="A231" t="s">
        <v>2006</v>
      </c>
      <c r="B231" t="s">
        <v>10</v>
      </c>
      <c r="C231" t="s">
        <v>252</v>
      </c>
      <c r="D231">
        <v>1</v>
      </c>
      <c r="E231" s="123">
        <v>38677.370000000003</v>
      </c>
      <c r="F231">
        <v>1</v>
      </c>
    </row>
    <row r="232" spans="1:6" x14ac:dyDescent="0.25">
      <c r="A232" t="s">
        <v>2005</v>
      </c>
      <c r="B232" t="s">
        <v>17</v>
      </c>
      <c r="C232" t="s">
        <v>808</v>
      </c>
      <c r="D232">
        <v>1</v>
      </c>
      <c r="E232" s="123">
        <v>714.08</v>
      </c>
      <c r="F232">
        <v>1</v>
      </c>
    </row>
    <row r="233" spans="1:6" hidden="1" x14ac:dyDescent="0.25">
      <c r="A233" t="s">
        <v>2005</v>
      </c>
      <c r="B233" t="s">
        <v>10</v>
      </c>
      <c r="C233" t="s">
        <v>745</v>
      </c>
      <c r="D233">
        <v>1</v>
      </c>
      <c r="E233" s="123">
        <v>813.48</v>
      </c>
      <c r="F233">
        <v>1</v>
      </c>
    </row>
    <row r="234" spans="1:6" hidden="1" x14ac:dyDescent="0.25">
      <c r="A234" t="s">
        <v>2006</v>
      </c>
      <c r="B234" t="s">
        <v>10</v>
      </c>
      <c r="C234" t="s">
        <v>84</v>
      </c>
      <c r="D234">
        <v>2</v>
      </c>
      <c r="E234" s="123">
        <v>4912</v>
      </c>
      <c r="F234">
        <v>2</v>
      </c>
    </row>
    <row r="235" spans="1:6" x14ac:dyDescent="0.25">
      <c r="A235" t="s">
        <v>2005</v>
      </c>
      <c r="B235" t="s">
        <v>17</v>
      </c>
      <c r="C235" t="s">
        <v>733</v>
      </c>
      <c r="D235">
        <v>1</v>
      </c>
      <c r="E235" s="123">
        <v>1000</v>
      </c>
      <c r="F235">
        <v>1</v>
      </c>
    </row>
    <row r="236" spans="1:6" hidden="1" x14ac:dyDescent="0.25">
      <c r="A236" t="s">
        <v>2005</v>
      </c>
      <c r="B236" t="s">
        <v>47</v>
      </c>
      <c r="C236" t="s">
        <v>538</v>
      </c>
      <c r="D236">
        <v>1</v>
      </c>
      <c r="E236" s="123">
        <v>1100</v>
      </c>
      <c r="F236">
        <v>1</v>
      </c>
    </row>
    <row r="237" spans="1:6" hidden="1" x14ac:dyDescent="0.25">
      <c r="A237" t="s">
        <v>2005</v>
      </c>
      <c r="B237" t="s">
        <v>47</v>
      </c>
      <c r="C237" t="s">
        <v>541</v>
      </c>
      <c r="D237">
        <v>1</v>
      </c>
      <c r="E237" s="123">
        <v>1130</v>
      </c>
      <c r="F237">
        <v>1</v>
      </c>
    </row>
    <row r="238" spans="1:6" x14ac:dyDescent="0.25">
      <c r="A238" t="s">
        <v>2005</v>
      </c>
      <c r="B238" t="s">
        <v>17</v>
      </c>
      <c r="C238" t="s">
        <v>545</v>
      </c>
      <c r="D238">
        <v>1</v>
      </c>
      <c r="E238" s="123">
        <v>1147.96</v>
      </c>
      <c r="F238">
        <v>1</v>
      </c>
    </row>
    <row r="239" spans="1:6" x14ac:dyDescent="0.25">
      <c r="A239" t="s">
        <v>2005</v>
      </c>
      <c r="B239" t="s">
        <v>17</v>
      </c>
      <c r="C239" t="s">
        <v>818</v>
      </c>
      <c r="D239">
        <v>1</v>
      </c>
      <c r="E239" s="123">
        <v>1206</v>
      </c>
      <c r="F239">
        <v>1</v>
      </c>
    </row>
    <row r="240" spans="1:6" x14ac:dyDescent="0.25">
      <c r="A240" t="s">
        <v>2005</v>
      </c>
      <c r="B240" t="s">
        <v>17</v>
      </c>
      <c r="C240" t="s">
        <v>586</v>
      </c>
      <c r="D240">
        <v>1</v>
      </c>
      <c r="E240" s="123">
        <v>1206</v>
      </c>
      <c r="F240">
        <v>1</v>
      </c>
    </row>
    <row r="241" spans="1:6" hidden="1" x14ac:dyDescent="0.25">
      <c r="A241" t="s">
        <v>2006</v>
      </c>
      <c r="B241" t="s">
        <v>10</v>
      </c>
      <c r="C241" t="s">
        <v>103</v>
      </c>
      <c r="D241">
        <v>2</v>
      </c>
      <c r="E241" s="123">
        <v>9917.99</v>
      </c>
      <c r="F241">
        <v>2</v>
      </c>
    </row>
    <row r="242" spans="1:6" x14ac:dyDescent="0.25">
      <c r="A242" t="s">
        <v>2005</v>
      </c>
      <c r="B242" t="s">
        <v>17</v>
      </c>
      <c r="C242" t="s">
        <v>769</v>
      </c>
      <c r="D242">
        <v>1</v>
      </c>
      <c r="E242" s="123">
        <v>1259</v>
      </c>
      <c r="F242">
        <v>1</v>
      </c>
    </row>
    <row r="243" spans="1:6" hidden="1" x14ac:dyDescent="0.25">
      <c r="A243" t="s">
        <v>2005</v>
      </c>
      <c r="B243" t="s">
        <v>47</v>
      </c>
      <c r="C243" t="s">
        <v>60</v>
      </c>
      <c r="D243">
        <v>1</v>
      </c>
      <c r="E243" s="123">
        <v>1300</v>
      </c>
      <c r="F243">
        <v>1</v>
      </c>
    </row>
    <row r="244" spans="1:6" hidden="1" x14ac:dyDescent="0.25">
      <c r="A244" t="s">
        <v>2006</v>
      </c>
      <c r="B244" t="s">
        <v>10</v>
      </c>
      <c r="C244" t="s">
        <v>204</v>
      </c>
      <c r="D244">
        <v>2</v>
      </c>
      <c r="E244" s="123">
        <v>14325</v>
      </c>
      <c r="F244">
        <v>2</v>
      </c>
    </row>
    <row r="245" spans="1:6" hidden="1" x14ac:dyDescent="0.25">
      <c r="A245" t="s">
        <v>2006</v>
      </c>
      <c r="B245" t="s">
        <v>10</v>
      </c>
      <c r="C245" t="s">
        <v>115</v>
      </c>
      <c r="D245">
        <v>2</v>
      </c>
      <c r="E245" s="123">
        <v>19096.349999999999</v>
      </c>
      <c r="F245">
        <v>2</v>
      </c>
    </row>
    <row r="246" spans="1:6" hidden="1" x14ac:dyDescent="0.25">
      <c r="A246" t="s">
        <v>2006</v>
      </c>
      <c r="B246" t="s">
        <v>10</v>
      </c>
      <c r="C246" t="s">
        <v>78</v>
      </c>
      <c r="D246">
        <v>2</v>
      </c>
      <c r="E246" s="123">
        <v>35976.79</v>
      </c>
      <c r="F246">
        <v>2</v>
      </c>
    </row>
    <row r="247" spans="1:6" hidden="1" x14ac:dyDescent="0.25">
      <c r="A247" t="s">
        <v>2006</v>
      </c>
      <c r="B247" t="s">
        <v>10</v>
      </c>
      <c r="C247" t="s">
        <v>237</v>
      </c>
      <c r="D247">
        <v>3</v>
      </c>
      <c r="E247" s="123">
        <v>22025</v>
      </c>
      <c r="F247">
        <v>3</v>
      </c>
    </row>
    <row r="248" spans="1:6" x14ac:dyDescent="0.25">
      <c r="A248" t="s">
        <v>2005</v>
      </c>
      <c r="B248" t="s">
        <v>17</v>
      </c>
      <c r="C248" t="s">
        <v>791</v>
      </c>
      <c r="D248">
        <v>1</v>
      </c>
      <c r="E248" s="123">
        <v>1341.76</v>
      </c>
      <c r="F248">
        <v>1</v>
      </c>
    </row>
    <row r="249" spans="1:6" x14ac:dyDescent="0.25">
      <c r="A249" t="s">
        <v>2005</v>
      </c>
      <c r="B249" t="s">
        <v>17</v>
      </c>
      <c r="C249" t="s">
        <v>558</v>
      </c>
      <c r="D249">
        <v>1</v>
      </c>
      <c r="E249" s="123">
        <v>1500</v>
      </c>
      <c r="F249">
        <v>1</v>
      </c>
    </row>
    <row r="250" spans="1:6" hidden="1" x14ac:dyDescent="0.25">
      <c r="A250" t="s">
        <v>2005</v>
      </c>
      <c r="B250" t="s">
        <v>10</v>
      </c>
      <c r="C250" t="s">
        <v>832</v>
      </c>
      <c r="D250">
        <v>1</v>
      </c>
      <c r="E250" s="123">
        <v>1517</v>
      </c>
      <c r="F250">
        <v>1</v>
      </c>
    </row>
    <row r="251" spans="1:6" hidden="1" x14ac:dyDescent="0.25">
      <c r="A251" t="s">
        <v>2005</v>
      </c>
      <c r="B251" t="s">
        <v>47</v>
      </c>
      <c r="C251" t="s">
        <v>274</v>
      </c>
      <c r="D251">
        <v>1</v>
      </c>
      <c r="E251" s="123">
        <v>1530</v>
      </c>
      <c r="F251">
        <v>1</v>
      </c>
    </row>
    <row r="252" spans="1:6" hidden="1" x14ac:dyDescent="0.25">
      <c r="A252" t="s">
        <v>2006</v>
      </c>
      <c r="B252" t="s">
        <v>10</v>
      </c>
      <c r="C252" t="s">
        <v>138</v>
      </c>
      <c r="D252">
        <v>9</v>
      </c>
      <c r="E252" s="123">
        <v>28806.880000000001</v>
      </c>
      <c r="F252">
        <v>3</v>
      </c>
    </row>
    <row r="253" spans="1:6" hidden="1" x14ac:dyDescent="0.25">
      <c r="A253" t="s">
        <v>2005</v>
      </c>
      <c r="B253" t="s">
        <v>47</v>
      </c>
      <c r="C253" t="s">
        <v>206</v>
      </c>
      <c r="D253">
        <v>1</v>
      </c>
      <c r="E253" s="123">
        <v>1630</v>
      </c>
      <c r="F253">
        <v>1</v>
      </c>
    </row>
    <row r="254" spans="1:6" hidden="1" x14ac:dyDescent="0.25">
      <c r="A254" t="s">
        <v>2005</v>
      </c>
      <c r="B254" t="s">
        <v>10</v>
      </c>
      <c r="C254">
        <v>0</v>
      </c>
      <c r="D254">
        <v>1</v>
      </c>
      <c r="E254" s="123">
        <v>1682.04</v>
      </c>
      <c r="F254">
        <v>1</v>
      </c>
    </row>
    <row r="255" spans="1:6" hidden="1" x14ac:dyDescent="0.25">
      <c r="A255" t="s">
        <v>2006</v>
      </c>
      <c r="B255" t="s">
        <v>10</v>
      </c>
      <c r="C255" t="s">
        <v>46</v>
      </c>
      <c r="D255">
        <v>3</v>
      </c>
      <c r="E255" s="123">
        <v>36809.980000000003</v>
      </c>
      <c r="F255">
        <v>3</v>
      </c>
    </row>
    <row r="256" spans="1:6" hidden="1" x14ac:dyDescent="0.25">
      <c r="A256" t="s">
        <v>2006</v>
      </c>
      <c r="B256" t="s">
        <v>10</v>
      </c>
      <c r="C256" t="s">
        <v>88</v>
      </c>
      <c r="D256">
        <v>5</v>
      </c>
      <c r="E256" s="123">
        <v>13324.8</v>
      </c>
      <c r="F256">
        <v>5</v>
      </c>
    </row>
    <row r="257" spans="1:6" hidden="1" x14ac:dyDescent="0.25">
      <c r="A257" t="s">
        <v>2005</v>
      </c>
      <c r="B257" t="s">
        <v>10</v>
      </c>
      <c r="C257" t="s">
        <v>425</v>
      </c>
      <c r="D257">
        <v>1</v>
      </c>
      <c r="E257" s="123">
        <v>650</v>
      </c>
      <c r="F257">
        <v>1</v>
      </c>
    </row>
    <row r="258" spans="1:6" hidden="1" x14ac:dyDescent="0.25">
      <c r="A258" t="s">
        <v>2005</v>
      </c>
      <c r="B258" t="s">
        <v>10</v>
      </c>
      <c r="C258" t="s">
        <v>63</v>
      </c>
      <c r="D258">
        <v>1</v>
      </c>
      <c r="E258" s="123">
        <v>650</v>
      </c>
      <c r="F258">
        <v>1</v>
      </c>
    </row>
    <row r="259" spans="1:6" hidden="1" x14ac:dyDescent="0.25">
      <c r="A259" t="s">
        <v>2005</v>
      </c>
      <c r="B259" t="s">
        <v>10</v>
      </c>
      <c r="C259" t="s">
        <v>572</v>
      </c>
      <c r="D259">
        <v>1</v>
      </c>
      <c r="E259" s="123">
        <v>1950</v>
      </c>
      <c r="F259">
        <v>1</v>
      </c>
    </row>
    <row r="260" spans="1:6" hidden="1" x14ac:dyDescent="0.25">
      <c r="A260" t="s">
        <v>2005</v>
      </c>
      <c r="B260" t="s">
        <v>10</v>
      </c>
      <c r="C260" t="s">
        <v>285</v>
      </c>
      <c r="D260">
        <v>1</v>
      </c>
      <c r="E260" s="123">
        <v>1816</v>
      </c>
      <c r="F260">
        <v>1</v>
      </c>
    </row>
    <row r="261" spans="1:6" hidden="1" x14ac:dyDescent="0.25">
      <c r="A261" t="s">
        <v>2005</v>
      </c>
      <c r="B261" t="s">
        <v>10</v>
      </c>
      <c r="C261" t="s">
        <v>465</v>
      </c>
      <c r="D261">
        <v>1</v>
      </c>
      <c r="E261" s="123">
        <v>2136</v>
      </c>
      <c r="F261">
        <v>1</v>
      </c>
    </row>
    <row r="262" spans="1:6" hidden="1" x14ac:dyDescent="0.25">
      <c r="A262" t="s">
        <v>2005</v>
      </c>
      <c r="B262" t="s">
        <v>10</v>
      </c>
      <c r="C262" t="s">
        <v>431</v>
      </c>
      <c r="D262">
        <v>1</v>
      </c>
      <c r="E262" s="123">
        <v>2274</v>
      </c>
      <c r="F262">
        <v>1</v>
      </c>
    </row>
    <row r="263" spans="1:6" x14ac:dyDescent="0.25">
      <c r="A263" t="s">
        <v>2005</v>
      </c>
      <c r="B263" t="s">
        <v>17</v>
      </c>
      <c r="C263" t="s">
        <v>161</v>
      </c>
      <c r="D263">
        <v>1</v>
      </c>
      <c r="E263" s="123">
        <v>1980.68</v>
      </c>
      <c r="F263">
        <v>1</v>
      </c>
    </row>
    <row r="264" spans="1:6" x14ac:dyDescent="0.25">
      <c r="A264" t="s">
        <v>2005</v>
      </c>
      <c r="B264" t="s">
        <v>17</v>
      </c>
      <c r="C264" t="s">
        <v>440</v>
      </c>
      <c r="D264">
        <v>1</v>
      </c>
      <c r="E264" s="123">
        <v>2007</v>
      </c>
      <c r="F264">
        <v>1</v>
      </c>
    </row>
    <row r="265" spans="1:6" hidden="1" x14ac:dyDescent="0.25">
      <c r="A265" t="s">
        <v>2005</v>
      </c>
      <c r="B265" t="s">
        <v>10</v>
      </c>
      <c r="C265" t="s">
        <v>187</v>
      </c>
      <c r="D265">
        <v>1</v>
      </c>
      <c r="E265" s="123">
        <v>2600</v>
      </c>
      <c r="F265">
        <v>1</v>
      </c>
    </row>
    <row r="266" spans="1:6" hidden="1" x14ac:dyDescent="0.25">
      <c r="A266" t="s">
        <v>2005</v>
      </c>
      <c r="B266" t="s">
        <v>10</v>
      </c>
      <c r="C266" t="s">
        <v>531</v>
      </c>
      <c r="D266">
        <v>1</v>
      </c>
      <c r="E266" s="123">
        <v>2956</v>
      </c>
      <c r="F266">
        <v>1</v>
      </c>
    </row>
    <row r="267" spans="1:6" hidden="1" x14ac:dyDescent="0.25">
      <c r="A267" t="s">
        <v>2005</v>
      </c>
      <c r="B267" t="s">
        <v>10</v>
      </c>
      <c r="C267" t="s">
        <v>107</v>
      </c>
      <c r="D267">
        <v>1</v>
      </c>
      <c r="E267" s="123">
        <v>3303.86</v>
      </c>
      <c r="F267">
        <v>1</v>
      </c>
    </row>
    <row r="268" spans="1:6" hidden="1" x14ac:dyDescent="0.25">
      <c r="A268" t="s">
        <v>2005</v>
      </c>
      <c r="B268" t="s">
        <v>10</v>
      </c>
      <c r="C268" t="s">
        <v>421</v>
      </c>
      <c r="D268">
        <v>1</v>
      </c>
      <c r="E268" s="123">
        <v>3487</v>
      </c>
      <c r="F268">
        <v>1</v>
      </c>
    </row>
    <row r="269" spans="1:6" hidden="1" x14ac:dyDescent="0.25">
      <c r="A269" t="s">
        <v>2005</v>
      </c>
      <c r="B269" t="s">
        <v>10</v>
      </c>
      <c r="C269" t="s">
        <v>783</v>
      </c>
      <c r="D269">
        <v>1</v>
      </c>
      <c r="E269" s="123">
        <v>2166</v>
      </c>
      <c r="F269">
        <v>1</v>
      </c>
    </row>
    <row r="270" spans="1:6" hidden="1" x14ac:dyDescent="0.25">
      <c r="A270" t="s">
        <v>2005</v>
      </c>
      <c r="B270" t="s">
        <v>10</v>
      </c>
      <c r="C270" t="s">
        <v>373</v>
      </c>
      <c r="D270">
        <v>1</v>
      </c>
      <c r="E270" s="123">
        <v>2175</v>
      </c>
      <c r="F270">
        <v>1</v>
      </c>
    </row>
    <row r="271" spans="1:6" hidden="1" x14ac:dyDescent="0.25">
      <c r="A271" t="s">
        <v>2005</v>
      </c>
      <c r="B271" t="s">
        <v>10</v>
      </c>
      <c r="C271" t="s">
        <v>356</v>
      </c>
      <c r="D271">
        <v>1</v>
      </c>
      <c r="E271" s="123">
        <v>3487</v>
      </c>
      <c r="F271">
        <v>1</v>
      </c>
    </row>
    <row r="272" spans="1:6" hidden="1" x14ac:dyDescent="0.25">
      <c r="A272" t="s">
        <v>2005</v>
      </c>
      <c r="B272" t="s">
        <v>47</v>
      </c>
      <c r="C272" t="s">
        <v>482</v>
      </c>
      <c r="D272">
        <v>1</v>
      </c>
      <c r="E272" s="123">
        <v>2228</v>
      </c>
      <c r="F272">
        <v>1</v>
      </c>
    </row>
    <row r="273" spans="1:6" hidden="1" x14ac:dyDescent="0.25">
      <c r="A273" t="s">
        <v>2005</v>
      </c>
      <c r="B273" t="s">
        <v>47</v>
      </c>
      <c r="C273" t="s">
        <v>679</v>
      </c>
      <c r="D273">
        <v>1</v>
      </c>
      <c r="E273" s="123">
        <v>2228</v>
      </c>
      <c r="F273">
        <v>1</v>
      </c>
    </row>
    <row r="274" spans="1:6" hidden="1" x14ac:dyDescent="0.25">
      <c r="A274" t="s">
        <v>2005</v>
      </c>
      <c r="B274" t="s">
        <v>10</v>
      </c>
      <c r="C274" t="s">
        <v>580</v>
      </c>
      <c r="D274">
        <v>1</v>
      </c>
      <c r="E274" s="123">
        <v>3807.99</v>
      </c>
      <c r="F274">
        <v>1</v>
      </c>
    </row>
    <row r="275" spans="1:6" hidden="1" x14ac:dyDescent="0.25">
      <c r="A275" t="s">
        <v>2005</v>
      </c>
      <c r="B275" t="s">
        <v>10</v>
      </c>
      <c r="C275" t="s">
        <v>237</v>
      </c>
      <c r="D275">
        <v>1</v>
      </c>
      <c r="E275" s="123">
        <v>3930</v>
      </c>
      <c r="F275">
        <v>1</v>
      </c>
    </row>
    <row r="276" spans="1:6" hidden="1" x14ac:dyDescent="0.25">
      <c r="A276" t="s">
        <v>2005</v>
      </c>
      <c r="B276" t="s">
        <v>10</v>
      </c>
      <c r="C276" t="s">
        <v>204</v>
      </c>
      <c r="D276">
        <v>1</v>
      </c>
      <c r="E276" s="123">
        <v>5749</v>
      </c>
      <c r="F276">
        <v>1</v>
      </c>
    </row>
    <row r="277" spans="1:6" hidden="1" x14ac:dyDescent="0.25">
      <c r="A277" t="s">
        <v>2005</v>
      </c>
      <c r="B277" t="s">
        <v>10</v>
      </c>
      <c r="C277" t="s">
        <v>511</v>
      </c>
      <c r="D277">
        <v>1</v>
      </c>
      <c r="E277" s="123">
        <v>2354</v>
      </c>
      <c r="F277">
        <v>1</v>
      </c>
    </row>
    <row r="278" spans="1:6" hidden="1" x14ac:dyDescent="0.25">
      <c r="A278" t="s">
        <v>2005</v>
      </c>
      <c r="B278" t="s">
        <v>10</v>
      </c>
      <c r="C278" t="s">
        <v>433</v>
      </c>
      <c r="D278">
        <v>1</v>
      </c>
      <c r="E278" s="123">
        <v>2359</v>
      </c>
      <c r="F278">
        <v>1</v>
      </c>
    </row>
    <row r="279" spans="1:6" hidden="1" x14ac:dyDescent="0.25">
      <c r="A279" t="s">
        <v>2005</v>
      </c>
      <c r="B279" t="s">
        <v>10</v>
      </c>
      <c r="C279" t="s">
        <v>163</v>
      </c>
      <c r="D279">
        <v>1</v>
      </c>
      <c r="E279" s="123">
        <v>5928.72</v>
      </c>
      <c r="F279">
        <v>1</v>
      </c>
    </row>
    <row r="280" spans="1:6" hidden="1" x14ac:dyDescent="0.25">
      <c r="A280" t="s">
        <v>2005</v>
      </c>
      <c r="B280" t="s">
        <v>10</v>
      </c>
      <c r="C280" t="s">
        <v>167</v>
      </c>
      <c r="D280">
        <v>1</v>
      </c>
      <c r="E280" s="123">
        <v>6050</v>
      </c>
      <c r="F280">
        <v>1</v>
      </c>
    </row>
    <row r="281" spans="1:6" hidden="1" x14ac:dyDescent="0.25">
      <c r="A281" t="s">
        <v>2005</v>
      </c>
      <c r="B281" t="s">
        <v>10</v>
      </c>
      <c r="C281" t="s">
        <v>159</v>
      </c>
      <c r="D281">
        <v>1</v>
      </c>
      <c r="E281" s="123">
        <v>6421.99</v>
      </c>
      <c r="F281">
        <v>1</v>
      </c>
    </row>
    <row r="282" spans="1:6" hidden="1" x14ac:dyDescent="0.25">
      <c r="A282" t="s">
        <v>2005</v>
      </c>
      <c r="B282" t="s">
        <v>10</v>
      </c>
      <c r="C282" t="s">
        <v>144</v>
      </c>
      <c r="D282">
        <v>1</v>
      </c>
      <c r="E282" s="123">
        <v>7077</v>
      </c>
      <c r="F282">
        <v>1</v>
      </c>
    </row>
    <row r="283" spans="1:6" hidden="1" x14ac:dyDescent="0.25">
      <c r="A283" t="s">
        <v>2005</v>
      </c>
      <c r="B283" t="s">
        <v>10</v>
      </c>
      <c r="C283" t="s">
        <v>782</v>
      </c>
      <c r="D283">
        <v>1</v>
      </c>
      <c r="E283" s="123">
        <v>13305.51</v>
      </c>
      <c r="F283">
        <v>1</v>
      </c>
    </row>
    <row r="284" spans="1:6" x14ac:dyDescent="0.25">
      <c r="A284" t="s">
        <v>2005</v>
      </c>
      <c r="B284" t="s">
        <v>17</v>
      </c>
      <c r="C284" t="s">
        <v>822</v>
      </c>
      <c r="D284">
        <v>1</v>
      </c>
      <c r="E284" s="123">
        <v>2685</v>
      </c>
      <c r="F284">
        <v>1</v>
      </c>
    </row>
    <row r="285" spans="1:6" hidden="1" x14ac:dyDescent="0.25">
      <c r="A285" t="s">
        <v>2004</v>
      </c>
      <c r="B285" t="s">
        <v>10</v>
      </c>
      <c r="C285" t="s">
        <v>56</v>
      </c>
      <c r="D285">
        <v>1</v>
      </c>
      <c r="E285" s="123">
        <v>595</v>
      </c>
      <c r="F285">
        <v>1</v>
      </c>
    </row>
    <row r="286" spans="1:6" hidden="1" x14ac:dyDescent="0.25">
      <c r="A286" t="s">
        <v>2004</v>
      </c>
      <c r="B286" t="s">
        <v>10</v>
      </c>
      <c r="C286" t="s">
        <v>88</v>
      </c>
      <c r="D286">
        <v>1</v>
      </c>
      <c r="E286" s="123">
        <v>595</v>
      </c>
      <c r="F286">
        <v>1</v>
      </c>
    </row>
    <row r="287" spans="1:6" hidden="1" x14ac:dyDescent="0.25">
      <c r="A287" t="s">
        <v>2004</v>
      </c>
      <c r="B287" t="s">
        <v>10</v>
      </c>
      <c r="C287" t="s">
        <v>84</v>
      </c>
      <c r="D287">
        <v>1</v>
      </c>
      <c r="E287" s="123">
        <v>650</v>
      </c>
      <c r="F287">
        <v>1</v>
      </c>
    </row>
    <row r="288" spans="1:6" hidden="1" x14ac:dyDescent="0.25">
      <c r="A288" t="s">
        <v>2004</v>
      </c>
      <c r="B288" t="s">
        <v>10</v>
      </c>
      <c r="C288" t="s">
        <v>825</v>
      </c>
      <c r="D288">
        <v>1</v>
      </c>
      <c r="E288" s="123">
        <v>746</v>
      </c>
      <c r="F288">
        <v>1</v>
      </c>
    </row>
    <row r="289" spans="1:6" hidden="1" x14ac:dyDescent="0.25">
      <c r="A289" t="s">
        <v>2004</v>
      </c>
      <c r="B289" t="s">
        <v>10</v>
      </c>
      <c r="C289" t="s">
        <v>204</v>
      </c>
      <c r="D289">
        <v>1</v>
      </c>
      <c r="E289" s="123">
        <v>1015</v>
      </c>
      <c r="F289">
        <v>1</v>
      </c>
    </row>
    <row r="290" spans="1:6" x14ac:dyDescent="0.25">
      <c r="A290" t="s">
        <v>2005</v>
      </c>
      <c r="B290" t="s">
        <v>17</v>
      </c>
      <c r="C290" t="s">
        <v>731</v>
      </c>
      <c r="D290">
        <v>1</v>
      </c>
      <c r="E290" s="123">
        <v>2808</v>
      </c>
      <c r="F290">
        <v>1</v>
      </c>
    </row>
    <row r="291" spans="1:6" hidden="1" x14ac:dyDescent="0.25">
      <c r="A291" t="s">
        <v>2004</v>
      </c>
      <c r="B291" t="s">
        <v>10</v>
      </c>
      <c r="C291" t="s">
        <v>90</v>
      </c>
      <c r="D291">
        <v>1</v>
      </c>
      <c r="E291" s="123">
        <v>1179.32</v>
      </c>
      <c r="F291">
        <v>1</v>
      </c>
    </row>
    <row r="292" spans="1:6" hidden="1" x14ac:dyDescent="0.25">
      <c r="A292" t="s">
        <v>2004</v>
      </c>
      <c r="B292" t="s">
        <v>10</v>
      </c>
      <c r="C292" t="s">
        <v>30</v>
      </c>
      <c r="D292">
        <v>1</v>
      </c>
      <c r="E292" s="123">
        <v>1630.9</v>
      </c>
      <c r="F292">
        <v>1</v>
      </c>
    </row>
    <row r="293" spans="1:6" hidden="1" x14ac:dyDescent="0.25">
      <c r="A293" t="s">
        <v>2004</v>
      </c>
      <c r="B293" t="s">
        <v>10</v>
      </c>
      <c r="C293" t="s">
        <v>63</v>
      </c>
      <c r="D293">
        <v>1</v>
      </c>
      <c r="E293" s="123">
        <v>2096</v>
      </c>
      <c r="F293">
        <v>1</v>
      </c>
    </row>
    <row r="294" spans="1:6" hidden="1" x14ac:dyDescent="0.25">
      <c r="A294" t="s">
        <v>2004</v>
      </c>
      <c r="B294" t="s">
        <v>10</v>
      </c>
      <c r="C294" t="s">
        <v>458</v>
      </c>
      <c r="D294">
        <v>1</v>
      </c>
      <c r="E294" s="123">
        <v>2154.1799999999998</v>
      </c>
      <c r="F294">
        <v>1</v>
      </c>
    </row>
    <row r="295" spans="1:6" hidden="1" x14ac:dyDescent="0.25">
      <c r="A295" t="s">
        <v>2004</v>
      </c>
      <c r="B295" t="s">
        <v>10</v>
      </c>
      <c r="C295" t="s">
        <v>6</v>
      </c>
      <c r="D295">
        <v>1</v>
      </c>
      <c r="E295" s="123">
        <v>2879.68</v>
      </c>
      <c r="F295">
        <v>1</v>
      </c>
    </row>
    <row r="296" spans="1:6" x14ac:dyDescent="0.25">
      <c r="A296" t="s">
        <v>2005</v>
      </c>
      <c r="B296" t="s">
        <v>17</v>
      </c>
      <c r="C296" t="s">
        <v>495</v>
      </c>
      <c r="D296">
        <v>1</v>
      </c>
      <c r="E296" s="123">
        <v>3150</v>
      </c>
      <c r="F296">
        <v>1</v>
      </c>
    </row>
    <row r="297" spans="1:6" hidden="1" x14ac:dyDescent="0.25">
      <c r="A297" t="s">
        <v>2004</v>
      </c>
      <c r="B297" t="s">
        <v>10</v>
      </c>
      <c r="C297" t="s">
        <v>429</v>
      </c>
      <c r="D297">
        <v>1</v>
      </c>
      <c r="E297" s="123">
        <v>3055</v>
      </c>
      <c r="F297">
        <v>1</v>
      </c>
    </row>
    <row r="298" spans="1:6" hidden="1" x14ac:dyDescent="0.25">
      <c r="A298" t="s">
        <v>2004</v>
      </c>
      <c r="B298" t="s">
        <v>10</v>
      </c>
      <c r="C298" t="s">
        <v>228</v>
      </c>
      <c r="D298">
        <v>1</v>
      </c>
      <c r="E298" s="123">
        <v>3405</v>
      </c>
      <c r="F298">
        <v>1</v>
      </c>
    </row>
    <row r="299" spans="1:6" hidden="1" x14ac:dyDescent="0.25">
      <c r="A299" t="s">
        <v>2004</v>
      </c>
      <c r="B299" t="s">
        <v>10</v>
      </c>
      <c r="C299" t="s">
        <v>103</v>
      </c>
      <c r="D299">
        <v>1</v>
      </c>
      <c r="E299" s="123">
        <v>3697.48</v>
      </c>
      <c r="F299">
        <v>1</v>
      </c>
    </row>
    <row r="300" spans="1:6" hidden="1" x14ac:dyDescent="0.25">
      <c r="A300" t="s">
        <v>2005</v>
      </c>
      <c r="B300" t="s">
        <v>10</v>
      </c>
      <c r="C300" t="s">
        <v>479</v>
      </c>
      <c r="D300">
        <v>1</v>
      </c>
      <c r="E300" s="123">
        <v>3310</v>
      </c>
      <c r="F300">
        <v>1</v>
      </c>
    </row>
    <row r="301" spans="1:6" x14ac:dyDescent="0.25">
      <c r="A301" t="s">
        <v>2005</v>
      </c>
      <c r="B301" t="s">
        <v>17</v>
      </c>
      <c r="C301" t="s">
        <v>737</v>
      </c>
      <c r="D301">
        <v>1</v>
      </c>
      <c r="E301" s="123">
        <v>3355.68</v>
      </c>
      <c r="F301">
        <v>1</v>
      </c>
    </row>
    <row r="302" spans="1:6" hidden="1" x14ac:dyDescent="0.25">
      <c r="A302" t="s">
        <v>2004</v>
      </c>
      <c r="B302" t="s">
        <v>10</v>
      </c>
      <c r="C302" t="s">
        <v>43</v>
      </c>
      <c r="D302">
        <v>1</v>
      </c>
      <c r="E302" s="123">
        <v>3760</v>
      </c>
      <c r="F302">
        <v>1</v>
      </c>
    </row>
    <row r="303" spans="1:6" hidden="1" x14ac:dyDescent="0.25">
      <c r="A303" t="s">
        <v>2004</v>
      </c>
      <c r="B303" t="s">
        <v>10</v>
      </c>
      <c r="C303" t="s">
        <v>253</v>
      </c>
      <c r="D303">
        <v>1</v>
      </c>
      <c r="E303" s="123">
        <v>6701.99</v>
      </c>
      <c r="F303">
        <v>1</v>
      </c>
    </row>
    <row r="304" spans="1:6" hidden="1" x14ac:dyDescent="0.25">
      <c r="A304" t="s">
        <v>2004</v>
      </c>
      <c r="B304" t="s">
        <v>10</v>
      </c>
      <c r="C304" t="s">
        <v>68</v>
      </c>
      <c r="D304">
        <v>1</v>
      </c>
      <c r="E304" s="123">
        <v>7717.87</v>
      </c>
      <c r="F304">
        <v>1</v>
      </c>
    </row>
    <row r="305" spans="1:6" hidden="1" x14ac:dyDescent="0.25">
      <c r="A305" t="s">
        <v>2004</v>
      </c>
      <c r="B305" t="s">
        <v>10</v>
      </c>
      <c r="C305" t="s">
        <v>32</v>
      </c>
      <c r="D305">
        <v>1</v>
      </c>
      <c r="E305" s="123">
        <v>8650</v>
      </c>
      <c r="F305">
        <v>1</v>
      </c>
    </row>
    <row r="306" spans="1:6" hidden="1" x14ac:dyDescent="0.25">
      <c r="A306" t="s">
        <v>2004</v>
      </c>
      <c r="B306" t="s">
        <v>10</v>
      </c>
      <c r="C306" t="s">
        <v>123</v>
      </c>
      <c r="D306">
        <v>1</v>
      </c>
      <c r="E306" s="123">
        <v>14885</v>
      </c>
      <c r="F306">
        <v>1</v>
      </c>
    </row>
    <row r="307" spans="1:6" hidden="1" x14ac:dyDescent="0.25">
      <c r="A307" t="s">
        <v>2003</v>
      </c>
      <c r="B307" t="s">
        <v>10</v>
      </c>
      <c r="C307" t="s">
        <v>345</v>
      </c>
      <c r="D307">
        <v>1</v>
      </c>
      <c r="E307" s="123">
        <v>160</v>
      </c>
      <c r="F307">
        <v>1</v>
      </c>
    </row>
    <row r="308" spans="1:6" hidden="1" x14ac:dyDescent="0.25">
      <c r="A308" t="s">
        <v>2003</v>
      </c>
      <c r="B308" t="s">
        <v>10</v>
      </c>
      <c r="C308" t="s">
        <v>591</v>
      </c>
      <c r="D308">
        <v>1</v>
      </c>
      <c r="E308" s="123">
        <v>876.28</v>
      </c>
      <c r="F308">
        <v>1</v>
      </c>
    </row>
    <row r="309" spans="1:6" hidden="1" x14ac:dyDescent="0.25">
      <c r="A309" t="s">
        <v>2005</v>
      </c>
      <c r="B309" t="s">
        <v>47</v>
      </c>
      <c r="C309" t="s">
        <v>714</v>
      </c>
      <c r="D309">
        <v>1</v>
      </c>
      <c r="E309" s="123">
        <v>3773.88</v>
      </c>
      <c r="F309">
        <v>1</v>
      </c>
    </row>
    <row r="310" spans="1:6" x14ac:dyDescent="0.25">
      <c r="A310" t="s">
        <v>2005</v>
      </c>
      <c r="B310" t="s">
        <v>17</v>
      </c>
      <c r="C310" t="s">
        <v>810</v>
      </c>
      <c r="D310">
        <v>1</v>
      </c>
      <c r="E310" s="123">
        <v>3783.38</v>
      </c>
      <c r="F310">
        <v>1</v>
      </c>
    </row>
    <row r="311" spans="1:6" hidden="1" x14ac:dyDescent="0.25">
      <c r="A311" t="s">
        <v>2003</v>
      </c>
      <c r="B311" t="s">
        <v>10</v>
      </c>
      <c r="C311" t="s">
        <v>356</v>
      </c>
      <c r="D311">
        <v>1</v>
      </c>
      <c r="E311" s="123">
        <v>1300</v>
      </c>
      <c r="F311">
        <v>1</v>
      </c>
    </row>
    <row r="312" spans="1:6" hidden="1" x14ac:dyDescent="0.25">
      <c r="A312" t="s">
        <v>2005</v>
      </c>
      <c r="B312" t="s">
        <v>10</v>
      </c>
      <c r="C312" t="s">
        <v>640</v>
      </c>
      <c r="D312">
        <v>1</v>
      </c>
      <c r="E312" s="123">
        <v>3900</v>
      </c>
      <c r="F312">
        <v>1</v>
      </c>
    </row>
    <row r="313" spans="1:6" hidden="1" x14ac:dyDescent="0.25">
      <c r="A313" t="s">
        <v>2003</v>
      </c>
      <c r="B313" t="s">
        <v>10</v>
      </c>
      <c r="C313" t="s">
        <v>115</v>
      </c>
      <c r="D313">
        <v>1</v>
      </c>
      <c r="E313" s="123">
        <v>1925.28</v>
      </c>
      <c r="F313">
        <v>1</v>
      </c>
    </row>
    <row r="314" spans="1:6" hidden="1" x14ac:dyDescent="0.25">
      <c r="A314" t="s">
        <v>2005</v>
      </c>
      <c r="B314" t="s">
        <v>10</v>
      </c>
      <c r="C314" t="s">
        <v>787</v>
      </c>
      <c r="D314">
        <v>1</v>
      </c>
      <c r="E314" s="123">
        <v>3939.2</v>
      </c>
      <c r="F314">
        <v>1</v>
      </c>
    </row>
    <row r="315" spans="1:6" hidden="1" x14ac:dyDescent="0.25">
      <c r="A315" t="s">
        <v>2005</v>
      </c>
      <c r="B315" t="s">
        <v>10</v>
      </c>
      <c r="C315" t="s">
        <v>658</v>
      </c>
      <c r="D315">
        <v>1</v>
      </c>
      <c r="E315" s="123">
        <v>4007.82</v>
      </c>
      <c r="F315">
        <v>1</v>
      </c>
    </row>
    <row r="316" spans="1:6" hidden="1" x14ac:dyDescent="0.25">
      <c r="A316" t="s">
        <v>2005</v>
      </c>
      <c r="B316" t="s">
        <v>10</v>
      </c>
      <c r="C316" t="s">
        <v>1218</v>
      </c>
      <c r="D316">
        <v>1</v>
      </c>
      <c r="E316" s="123">
        <v>4030</v>
      </c>
      <c r="F316">
        <v>1</v>
      </c>
    </row>
    <row r="317" spans="1:6" hidden="1" x14ac:dyDescent="0.25">
      <c r="A317" t="s">
        <v>2005</v>
      </c>
      <c r="B317" t="s">
        <v>10</v>
      </c>
      <c r="C317" t="s">
        <v>665</v>
      </c>
      <c r="D317">
        <v>1</v>
      </c>
      <c r="E317" s="123">
        <v>4030</v>
      </c>
      <c r="F317">
        <v>1</v>
      </c>
    </row>
    <row r="318" spans="1:6" hidden="1" x14ac:dyDescent="0.25">
      <c r="A318" t="s">
        <v>2005</v>
      </c>
      <c r="B318" t="s">
        <v>47</v>
      </c>
      <c r="C318" t="s">
        <v>806</v>
      </c>
      <c r="D318">
        <v>1</v>
      </c>
      <c r="E318" s="123">
        <v>4032.92</v>
      </c>
      <c r="F318">
        <v>1</v>
      </c>
    </row>
    <row r="319" spans="1:6" hidden="1" x14ac:dyDescent="0.25">
      <c r="A319" t="s">
        <v>2003</v>
      </c>
      <c r="B319" t="s">
        <v>10</v>
      </c>
      <c r="C319" t="s">
        <v>32</v>
      </c>
      <c r="D319">
        <v>1</v>
      </c>
      <c r="E319" s="123">
        <v>3030</v>
      </c>
      <c r="F319">
        <v>1</v>
      </c>
    </row>
    <row r="320" spans="1:6" x14ac:dyDescent="0.25">
      <c r="A320" t="s">
        <v>2005</v>
      </c>
      <c r="B320" t="s">
        <v>17</v>
      </c>
      <c r="C320" t="s">
        <v>561</v>
      </c>
      <c r="D320">
        <v>1</v>
      </c>
      <c r="E320" s="123">
        <v>4115</v>
      </c>
      <c r="F320">
        <v>1</v>
      </c>
    </row>
    <row r="321" spans="1:6" x14ac:dyDescent="0.25">
      <c r="A321" t="s">
        <v>2005</v>
      </c>
      <c r="B321" t="s">
        <v>17</v>
      </c>
      <c r="C321" t="s">
        <v>480</v>
      </c>
      <c r="D321">
        <v>1</v>
      </c>
      <c r="E321" s="123">
        <v>4152.1499999999996</v>
      </c>
      <c r="F321">
        <v>1</v>
      </c>
    </row>
    <row r="322" spans="1:6" x14ac:dyDescent="0.25">
      <c r="A322" t="s">
        <v>2005</v>
      </c>
      <c r="B322" t="s">
        <v>17</v>
      </c>
      <c r="C322" t="s">
        <v>694</v>
      </c>
      <c r="D322">
        <v>1</v>
      </c>
      <c r="E322" s="123">
        <v>4316</v>
      </c>
      <c r="F322">
        <v>1</v>
      </c>
    </row>
    <row r="323" spans="1:6" hidden="1" x14ac:dyDescent="0.25">
      <c r="A323" t="s">
        <v>2003</v>
      </c>
      <c r="B323" t="s">
        <v>10</v>
      </c>
      <c r="C323" t="s">
        <v>253</v>
      </c>
      <c r="D323">
        <v>1</v>
      </c>
      <c r="E323" s="123">
        <v>4054</v>
      </c>
      <c r="F323">
        <v>1</v>
      </c>
    </row>
    <row r="324" spans="1:6" hidden="1" x14ac:dyDescent="0.25">
      <c r="A324" t="s">
        <v>2005</v>
      </c>
      <c r="B324" t="s">
        <v>10</v>
      </c>
      <c r="C324" t="s">
        <v>576</v>
      </c>
      <c r="D324">
        <v>1</v>
      </c>
      <c r="E324" s="123">
        <v>4553.59</v>
      </c>
      <c r="F324">
        <v>1</v>
      </c>
    </row>
    <row r="325" spans="1:6" hidden="1" x14ac:dyDescent="0.25">
      <c r="A325" t="s">
        <v>2003</v>
      </c>
      <c r="B325" t="s">
        <v>10</v>
      </c>
      <c r="C325" t="s">
        <v>123</v>
      </c>
      <c r="D325">
        <v>1</v>
      </c>
      <c r="E325" s="123">
        <v>4409.6899999999996</v>
      </c>
      <c r="F325">
        <v>1</v>
      </c>
    </row>
    <row r="326" spans="1:6" hidden="1" x14ac:dyDescent="0.25">
      <c r="A326" t="s">
        <v>2005</v>
      </c>
      <c r="B326" t="s">
        <v>47</v>
      </c>
      <c r="C326" t="s">
        <v>540</v>
      </c>
      <c r="D326">
        <v>1</v>
      </c>
      <c r="E326" s="123">
        <v>4699.75</v>
      </c>
      <c r="F326">
        <v>1</v>
      </c>
    </row>
    <row r="327" spans="1:6" hidden="1" x14ac:dyDescent="0.25">
      <c r="A327" t="s">
        <v>2003</v>
      </c>
      <c r="B327" t="s">
        <v>10</v>
      </c>
      <c r="C327" t="s">
        <v>431</v>
      </c>
      <c r="D327">
        <v>1</v>
      </c>
      <c r="E327" s="123">
        <v>6620</v>
      </c>
      <c r="F327">
        <v>1</v>
      </c>
    </row>
    <row r="328" spans="1:6" hidden="1" x14ac:dyDescent="0.25">
      <c r="A328" t="s">
        <v>2005</v>
      </c>
      <c r="B328" t="s">
        <v>47</v>
      </c>
      <c r="C328" t="s">
        <v>829</v>
      </c>
      <c r="D328">
        <v>1</v>
      </c>
      <c r="E328" s="123">
        <v>4868</v>
      </c>
      <c r="F328">
        <v>1</v>
      </c>
    </row>
    <row r="329" spans="1:6" x14ac:dyDescent="0.25">
      <c r="A329" t="s">
        <v>2005</v>
      </c>
      <c r="B329" t="s">
        <v>17</v>
      </c>
      <c r="C329" t="s">
        <v>798</v>
      </c>
      <c r="D329">
        <v>1</v>
      </c>
      <c r="E329" s="123">
        <v>5212.99</v>
      </c>
      <c r="F329">
        <v>1</v>
      </c>
    </row>
    <row r="330" spans="1:6" x14ac:dyDescent="0.25">
      <c r="A330" t="s">
        <v>2005</v>
      </c>
      <c r="B330" t="s">
        <v>17</v>
      </c>
      <c r="C330" t="s">
        <v>470</v>
      </c>
      <c r="D330">
        <v>1</v>
      </c>
      <c r="E330" s="123">
        <v>5263</v>
      </c>
      <c r="F330">
        <v>1</v>
      </c>
    </row>
    <row r="331" spans="1:6" hidden="1" x14ac:dyDescent="0.25">
      <c r="A331" t="s">
        <v>2005</v>
      </c>
      <c r="B331" t="s">
        <v>47</v>
      </c>
      <c r="C331" t="s">
        <v>324</v>
      </c>
      <c r="D331">
        <v>1</v>
      </c>
      <c r="E331" s="123">
        <v>5577.96</v>
      </c>
      <c r="F331">
        <v>1</v>
      </c>
    </row>
    <row r="332" spans="1:6" hidden="1" x14ac:dyDescent="0.25">
      <c r="A332" t="s">
        <v>2005</v>
      </c>
      <c r="B332" t="s">
        <v>47</v>
      </c>
      <c r="C332" t="s">
        <v>688</v>
      </c>
      <c r="D332">
        <v>1</v>
      </c>
      <c r="E332" s="123">
        <v>5587</v>
      </c>
      <c r="F332">
        <v>1</v>
      </c>
    </row>
    <row r="333" spans="1:6" x14ac:dyDescent="0.25">
      <c r="A333" t="s">
        <v>2005</v>
      </c>
      <c r="B333" t="s">
        <v>17</v>
      </c>
      <c r="C333" t="s">
        <v>688</v>
      </c>
      <c r="D333">
        <v>1</v>
      </c>
      <c r="E333" s="123">
        <v>5587</v>
      </c>
      <c r="F333">
        <v>1</v>
      </c>
    </row>
    <row r="334" spans="1:6" x14ac:dyDescent="0.25">
      <c r="A334" t="s">
        <v>2005</v>
      </c>
      <c r="B334" t="s">
        <v>17</v>
      </c>
      <c r="C334" t="s">
        <v>771</v>
      </c>
      <c r="D334">
        <v>1</v>
      </c>
      <c r="E334" s="123">
        <v>5608</v>
      </c>
      <c r="F334">
        <v>1</v>
      </c>
    </row>
    <row r="335" spans="1:6" hidden="1" x14ac:dyDescent="0.25">
      <c r="A335" t="s">
        <v>2003</v>
      </c>
      <c r="B335" t="s">
        <v>10</v>
      </c>
      <c r="C335" t="s">
        <v>543</v>
      </c>
      <c r="D335">
        <v>1</v>
      </c>
      <c r="E335" s="123">
        <v>7705</v>
      </c>
      <c r="F335">
        <v>1</v>
      </c>
    </row>
    <row r="336" spans="1:6" hidden="1" x14ac:dyDescent="0.25">
      <c r="A336" t="s">
        <v>2003</v>
      </c>
      <c r="B336" t="s">
        <v>10</v>
      </c>
      <c r="C336" t="s">
        <v>159</v>
      </c>
      <c r="D336">
        <v>1</v>
      </c>
      <c r="E336" s="123">
        <v>8861</v>
      </c>
      <c r="F336">
        <v>1</v>
      </c>
    </row>
    <row r="337" spans="1:6" hidden="1" x14ac:dyDescent="0.25">
      <c r="A337" t="s">
        <v>2005</v>
      </c>
      <c r="B337" t="s">
        <v>10</v>
      </c>
      <c r="C337" t="s">
        <v>622</v>
      </c>
      <c r="D337">
        <v>1</v>
      </c>
      <c r="E337" s="123">
        <v>5922</v>
      </c>
      <c r="F337">
        <v>1</v>
      </c>
    </row>
    <row r="338" spans="1:6" hidden="1" x14ac:dyDescent="0.25">
      <c r="A338" t="s">
        <v>2003</v>
      </c>
      <c r="B338" t="s">
        <v>10</v>
      </c>
      <c r="C338" t="s">
        <v>113</v>
      </c>
      <c r="D338">
        <v>1</v>
      </c>
      <c r="E338" s="123">
        <v>9705</v>
      </c>
      <c r="F338">
        <v>1</v>
      </c>
    </row>
    <row r="339" spans="1:6" hidden="1" x14ac:dyDescent="0.25">
      <c r="A339" t="s">
        <v>2005</v>
      </c>
      <c r="B339" t="s">
        <v>10</v>
      </c>
      <c r="C339" t="s">
        <v>670</v>
      </c>
      <c r="D339">
        <v>1</v>
      </c>
      <c r="E339" s="123">
        <v>5991.79</v>
      </c>
      <c r="F339">
        <v>1</v>
      </c>
    </row>
    <row r="340" spans="1:6" x14ac:dyDescent="0.25">
      <c r="A340" t="s">
        <v>2005</v>
      </c>
      <c r="B340" t="s">
        <v>17</v>
      </c>
      <c r="C340" t="s">
        <v>616</v>
      </c>
      <c r="D340">
        <v>1</v>
      </c>
      <c r="E340" s="123">
        <v>5999.99</v>
      </c>
      <c r="F340">
        <v>1</v>
      </c>
    </row>
    <row r="341" spans="1:6" hidden="1" x14ac:dyDescent="0.25">
      <c r="A341" t="s">
        <v>2005</v>
      </c>
      <c r="B341" t="s">
        <v>10</v>
      </c>
      <c r="C341" t="s">
        <v>833</v>
      </c>
      <c r="D341">
        <v>1</v>
      </c>
      <c r="E341" s="123">
        <v>6030</v>
      </c>
      <c r="F341">
        <v>1</v>
      </c>
    </row>
    <row r="342" spans="1:6" hidden="1" x14ac:dyDescent="0.25">
      <c r="A342" t="s">
        <v>2003</v>
      </c>
      <c r="B342" t="s">
        <v>10</v>
      </c>
      <c r="C342" t="s">
        <v>1250</v>
      </c>
      <c r="D342">
        <v>1</v>
      </c>
      <c r="E342" s="123">
        <v>9721.92</v>
      </c>
      <c r="F342">
        <v>1</v>
      </c>
    </row>
    <row r="343" spans="1:6" hidden="1" x14ac:dyDescent="0.25">
      <c r="A343" t="s">
        <v>2003</v>
      </c>
      <c r="B343" t="s">
        <v>10</v>
      </c>
      <c r="C343" t="s">
        <v>117</v>
      </c>
      <c r="D343">
        <v>1</v>
      </c>
      <c r="E343" s="123">
        <v>9960.92</v>
      </c>
      <c r="F343">
        <v>1</v>
      </c>
    </row>
    <row r="344" spans="1:6" hidden="1" x14ac:dyDescent="0.25">
      <c r="A344" t="s">
        <v>2005</v>
      </c>
      <c r="B344" t="s">
        <v>10</v>
      </c>
      <c r="C344" t="s">
        <v>695</v>
      </c>
      <c r="D344">
        <v>1</v>
      </c>
      <c r="E344" s="123">
        <v>6255</v>
      </c>
      <c r="F344">
        <v>1</v>
      </c>
    </row>
    <row r="345" spans="1:6" hidden="1" x14ac:dyDescent="0.25">
      <c r="A345" t="s">
        <v>2003</v>
      </c>
      <c r="B345" t="s">
        <v>10</v>
      </c>
      <c r="C345" t="s">
        <v>56</v>
      </c>
      <c r="D345">
        <v>1</v>
      </c>
      <c r="E345" s="123">
        <v>11311.72</v>
      </c>
      <c r="F345">
        <v>1</v>
      </c>
    </row>
    <row r="346" spans="1:6" hidden="1" x14ac:dyDescent="0.25">
      <c r="A346" t="s">
        <v>2003</v>
      </c>
      <c r="B346" t="s">
        <v>10</v>
      </c>
      <c r="C346" t="s">
        <v>902</v>
      </c>
      <c r="D346">
        <v>1</v>
      </c>
      <c r="E346" s="123">
        <v>11695</v>
      </c>
      <c r="F346">
        <v>1</v>
      </c>
    </row>
    <row r="347" spans="1:6" hidden="1" x14ac:dyDescent="0.25">
      <c r="A347" t="s">
        <v>2003</v>
      </c>
      <c r="B347" t="s">
        <v>10</v>
      </c>
      <c r="C347" t="s">
        <v>70</v>
      </c>
      <c r="D347">
        <v>1</v>
      </c>
      <c r="E347" s="123">
        <v>12789.73</v>
      </c>
      <c r="F347">
        <v>1</v>
      </c>
    </row>
    <row r="348" spans="1:6" x14ac:dyDescent="0.25">
      <c r="A348" t="s">
        <v>2005</v>
      </c>
      <c r="B348" t="s">
        <v>17</v>
      </c>
      <c r="C348" t="s">
        <v>687</v>
      </c>
      <c r="D348">
        <v>1</v>
      </c>
      <c r="E348" s="123">
        <v>6486</v>
      </c>
      <c r="F348">
        <v>1</v>
      </c>
    </row>
    <row r="349" spans="1:6" hidden="1" x14ac:dyDescent="0.25">
      <c r="A349" t="s">
        <v>2003</v>
      </c>
      <c r="B349" t="s">
        <v>10</v>
      </c>
      <c r="C349" t="s">
        <v>174</v>
      </c>
      <c r="D349">
        <v>1</v>
      </c>
      <c r="E349" s="123">
        <v>18125.990000000002</v>
      </c>
      <c r="F349">
        <v>1</v>
      </c>
    </row>
    <row r="350" spans="1:6" hidden="1" x14ac:dyDescent="0.25">
      <c r="A350" t="s">
        <v>2002</v>
      </c>
      <c r="B350" t="s">
        <v>10</v>
      </c>
      <c r="C350" t="s">
        <v>129</v>
      </c>
      <c r="D350">
        <v>1</v>
      </c>
      <c r="E350" s="123">
        <v>595</v>
      </c>
      <c r="F350">
        <v>1</v>
      </c>
    </row>
    <row r="351" spans="1:6" hidden="1" x14ac:dyDescent="0.25">
      <c r="A351" t="s">
        <v>2002</v>
      </c>
      <c r="B351" t="s">
        <v>10</v>
      </c>
      <c r="C351" t="s">
        <v>63</v>
      </c>
      <c r="D351">
        <v>1</v>
      </c>
      <c r="E351" s="123">
        <v>673</v>
      </c>
      <c r="F351">
        <v>1</v>
      </c>
    </row>
    <row r="352" spans="1:6" x14ac:dyDescent="0.25">
      <c r="A352" t="s">
        <v>2005</v>
      </c>
      <c r="B352" t="s">
        <v>17</v>
      </c>
      <c r="C352" t="s">
        <v>724</v>
      </c>
      <c r="D352">
        <v>1</v>
      </c>
      <c r="E352" s="123">
        <v>7465.12</v>
      </c>
      <c r="F352">
        <v>1</v>
      </c>
    </row>
    <row r="353" spans="1:6" x14ac:dyDescent="0.25">
      <c r="A353" t="s">
        <v>2005</v>
      </c>
      <c r="B353" t="s">
        <v>17</v>
      </c>
      <c r="C353" t="s">
        <v>555</v>
      </c>
      <c r="D353">
        <v>1</v>
      </c>
      <c r="E353" s="123">
        <v>7765.67</v>
      </c>
      <c r="F353">
        <v>1</v>
      </c>
    </row>
    <row r="354" spans="1:6" hidden="1" x14ac:dyDescent="0.25">
      <c r="A354" t="s">
        <v>2005</v>
      </c>
      <c r="B354" t="s">
        <v>47</v>
      </c>
      <c r="C354" t="s">
        <v>750</v>
      </c>
      <c r="D354">
        <v>1</v>
      </c>
      <c r="E354" s="123">
        <v>7861.11</v>
      </c>
      <c r="F354">
        <v>1</v>
      </c>
    </row>
    <row r="355" spans="1:6" x14ac:dyDescent="0.25">
      <c r="A355" t="s">
        <v>2005</v>
      </c>
      <c r="B355" t="s">
        <v>17</v>
      </c>
      <c r="C355" t="s">
        <v>520</v>
      </c>
      <c r="D355">
        <v>1</v>
      </c>
      <c r="E355" s="123">
        <v>8145.99</v>
      </c>
      <c r="F355">
        <v>1</v>
      </c>
    </row>
    <row r="356" spans="1:6" hidden="1" x14ac:dyDescent="0.25">
      <c r="A356" t="s">
        <v>2005</v>
      </c>
      <c r="B356" t="s">
        <v>47</v>
      </c>
      <c r="C356" t="s">
        <v>802</v>
      </c>
      <c r="D356">
        <v>1</v>
      </c>
      <c r="E356" s="123">
        <v>8166</v>
      </c>
      <c r="F356">
        <v>1</v>
      </c>
    </row>
    <row r="357" spans="1:6" x14ac:dyDescent="0.25">
      <c r="A357" t="s">
        <v>2005</v>
      </c>
      <c r="B357" t="s">
        <v>17</v>
      </c>
      <c r="C357" t="s">
        <v>820</v>
      </c>
      <c r="D357">
        <v>1</v>
      </c>
      <c r="E357" s="123">
        <v>8168</v>
      </c>
      <c r="F357">
        <v>1</v>
      </c>
    </row>
    <row r="358" spans="1:6" x14ac:dyDescent="0.25">
      <c r="A358" t="s">
        <v>2005</v>
      </c>
      <c r="B358" t="s">
        <v>17</v>
      </c>
      <c r="C358" t="s">
        <v>735</v>
      </c>
      <c r="D358">
        <v>1</v>
      </c>
      <c r="E358" s="123">
        <v>8229</v>
      </c>
      <c r="F358">
        <v>1</v>
      </c>
    </row>
    <row r="359" spans="1:6" x14ac:dyDescent="0.25">
      <c r="A359" t="s">
        <v>2005</v>
      </c>
      <c r="B359" t="s">
        <v>17</v>
      </c>
      <c r="C359" t="s">
        <v>469</v>
      </c>
      <c r="D359">
        <v>1</v>
      </c>
      <c r="E359" s="123">
        <v>8247.83</v>
      </c>
      <c r="F359">
        <v>1</v>
      </c>
    </row>
    <row r="360" spans="1:6" x14ac:dyDescent="0.25">
      <c r="A360" t="s">
        <v>2005</v>
      </c>
      <c r="B360" t="s">
        <v>17</v>
      </c>
      <c r="C360" t="s">
        <v>72</v>
      </c>
      <c r="D360">
        <v>1</v>
      </c>
      <c r="E360" s="123">
        <v>8256</v>
      </c>
      <c r="F360">
        <v>1</v>
      </c>
    </row>
    <row r="361" spans="1:6" x14ac:dyDescent="0.25">
      <c r="A361" t="s">
        <v>2005</v>
      </c>
      <c r="B361" t="s">
        <v>17</v>
      </c>
      <c r="C361" t="s">
        <v>653</v>
      </c>
      <c r="D361">
        <v>1</v>
      </c>
      <c r="E361" s="123">
        <v>8486.99</v>
      </c>
      <c r="F361">
        <v>1</v>
      </c>
    </row>
    <row r="362" spans="1:6" hidden="1" x14ac:dyDescent="0.25">
      <c r="A362" t="s">
        <v>2002</v>
      </c>
      <c r="B362" t="s">
        <v>10</v>
      </c>
      <c r="C362" t="s">
        <v>431</v>
      </c>
      <c r="D362">
        <v>1</v>
      </c>
      <c r="E362" s="123">
        <v>1182.52</v>
      </c>
      <c r="F362">
        <v>1</v>
      </c>
    </row>
    <row r="363" spans="1:6" hidden="1" x14ac:dyDescent="0.25">
      <c r="A363" t="s">
        <v>2002</v>
      </c>
      <c r="B363" t="s">
        <v>10</v>
      </c>
      <c r="C363" t="s">
        <v>795</v>
      </c>
      <c r="D363">
        <v>1</v>
      </c>
      <c r="E363" s="123">
        <v>3420</v>
      </c>
      <c r="F363">
        <v>1</v>
      </c>
    </row>
    <row r="364" spans="1:6" hidden="1" x14ac:dyDescent="0.25">
      <c r="A364" t="s">
        <v>2005</v>
      </c>
      <c r="B364" t="s">
        <v>10</v>
      </c>
      <c r="C364" t="s">
        <v>624</v>
      </c>
      <c r="D364">
        <v>1</v>
      </c>
      <c r="E364" s="123">
        <v>9018</v>
      </c>
      <c r="F364">
        <v>1</v>
      </c>
    </row>
    <row r="365" spans="1:6" hidden="1" x14ac:dyDescent="0.25">
      <c r="A365" t="s">
        <v>2002</v>
      </c>
      <c r="B365" t="s">
        <v>10</v>
      </c>
      <c r="C365" t="s">
        <v>458</v>
      </c>
      <c r="D365">
        <v>1</v>
      </c>
      <c r="E365" s="123">
        <v>5050</v>
      </c>
      <c r="F365">
        <v>1</v>
      </c>
    </row>
    <row r="366" spans="1:6" hidden="1" x14ac:dyDescent="0.25">
      <c r="A366" t="s">
        <v>2002</v>
      </c>
      <c r="B366" t="s">
        <v>10</v>
      </c>
      <c r="C366" t="s">
        <v>159</v>
      </c>
      <c r="D366">
        <v>1</v>
      </c>
      <c r="E366" s="123">
        <v>5217</v>
      </c>
      <c r="F366">
        <v>1</v>
      </c>
    </row>
    <row r="367" spans="1:6" hidden="1" x14ac:dyDescent="0.25">
      <c r="A367" t="s">
        <v>2002</v>
      </c>
      <c r="B367" t="s">
        <v>10</v>
      </c>
      <c r="C367" t="s">
        <v>252</v>
      </c>
      <c r="D367">
        <v>1</v>
      </c>
      <c r="E367" s="123">
        <v>9950.32</v>
      </c>
      <c r="F367">
        <v>1</v>
      </c>
    </row>
    <row r="368" spans="1:6" hidden="1" x14ac:dyDescent="0.25">
      <c r="A368" t="s">
        <v>2002</v>
      </c>
      <c r="B368" t="s">
        <v>10</v>
      </c>
      <c r="C368" t="s">
        <v>68</v>
      </c>
      <c r="D368">
        <v>1</v>
      </c>
      <c r="E368" s="123">
        <v>10575.2</v>
      </c>
      <c r="F368">
        <v>1</v>
      </c>
    </row>
    <row r="369" spans="1:6" hidden="1" x14ac:dyDescent="0.25">
      <c r="A369" t="s">
        <v>2002</v>
      </c>
      <c r="B369" t="s">
        <v>10</v>
      </c>
      <c r="C369" t="s">
        <v>117</v>
      </c>
      <c r="D369">
        <v>1</v>
      </c>
      <c r="E369" s="123">
        <v>17524</v>
      </c>
      <c r="F369">
        <v>1</v>
      </c>
    </row>
    <row r="370" spans="1:6" hidden="1" x14ac:dyDescent="0.25">
      <c r="A370" t="s">
        <v>2001</v>
      </c>
      <c r="B370" t="s">
        <v>10</v>
      </c>
      <c r="C370" t="s">
        <v>115</v>
      </c>
      <c r="D370">
        <v>1</v>
      </c>
      <c r="E370" s="123">
        <v>1300</v>
      </c>
      <c r="F370">
        <v>1</v>
      </c>
    </row>
    <row r="371" spans="1:6" hidden="1" x14ac:dyDescent="0.25">
      <c r="A371" t="s">
        <v>2005</v>
      </c>
      <c r="B371" t="s">
        <v>10</v>
      </c>
      <c r="C371" t="s">
        <v>656</v>
      </c>
      <c r="D371">
        <v>1</v>
      </c>
      <c r="E371" s="123">
        <v>10239.52</v>
      </c>
      <c r="F371">
        <v>1</v>
      </c>
    </row>
    <row r="372" spans="1:6" hidden="1" x14ac:dyDescent="0.25">
      <c r="A372" t="s">
        <v>2001</v>
      </c>
      <c r="B372" t="s">
        <v>10</v>
      </c>
      <c r="C372" t="s">
        <v>113</v>
      </c>
      <c r="D372">
        <v>1</v>
      </c>
      <c r="E372" s="123">
        <v>1914</v>
      </c>
      <c r="F372">
        <v>1</v>
      </c>
    </row>
    <row r="373" spans="1:6" hidden="1" x14ac:dyDescent="0.25">
      <c r="A373" t="s">
        <v>2005</v>
      </c>
      <c r="B373" t="s">
        <v>10</v>
      </c>
      <c r="C373" t="s">
        <v>816</v>
      </c>
      <c r="D373">
        <v>1</v>
      </c>
      <c r="E373" s="123">
        <v>10495.75</v>
      </c>
      <c r="F373">
        <v>1</v>
      </c>
    </row>
    <row r="374" spans="1:6" hidden="1" x14ac:dyDescent="0.25">
      <c r="A374" t="s">
        <v>2001</v>
      </c>
      <c r="B374" t="s">
        <v>10</v>
      </c>
      <c r="C374" t="s">
        <v>107</v>
      </c>
      <c r="D374">
        <v>1</v>
      </c>
      <c r="E374" s="123">
        <v>2892</v>
      </c>
      <c r="F374">
        <v>1</v>
      </c>
    </row>
    <row r="375" spans="1:6" x14ac:dyDescent="0.25">
      <c r="A375" t="s">
        <v>2005</v>
      </c>
      <c r="B375" t="s">
        <v>17</v>
      </c>
      <c r="C375" t="s">
        <v>707</v>
      </c>
      <c r="D375">
        <v>1</v>
      </c>
      <c r="E375" s="123">
        <v>11304.32</v>
      </c>
      <c r="F375">
        <v>1</v>
      </c>
    </row>
    <row r="376" spans="1:6" x14ac:dyDescent="0.25">
      <c r="A376" t="s">
        <v>2005</v>
      </c>
      <c r="B376" t="s">
        <v>17</v>
      </c>
      <c r="C376" t="s">
        <v>778</v>
      </c>
      <c r="D376">
        <v>1</v>
      </c>
      <c r="E376" s="123">
        <v>11338.27</v>
      </c>
      <c r="F376">
        <v>1</v>
      </c>
    </row>
    <row r="377" spans="1:6" hidden="1" x14ac:dyDescent="0.25">
      <c r="A377" t="s">
        <v>2005</v>
      </c>
      <c r="B377" t="s">
        <v>10</v>
      </c>
      <c r="C377" t="s">
        <v>165</v>
      </c>
      <c r="D377">
        <v>1</v>
      </c>
      <c r="E377" s="123">
        <v>12293.88</v>
      </c>
      <c r="F377">
        <v>1</v>
      </c>
    </row>
    <row r="378" spans="1:6" x14ac:dyDescent="0.25">
      <c r="A378" t="s">
        <v>2005</v>
      </c>
      <c r="B378" t="s">
        <v>17</v>
      </c>
      <c r="C378" t="s">
        <v>629</v>
      </c>
      <c r="D378">
        <v>1</v>
      </c>
      <c r="E378" s="123">
        <v>12320</v>
      </c>
      <c r="F378">
        <v>1</v>
      </c>
    </row>
    <row r="379" spans="1:6" hidden="1" x14ac:dyDescent="0.25">
      <c r="A379" t="s">
        <v>2001</v>
      </c>
      <c r="B379" t="s">
        <v>10</v>
      </c>
      <c r="C379" t="s">
        <v>1639</v>
      </c>
      <c r="D379">
        <v>1</v>
      </c>
      <c r="E379" s="123">
        <v>3120</v>
      </c>
      <c r="F379">
        <v>1</v>
      </c>
    </row>
    <row r="380" spans="1:6" hidden="1" x14ac:dyDescent="0.25">
      <c r="A380" t="s">
        <v>2005</v>
      </c>
      <c r="B380" t="s">
        <v>10</v>
      </c>
      <c r="C380" t="s">
        <v>663</v>
      </c>
      <c r="D380">
        <v>1</v>
      </c>
      <c r="E380" s="123">
        <v>13218.6</v>
      </c>
      <c r="F380">
        <v>1</v>
      </c>
    </row>
    <row r="381" spans="1:6" hidden="1" x14ac:dyDescent="0.25">
      <c r="A381" t="s">
        <v>2001</v>
      </c>
      <c r="B381" t="s">
        <v>10</v>
      </c>
      <c r="C381" t="s">
        <v>1868</v>
      </c>
      <c r="D381">
        <v>1</v>
      </c>
      <c r="E381" s="123">
        <v>3694</v>
      </c>
      <c r="F381">
        <v>1</v>
      </c>
    </row>
    <row r="382" spans="1:6" hidden="1" x14ac:dyDescent="0.25">
      <c r="A382" t="s">
        <v>2001</v>
      </c>
      <c r="B382" t="s">
        <v>10</v>
      </c>
      <c r="C382" t="s">
        <v>84</v>
      </c>
      <c r="D382">
        <v>1</v>
      </c>
      <c r="E382" s="123">
        <v>4658.5600000000004</v>
      </c>
      <c r="F382">
        <v>1</v>
      </c>
    </row>
    <row r="383" spans="1:6" hidden="1" x14ac:dyDescent="0.25">
      <c r="A383" t="s">
        <v>2001</v>
      </c>
      <c r="B383" t="s">
        <v>10</v>
      </c>
      <c r="C383" t="s">
        <v>795</v>
      </c>
      <c r="D383">
        <v>1</v>
      </c>
      <c r="E383" s="123">
        <v>6496</v>
      </c>
      <c r="F383">
        <v>1</v>
      </c>
    </row>
    <row r="384" spans="1:6" hidden="1" x14ac:dyDescent="0.25">
      <c r="A384" t="s">
        <v>2005</v>
      </c>
      <c r="B384" t="s">
        <v>755</v>
      </c>
      <c r="C384" t="s">
        <v>756</v>
      </c>
      <c r="D384">
        <v>1</v>
      </c>
      <c r="E384" s="123">
        <v>16200</v>
      </c>
      <c r="F384">
        <v>1</v>
      </c>
    </row>
    <row r="385" spans="1:6" hidden="1" x14ac:dyDescent="0.25">
      <c r="A385" t="s">
        <v>2005</v>
      </c>
      <c r="B385" t="s">
        <v>47</v>
      </c>
      <c r="C385" t="s">
        <v>699</v>
      </c>
      <c r="D385">
        <v>1</v>
      </c>
      <c r="E385" s="123">
        <v>17012.990000000002</v>
      </c>
      <c r="F385">
        <v>1</v>
      </c>
    </row>
    <row r="386" spans="1:6" hidden="1" x14ac:dyDescent="0.25">
      <c r="A386" t="s">
        <v>2005</v>
      </c>
      <c r="B386" t="s">
        <v>47</v>
      </c>
      <c r="C386" t="s">
        <v>654</v>
      </c>
      <c r="D386">
        <v>1</v>
      </c>
      <c r="E386" s="123">
        <v>17066.98</v>
      </c>
      <c r="F386">
        <v>1</v>
      </c>
    </row>
    <row r="387" spans="1:6" hidden="1" x14ac:dyDescent="0.25">
      <c r="A387" t="s">
        <v>2001</v>
      </c>
      <c r="B387" t="s">
        <v>10</v>
      </c>
      <c r="C387" t="s">
        <v>1860</v>
      </c>
      <c r="D387">
        <v>1</v>
      </c>
      <c r="E387" s="123">
        <v>17400</v>
      </c>
      <c r="F387">
        <v>1</v>
      </c>
    </row>
    <row r="388" spans="1:6" hidden="1" x14ac:dyDescent="0.25">
      <c r="A388" t="s">
        <v>2005</v>
      </c>
      <c r="B388" t="s">
        <v>10</v>
      </c>
      <c r="C388" t="s">
        <v>201</v>
      </c>
      <c r="D388">
        <v>1</v>
      </c>
      <c r="E388" s="123">
        <v>18040</v>
      </c>
      <c r="F388">
        <v>1</v>
      </c>
    </row>
    <row r="389" spans="1:6" hidden="1" x14ac:dyDescent="0.25">
      <c r="A389" t="s">
        <v>2005</v>
      </c>
      <c r="B389" t="s">
        <v>10</v>
      </c>
      <c r="C389" t="s">
        <v>518</v>
      </c>
      <c r="D389">
        <v>1</v>
      </c>
      <c r="E389" s="123">
        <v>19190.32</v>
      </c>
      <c r="F389">
        <v>1</v>
      </c>
    </row>
    <row r="390" spans="1:6" hidden="1" x14ac:dyDescent="0.25">
      <c r="A390" t="s">
        <v>2005</v>
      </c>
      <c r="B390" t="s">
        <v>47</v>
      </c>
      <c r="C390" t="s">
        <v>48</v>
      </c>
      <c r="D390">
        <v>1</v>
      </c>
      <c r="E390" s="123">
        <v>21646.6</v>
      </c>
      <c r="F390">
        <v>1</v>
      </c>
    </row>
    <row r="391" spans="1:6" x14ac:dyDescent="0.25">
      <c r="A391" t="s">
        <v>2005</v>
      </c>
      <c r="B391" t="s">
        <v>17</v>
      </c>
      <c r="C391" t="s">
        <v>786</v>
      </c>
      <c r="D391">
        <v>1</v>
      </c>
      <c r="E391" s="123">
        <v>22752</v>
      </c>
      <c r="F391">
        <v>1</v>
      </c>
    </row>
    <row r="392" spans="1:6" hidden="1" x14ac:dyDescent="0.25">
      <c r="A392" t="s">
        <v>2001</v>
      </c>
      <c r="B392" t="s">
        <v>10</v>
      </c>
      <c r="C392" t="s">
        <v>252</v>
      </c>
      <c r="D392">
        <v>1</v>
      </c>
      <c r="E392" s="123">
        <v>19108.29</v>
      </c>
      <c r="F392">
        <v>1</v>
      </c>
    </row>
    <row r="393" spans="1:6" hidden="1" x14ac:dyDescent="0.25">
      <c r="A393" t="s">
        <v>2005</v>
      </c>
      <c r="B393" t="s">
        <v>10</v>
      </c>
      <c r="C393" t="s">
        <v>46</v>
      </c>
      <c r="D393">
        <v>2</v>
      </c>
      <c r="E393" s="123">
        <v>4524</v>
      </c>
      <c r="F393">
        <v>1</v>
      </c>
    </row>
    <row r="394" spans="1:6" hidden="1" x14ac:dyDescent="0.25">
      <c r="A394" t="s">
        <v>2005</v>
      </c>
      <c r="B394" t="s">
        <v>10</v>
      </c>
      <c r="C394" t="s">
        <v>16</v>
      </c>
      <c r="D394">
        <v>2</v>
      </c>
      <c r="E394" s="123">
        <v>9901.11</v>
      </c>
      <c r="F394">
        <v>1</v>
      </c>
    </row>
    <row r="395" spans="1:6" hidden="1" x14ac:dyDescent="0.25">
      <c r="A395" t="s">
        <v>2005</v>
      </c>
      <c r="B395" t="s">
        <v>10</v>
      </c>
      <c r="C395" t="s">
        <v>345</v>
      </c>
      <c r="D395">
        <v>2</v>
      </c>
      <c r="E395" s="123">
        <v>4625.3700000000008</v>
      </c>
      <c r="F395">
        <v>2</v>
      </c>
    </row>
    <row r="396" spans="1:6" x14ac:dyDescent="0.25">
      <c r="A396" t="s">
        <v>2005</v>
      </c>
      <c r="B396" t="s">
        <v>17</v>
      </c>
      <c r="C396" t="s">
        <v>9</v>
      </c>
      <c r="D396">
        <v>1</v>
      </c>
      <c r="E396" s="123">
        <v>30330</v>
      </c>
      <c r="F396">
        <v>1</v>
      </c>
    </row>
    <row r="397" spans="1:6" hidden="1" x14ac:dyDescent="0.25">
      <c r="A397" t="s">
        <v>2005</v>
      </c>
      <c r="B397" t="s">
        <v>10</v>
      </c>
      <c r="C397" t="s">
        <v>429</v>
      </c>
      <c r="D397">
        <v>2</v>
      </c>
      <c r="E397" s="123">
        <v>7206.04</v>
      </c>
      <c r="F397">
        <v>2</v>
      </c>
    </row>
    <row r="398" spans="1:6" hidden="1" x14ac:dyDescent="0.25">
      <c r="A398" t="s">
        <v>2005</v>
      </c>
      <c r="B398" t="s">
        <v>10</v>
      </c>
      <c r="C398" t="s">
        <v>68</v>
      </c>
      <c r="D398">
        <v>2</v>
      </c>
      <c r="E398" s="123">
        <v>9705.5600000000013</v>
      </c>
      <c r="F398">
        <v>2</v>
      </c>
    </row>
    <row r="399" spans="1:6" hidden="1" x14ac:dyDescent="0.25">
      <c r="A399" t="s">
        <v>2005</v>
      </c>
      <c r="B399" t="s">
        <v>10</v>
      </c>
      <c r="C399" t="s">
        <v>103</v>
      </c>
      <c r="D399">
        <v>2</v>
      </c>
      <c r="E399" s="123">
        <v>13720.79</v>
      </c>
      <c r="F399">
        <v>2</v>
      </c>
    </row>
    <row r="400" spans="1:6" hidden="1" x14ac:dyDescent="0.25">
      <c r="A400" t="s">
        <v>2005</v>
      </c>
      <c r="B400" t="s">
        <v>755</v>
      </c>
      <c r="C400" t="s">
        <v>757</v>
      </c>
      <c r="D400">
        <v>1</v>
      </c>
      <c r="E400" s="123">
        <v>66321.56</v>
      </c>
      <c r="F400">
        <v>1</v>
      </c>
    </row>
    <row r="401" spans="1:6" hidden="1" x14ac:dyDescent="0.25">
      <c r="A401" t="s">
        <v>2005</v>
      </c>
      <c r="B401" t="s">
        <v>10</v>
      </c>
      <c r="C401" t="s">
        <v>336</v>
      </c>
      <c r="D401">
        <v>2</v>
      </c>
      <c r="E401" s="123">
        <v>16772.59</v>
      </c>
      <c r="F401">
        <v>2</v>
      </c>
    </row>
    <row r="402" spans="1:6" hidden="1" x14ac:dyDescent="0.25">
      <c r="A402" t="s">
        <v>2004</v>
      </c>
      <c r="B402" t="s">
        <v>10</v>
      </c>
      <c r="C402" t="s">
        <v>339</v>
      </c>
      <c r="D402">
        <v>2</v>
      </c>
      <c r="E402" s="123">
        <v>5766.59</v>
      </c>
      <c r="F402">
        <v>1</v>
      </c>
    </row>
    <row r="403" spans="1:6" x14ac:dyDescent="0.25">
      <c r="A403" t="s">
        <v>2004</v>
      </c>
      <c r="B403" t="s">
        <v>17</v>
      </c>
      <c r="C403" t="s">
        <v>1000</v>
      </c>
      <c r="D403">
        <v>1</v>
      </c>
      <c r="E403" s="123">
        <v>610</v>
      </c>
      <c r="F403">
        <v>1</v>
      </c>
    </row>
    <row r="404" spans="1:6" hidden="1" x14ac:dyDescent="0.25">
      <c r="A404" t="s">
        <v>2004</v>
      </c>
      <c r="B404" t="s">
        <v>10</v>
      </c>
      <c r="C404" t="s">
        <v>117</v>
      </c>
      <c r="D404">
        <v>2</v>
      </c>
      <c r="E404" s="123">
        <v>8685.99</v>
      </c>
      <c r="F404">
        <v>1</v>
      </c>
    </row>
    <row r="405" spans="1:6" hidden="1" x14ac:dyDescent="0.25">
      <c r="A405" t="s">
        <v>2004</v>
      </c>
      <c r="B405" t="s">
        <v>10</v>
      </c>
      <c r="C405" t="s">
        <v>159</v>
      </c>
      <c r="D405">
        <v>2</v>
      </c>
      <c r="E405" s="123">
        <v>27534.84</v>
      </c>
      <c r="F405">
        <v>1</v>
      </c>
    </row>
    <row r="406" spans="1:6" hidden="1" x14ac:dyDescent="0.25">
      <c r="A406" t="s">
        <v>2004</v>
      </c>
      <c r="B406" t="s">
        <v>10</v>
      </c>
      <c r="C406" t="s">
        <v>72</v>
      </c>
      <c r="D406">
        <v>1</v>
      </c>
      <c r="E406" s="123">
        <v>744.16</v>
      </c>
      <c r="F406">
        <v>1</v>
      </c>
    </row>
    <row r="407" spans="1:6" hidden="1" x14ac:dyDescent="0.25">
      <c r="A407" t="s">
        <v>2004</v>
      </c>
      <c r="B407" t="s">
        <v>10</v>
      </c>
      <c r="C407" t="s">
        <v>897</v>
      </c>
      <c r="D407">
        <v>2</v>
      </c>
      <c r="E407" s="123">
        <v>4447.84</v>
      </c>
      <c r="F407">
        <v>2</v>
      </c>
    </row>
    <row r="408" spans="1:6" hidden="1" x14ac:dyDescent="0.25">
      <c r="A408" t="s">
        <v>2004</v>
      </c>
      <c r="B408" t="s">
        <v>10</v>
      </c>
      <c r="C408" t="s">
        <v>138</v>
      </c>
      <c r="D408">
        <v>2</v>
      </c>
      <c r="E408" s="123">
        <v>14900.64</v>
      </c>
      <c r="F408">
        <v>2</v>
      </c>
    </row>
    <row r="409" spans="1:6" hidden="1" x14ac:dyDescent="0.25">
      <c r="A409" t="s">
        <v>2004</v>
      </c>
      <c r="B409" t="s">
        <v>10</v>
      </c>
      <c r="C409" t="s">
        <v>478</v>
      </c>
      <c r="D409">
        <v>2</v>
      </c>
      <c r="E409" s="123">
        <v>17297.8</v>
      </c>
      <c r="F409">
        <v>2</v>
      </c>
    </row>
    <row r="410" spans="1:6" hidden="1" x14ac:dyDescent="0.25">
      <c r="A410" t="s">
        <v>2004</v>
      </c>
      <c r="B410" t="s">
        <v>10</v>
      </c>
      <c r="C410" t="s">
        <v>113</v>
      </c>
      <c r="D410">
        <v>2</v>
      </c>
      <c r="E410" s="123">
        <v>24173</v>
      </c>
      <c r="F410">
        <v>2</v>
      </c>
    </row>
    <row r="411" spans="1:6" hidden="1" x14ac:dyDescent="0.25">
      <c r="A411" t="s">
        <v>2003</v>
      </c>
      <c r="B411" t="s">
        <v>10</v>
      </c>
      <c r="C411" t="s">
        <v>129</v>
      </c>
      <c r="D411">
        <v>2</v>
      </c>
      <c r="E411" s="123">
        <v>1499.44</v>
      </c>
      <c r="F411">
        <v>1</v>
      </c>
    </row>
    <row r="412" spans="1:6" hidden="1" x14ac:dyDescent="0.25">
      <c r="A412" t="s">
        <v>2003</v>
      </c>
      <c r="B412" t="s">
        <v>10</v>
      </c>
      <c r="C412" t="s">
        <v>58</v>
      </c>
      <c r="D412">
        <v>2</v>
      </c>
      <c r="E412" s="123">
        <v>15019.47</v>
      </c>
      <c r="F412">
        <v>1</v>
      </c>
    </row>
    <row r="413" spans="1:6" hidden="1" x14ac:dyDescent="0.25">
      <c r="A413" t="s">
        <v>2004</v>
      </c>
      <c r="B413" t="s">
        <v>10</v>
      </c>
      <c r="C413" t="s">
        <v>148</v>
      </c>
      <c r="D413">
        <v>1</v>
      </c>
      <c r="E413" s="123">
        <v>1235</v>
      </c>
      <c r="F413">
        <v>1</v>
      </c>
    </row>
    <row r="414" spans="1:6" hidden="1" x14ac:dyDescent="0.25">
      <c r="A414" t="s">
        <v>2004</v>
      </c>
      <c r="B414" t="s">
        <v>10</v>
      </c>
      <c r="C414" t="s">
        <v>733</v>
      </c>
      <c r="D414">
        <v>1</v>
      </c>
      <c r="E414" s="123">
        <v>1257</v>
      </c>
      <c r="F414">
        <v>1</v>
      </c>
    </row>
    <row r="415" spans="1:6" hidden="1" x14ac:dyDescent="0.25">
      <c r="A415" t="s">
        <v>2004</v>
      </c>
      <c r="B415" t="s">
        <v>47</v>
      </c>
      <c r="C415" t="s">
        <v>72</v>
      </c>
      <c r="D415">
        <v>1</v>
      </c>
      <c r="E415" s="123">
        <v>1300</v>
      </c>
      <c r="F415">
        <v>1</v>
      </c>
    </row>
    <row r="416" spans="1:6" hidden="1" x14ac:dyDescent="0.25">
      <c r="A416" t="s">
        <v>2003</v>
      </c>
      <c r="B416" t="s">
        <v>10</v>
      </c>
      <c r="C416" t="s">
        <v>421</v>
      </c>
      <c r="D416">
        <v>2</v>
      </c>
      <c r="E416" s="123">
        <v>16671.54</v>
      </c>
      <c r="F416">
        <v>1</v>
      </c>
    </row>
    <row r="417" spans="1:6" hidden="1" x14ac:dyDescent="0.25">
      <c r="A417" t="s">
        <v>2004</v>
      </c>
      <c r="B417" t="s">
        <v>10</v>
      </c>
      <c r="C417" t="s">
        <v>934</v>
      </c>
      <c r="D417">
        <v>1</v>
      </c>
      <c r="E417" s="123">
        <v>1492</v>
      </c>
      <c r="F417">
        <v>1</v>
      </c>
    </row>
    <row r="418" spans="1:6" hidden="1" x14ac:dyDescent="0.25">
      <c r="A418" t="s">
        <v>2003</v>
      </c>
      <c r="B418" t="s">
        <v>10</v>
      </c>
      <c r="C418" t="s">
        <v>103</v>
      </c>
      <c r="D418">
        <v>2</v>
      </c>
      <c r="E418" s="123">
        <v>18484.05</v>
      </c>
      <c r="F418">
        <v>1</v>
      </c>
    </row>
    <row r="419" spans="1:6" hidden="1" x14ac:dyDescent="0.25">
      <c r="A419" t="s">
        <v>2004</v>
      </c>
      <c r="B419" t="s">
        <v>47</v>
      </c>
      <c r="C419" t="s">
        <v>301</v>
      </c>
      <c r="D419">
        <v>1</v>
      </c>
      <c r="E419" s="123">
        <v>1587.01</v>
      </c>
      <c r="F419">
        <v>1</v>
      </c>
    </row>
    <row r="420" spans="1:6" hidden="1" x14ac:dyDescent="0.25">
      <c r="A420" t="s">
        <v>2003</v>
      </c>
      <c r="B420" t="s">
        <v>10</v>
      </c>
      <c r="C420" t="s">
        <v>252</v>
      </c>
      <c r="D420">
        <v>2</v>
      </c>
      <c r="E420" s="123">
        <v>30861.8</v>
      </c>
      <c r="F420">
        <v>1</v>
      </c>
    </row>
    <row r="421" spans="1:6" hidden="1" x14ac:dyDescent="0.25">
      <c r="A421" t="s">
        <v>2003</v>
      </c>
      <c r="B421" t="s">
        <v>10</v>
      </c>
      <c r="C421" t="s">
        <v>6</v>
      </c>
      <c r="D421">
        <v>2</v>
      </c>
      <c r="E421" s="123">
        <v>8234.16</v>
      </c>
      <c r="F421">
        <v>2</v>
      </c>
    </row>
    <row r="422" spans="1:6" hidden="1" x14ac:dyDescent="0.25">
      <c r="A422" t="s">
        <v>2004</v>
      </c>
      <c r="B422" t="s">
        <v>10</v>
      </c>
      <c r="C422" t="s">
        <v>922</v>
      </c>
      <c r="D422">
        <v>1</v>
      </c>
      <c r="E422" s="123">
        <v>1700</v>
      </c>
      <c r="F422">
        <v>1</v>
      </c>
    </row>
    <row r="423" spans="1:6" hidden="1" x14ac:dyDescent="0.25">
      <c r="A423" t="s">
        <v>2003</v>
      </c>
      <c r="B423" t="s">
        <v>10</v>
      </c>
      <c r="C423" t="s">
        <v>138</v>
      </c>
      <c r="D423">
        <v>2</v>
      </c>
      <c r="E423" s="123">
        <v>9009.9599999999991</v>
      </c>
      <c r="F423">
        <v>2</v>
      </c>
    </row>
    <row r="424" spans="1:6" hidden="1" x14ac:dyDescent="0.25">
      <c r="A424" t="s">
        <v>2004</v>
      </c>
      <c r="B424" t="s">
        <v>47</v>
      </c>
      <c r="C424" t="s">
        <v>1154</v>
      </c>
      <c r="D424">
        <v>1</v>
      </c>
      <c r="E424" s="123">
        <v>1787</v>
      </c>
      <c r="F424">
        <v>1</v>
      </c>
    </row>
    <row r="425" spans="1:6" hidden="1" x14ac:dyDescent="0.25">
      <c r="A425" t="s">
        <v>2003</v>
      </c>
      <c r="B425" t="s">
        <v>10</v>
      </c>
      <c r="C425" t="s">
        <v>474</v>
      </c>
      <c r="D425">
        <v>2</v>
      </c>
      <c r="E425" s="123">
        <v>9794.08</v>
      </c>
      <c r="F425">
        <v>2</v>
      </c>
    </row>
    <row r="426" spans="1:6" hidden="1" x14ac:dyDescent="0.25">
      <c r="A426" t="s">
        <v>2004</v>
      </c>
      <c r="B426" t="s">
        <v>47</v>
      </c>
      <c r="C426" t="s">
        <v>989</v>
      </c>
      <c r="D426">
        <v>1</v>
      </c>
      <c r="E426" s="123">
        <v>1818</v>
      </c>
      <c r="F426">
        <v>1</v>
      </c>
    </row>
    <row r="427" spans="1:6" hidden="1" x14ac:dyDescent="0.25">
      <c r="A427" t="s">
        <v>2003</v>
      </c>
      <c r="B427" t="s">
        <v>10</v>
      </c>
      <c r="C427" t="s">
        <v>204</v>
      </c>
      <c r="D427">
        <v>2</v>
      </c>
      <c r="E427" s="123">
        <v>11682.35</v>
      </c>
      <c r="F427">
        <v>2</v>
      </c>
    </row>
    <row r="428" spans="1:6" hidden="1" x14ac:dyDescent="0.25">
      <c r="A428" t="s">
        <v>2004</v>
      </c>
      <c r="B428" t="s">
        <v>10</v>
      </c>
      <c r="C428" t="s">
        <v>1125</v>
      </c>
      <c r="D428">
        <v>1</v>
      </c>
      <c r="E428" s="123">
        <v>1950</v>
      </c>
      <c r="F428">
        <v>1</v>
      </c>
    </row>
    <row r="429" spans="1:6" hidden="1" x14ac:dyDescent="0.25">
      <c r="A429" t="s">
        <v>2003</v>
      </c>
      <c r="B429" t="s">
        <v>10</v>
      </c>
      <c r="C429" t="s">
        <v>336</v>
      </c>
      <c r="D429">
        <v>2</v>
      </c>
      <c r="E429" s="123">
        <v>13181.11</v>
      </c>
      <c r="F429">
        <v>2</v>
      </c>
    </row>
    <row r="430" spans="1:6" hidden="1" x14ac:dyDescent="0.25">
      <c r="A430" t="s">
        <v>2004</v>
      </c>
      <c r="B430" t="s">
        <v>10</v>
      </c>
      <c r="C430" t="s">
        <v>1051</v>
      </c>
      <c r="D430">
        <v>1</v>
      </c>
      <c r="E430" s="123">
        <v>1950</v>
      </c>
      <c r="F430">
        <v>1</v>
      </c>
    </row>
    <row r="431" spans="1:6" x14ac:dyDescent="0.25">
      <c r="A431" t="s">
        <v>2004</v>
      </c>
      <c r="B431" t="s">
        <v>890</v>
      </c>
      <c r="C431" t="s">
        <v>60</v>
      </c>
      <c r="D431">
        <v>1</v>
      </c>
      <c r="E431" s="123">
        <v>1950</v>
      </c>
      <c r="F431">
        <v>1</v>
      </c>
    </row>
    <row r="432" spans="1:6" hidden="1" x14ac:dyDescent="0.25">
      <c r="A432" t="s">
        <v>2004</v>
      </c>
      <c r="B432" t="s">
        <v>10</v>
      </c>
      <c r="C432" t="s">
        <v>1003</v>
      </c>
      <c r="D432">
        <v>1</v>
      </c>
      <c r="E432" s="123">
        <v>1950</v>
      </c>
      <c r="F432">
        <v>1</v>
      </c>
    </row>
    <row r="433" spans="1:6" hidden="1" x14ac:dyDescent="0.25">
      <c r="A433" t="s">
        <v>2003</v>
      </c>
      <c r="B433" t="s">
        <v>10</v>
      </c>
      <c r="C433" t="s">
        <v>68</v>
      </c>
      <c r="D433">
        <v>2</v>
      </c>
      <c r="E433" s="123">
        <v>19174.02</v>
      </c>
      <c r="F433">
        <v>2</v>
      </c>
    </row>
    <row r="434" spans="1:6" hidden="1" x14ac:dyDescent="0.25">
      <c r="A434" t="s">
        <v>2002</v>
      </c>
      <c r="B434" t="s">
        <v>10</v>
      </c>
      <c r="C434" t="s">
        <v>204</v>
      </c>
      <c r="D434">
        <v>2</v>
      </c>
      <c r="E434" s="123">
        <v>1141</v>
      </c>
      <c r="F434">
        <v>1</v>
      </c>
    </row>
    <row r="435" spans="1:6" hidden="1" x14ac:dyDescent="0.25">
      <c r="A435" t="s">
        <v>2002</v>
      </c>
      <c r="B435" t="s">
        <v>10</v>
      </c>
      <c r="C435" t="s">
        <v>84</v>
      </c>
      <c r="D435">
        <v>2</v>
      </c>
      <c r="E435" s="123">
        <v>3912.04</v>
      </c>
      <c r="F435">
        <v>1</v>
      </c>
    </row>
    <row r="436" spans="1:6" hidden="1" x14ac:dyDescent="0.25">
      <c r="A436" t="s">
        <v>2002</v>
      </c>
      <c r="B436" t="s">
        <v>10</v>
      </c>
      <c r="C436" t="s">
        <v>580</v>
      </c>
      <c r="D436">
        <v>2</v>
      </c>
      <c r="E436" s="123">
        <v>9141</v>
      </c>
      <c r="F436">
        <v>1</v>
      </c>
    </row>
    <row r="437" spans="1:6" hidden="1" x14ac:dyDescent="0.25">
      <c r="A437" t="s">
        <v>2002</v>
      </c>
      <c r="B437" t="s">
        <v>10</v>
      </c>
      <c r="C437" t="s">
        <v>103</v>
      </c>
      <c r="D437">
        <v>2</v>
      </c>
      <c r="E437" s="123">
        <v>10122.879999999999</v>
      </c>
      <c r="F437">
        <v>1</v>
      </c>
    </row>
    <row r="438" spans="1:6" hidden="1" x14ac:dyDescent="0.25">
      <c r="A438" t="s">
        <v>2002</v>
      </c>
      <c r="B438" t="s">
        <v>10</v>
      </c>
      <c r="C438" t="s">
        <v>626</v>
      </c>
      <c r="D438">
        <v>2</v>
      </c>
      <c r="E438" s="123">
        <v>24838.99</v>
      </c>
      <c r="F438">
        <v>1</v>
      </c>
    </row>
    <row r="439" spans="1:6" hidden="1" x14ac:dyDescent="0.25">
      <c r="A439" t="s">
        <v>2002</v>
      </c>
      <c r="B439" t="s">
        <v>10</v>
      </c>
      <c r="C439" t="s">
        <v>237</v>
      </c>
      <c r="D439">
        <v>2</v>
      </c>
      <c r="E439" s="123">
        <v>5324.76</v>
      </c>
      <c r="F439">
        <v>2</v>
      </c>
    </row>
    <row r="440" spans="1:6" hidden="1" x14ac:dyDescent="0.25">
      <c r="A440" t="s">
        <v>2004</v>
      </c>
      <c r="B440" t="s">
        <v>10</v>
      </c>
      <c r="C440" t="s">
        <v>1147</v>
      </c>
      <c r="D440">
        <v>1</v>
      </c>
      <c r="E440" s="123">
        <v>2186.56</v>
      </c>
      <c r="F440">
        <v>1</v>
      </c>
    </row>
    <row r="441" spans="1:6" x14ac:dyDescent="0.25">
      <c r="A441" t="s">
        <v>2004</v>
      </c>
      <c r="B441" t="s">
        <v>17</v>
      </c>
      <c r="C441" t="s">
        <v>1057</v>
      </c>
      <c r="D441">
        <v>1</v>
      </c>
      <c r="E441" s="123">
        <v>2206</v>
      </c>
      <c r="F441">
        <v>1</v>
      </c>
    </row>
    <row r="442" spans="1:6" hidden="1" x14ac:dyDescent="0.25">
      <c r="A442" t="s">
        <v>2001</v>
      </c>
      <c r="B442" t="s">
        <v>10</v>
      </c>
      <c r="C442" t="s">
        <v>1684</v>
      </c>
      <c r="D442">
        <v>2</v>
      </c>
      <c r="E442" s="123">
        <v>2831.4</v>
      </c>
      <c r="F442">
        <v>1</v>
      </c>
    </row>
    <row r="443" spans="1:6" hidden="1" x14ac:dyDescent="0.25">
      <c r="A443" t="s">
        <v>2001</v>
      </c>
      <c r="B443" t="s">
        <v>10</v>
      </c>
      <c r="C443" t="s">
        <v>1923</v>
      </c>
      <c r="D443">
        <v>2</v>
      </c>
      <c r="E443" s="123">
        <v>3739</v>
      </c>
      <c r="F443">
        <v>1</v>
      </c>
    </row>
    <row r="444" spans="1:6" hidden="1" x14ac:dyDescent="0.25">
      <c r="A444" t="s">
        <v>2001</v>
      </c>
      <c r="B444" t="s">
        <v>10</v>
      </c>
      <c r="C444" t="s">
        <v>580</v>
      </c>
      <c r="D444">
        <v>2</v>
      </c>
      <c r="E444" s="123">
        <v>4042</v>
      </c>
      <c r="F444">
        <v>1</v>
      </c>
    </row>
    <row r="445" spans="1:6" hidden="1" x14ac:dyDescent="0.25">
      <c r="A445" t="s">
        <v>2001</v>
      </c>
      <c r="B445" t="s">
        <v>10</v>
      </c>
      <c r="C445" t="s">
        <v>46</v>
      </c>
      <c r="D445">
        <v>2</v>
      </c>
      <c r="E445" s="123">
        <v>6789.52</v>
      </c>
      <c r="F445">
        <v>1</v>
      </c>
    </row>
    <row r="446" spans="1:6" hidden="1" x14ac:dyDescent="0.25">
      <c r="A446" t="s">
        <v>2001</v>
      </c>
      <c r="B446" t="s">
        <v>10</v>
      </c>
      <c r="C446" t="s">
        <v>1838</v>
      </c>
      <c r="D446">
        <v>2</v>
      </c>
      <c r="E446" s="123">
        <v>15381.99</v>
      </c>
      <c r="F446">
        <v>1</v>
      </c>
    </row>
    <row r="447" spans="1:6" hidden="1" x14ac:dyDescent="0.25">
      <c r="A447" t="s">
        <v>2001</v>
      </c>
      <c r="B447" t="s">
        <v>10</v>
      </c>
      <c r="C447" t="s">
        <v>860</v>
      </c>
      <c r="D447">
        <v>2</v>
      </c>
      <c r="E447" s="123">
        <v>20328.990000000002</v>
      </c>
      <c r="F447">
        <v>1</v>
      </c>
    </row>
    <row r="448" spans="1:6" x14ac:dyDescent="0.25">
      <c r="A448" t="s">
        <v>2004</v>
      </c>
      <c r="B448" t="s">
        <v>17</v>
      </c>
      <c r="C448" t="s">
        <v>1109</v>
      </c>
      <c r="D448">
        <v>1</v>
      </c>
      <c r="E448" s="123">
        <v>2365</v>
      </c>
      <c r="F448">
        <v>1</v>
      </c>
    </row>
    <row r="449" spans="1:6" hidden="1" x14ac:dyDescent="0.25">
      <c r="A449" t="s">
        <v>2001</v>
      </c>
      <c r="B449" t="s">
        <v>10</v>
      </c>
      <c r="C449" t="s">
        <v>144</v>
      </c>
      <c r="D449">
        <v>2</v>
      </c>
      <c r="E449" s="123">
        <v>21891.99</v>
      </c>
      <c r="F449">
        <v>1</v>
      </c>
    </row>
    <row r="450" spans="1:6" hidden="1" x14ac:dyDescent="0.25">
      <c r="A450" t="s">
        <v>2001</v>
      </c>
      <c r="B450" t="s">
        <v>10</v>
      </c>
      <c r="C450" t="s">
        <v>43</v>
      </c>
      <c r="D450">
        <v>2</v>
      </c>
      <c r="E450" s="123">
        <v>705.16</v>
      </c>
      <c r="F450">
        <v>2</v>
      </c>
    </row>
    <row r="451" spans="1:6" hidden="1" x14ac:dyDescent="0.25">
      <c r="A451" t="s">
        <v>2004</v>
      </c>
      <c r="B451" t="s">
        <v>10</v>
      </c>
      <c r="C451" t="s">
        <v>490</v>
      </c>
      <c r="D451">
        <v>1</v>
      </c>
      <c r="E451" s="123">
        <v>2600</v>
      </c>
      <c r="F451">
        <v>1</v>
      </c>
    </row>
    <row r="452" spans="1:6" hidden="1" x14ac:dyDescent="0.25">
      <c r="A452" t="s">
        <v>2004</v>
      </c>
      <c r="B452" t="s">
        <v>47</v>
      </c>
      <c r="C452" t="s">
        <v>1136</v>
      </c>
      <c r="D452">
        <v>1</v>
      </c>
      <c r="E452" s="123">
        <v>2764</v>
      </c>
      <c r="F452">
        <v>1</v>
      </c>
    </row>
    <row r="453" spans="1:6" hidden="1" x14ac:dyDescent="0.25">
      <c r="A453" t="s">
        <v>2001</v>
      </c>
      <c r="B453" t="s">
        <v>10</v>
      </c>
      <c r="C453" t="s">
        <v>1873</v>
      </c>
      <c r="D453">
        <v>2</v>
      </c>
      <c r="E453" s="123">
        <v>10996</v>
      </c>
      <c r="F453">
        <v>2</v>
      </c>
    </row>
    <row r="454" spans="1:6" hidden="1" x14ac:dyDescent="0.25">
      <c r="A454" t="s">
        <v>2005</v>
      </c>
      <c r="B454" t="s">
        <v>10</v>
      </c>
      <c r="C454" t="s">
        <v>129</v>
      </c>
      <c r="D454">
        <v>3</v>
      </c>
      <c r="E454" s="123">
        <v>18026</v>
      </c>
      <c r="F454">
        <v>1</v>
      </c>
    </row>
    <row r="455" spans="1:6" hidden="1" x14ac:dyDescent="0.25">
      <c r="A455" t="s">
        <v>2005</v>
      </c>
      <c r="B455" t="s">
        <v>10</v>
      </c>
      <c r="C455" t="s">
        <v>453</v>
      </c>
      <c r="D455">
        <v>3</v>
      </c>
      <c r="E455" s="123">
        <v>48671.35</v>
      </c>
      <c r="F455">
        <v>1</v>
      </c>
    </row>
    <row r="456" spans="1:6" hidden="1" x14ac:dyDescent="0.25">
      <c r="A456" t="s">
        <v>2004</v>
      </c>
      <c r="B456" t="s">
        <v>47</v>
      </c>
      <c r="C456" t="s">
        <v>973</v>
      </c>
      <c r="D456">
        <v>1</v>
      </c>
      <c r="E456" s="123">
        <v>2960</v>
      </c>
      <c r="F456">
        <v>1</v>
      </c>
    </row>
    <row r="457" spans="1:6" hidden="1" x14ac:dyDescent="0.25">
      <c r="A457" t="s">
        <v>2004</v>
      </c>
      <c r="B457" t="s">
        <v>47</v>
      </c>
      <c r="C457" t="s">
        <v>1071</v>
      </c>
      <c r="D457">
        <v>1</v>
      </c>
      <c r="E457" s="123">
        <v>3050.2</v>
      </c>
      <c r="F457">
        <v>1</v>
      </c>
    </row>
    <row r="458" spans="1:6" hidden="1" x14ac:dyDescent="0.25">
      <c r="A458" t="s">
        <v>2005</v>
      </c>
      <c r="B458" t="s">
        <v>10</v>
      </c>
      <c r="C458" t="s">
        <v>218</v>
      </c>
      <c r="D458">
        <v>3</v>
      </c>
      <c r="E458" s="123">
        <v>21757</v>
      </c>
      <c r="F458">
        <v>2</v>
      </c>
    </row>
    <row r="459" spans="1:6" hidden="1" x14ac:dyDescent="0.25">
      <c r="A459" t="s">
        <v>2005</v>
      </c>
      <c r="B459" t="s">
        <v>10</v>
      </c>
      <c r="C459" t="s">
        <v>252</v>
      </c>
      <c r="D459">
        <v>3</v>
      </c>
      <c r="E459" s="123">
        <v>44210.55</v>
      </c>
      <c r="F459">
        <v>2</v>
      </c>
    </row>
    <row r="460" spans="1:6" x14ac:dyDescent="0.25">
      <c r="A460" t="s">
        <v>2004</v>
      </c>
      <c r="B460" t="s">
        <v>17</v>
      </c>
      <c r="C460" t="s">
        <v>480</v>
      </c>
      <c r="D460">
        <v>1</v>
      </c>
      <c r="E460" s="123">
        <v>3159.11</v>
      </c>
      <c r="F460">
        <v>1</v>
      </c>
    </row>
    <row r="461" spans="1:6" hidden="1" x14ac:dyDescent="0.25">
      <c r="A461" t="s">
        <v>2005</v>
      </c>
      <c r="B461" t="s">
        <v>10</v>
      </c>
      <c r="C461" t="s">
        <v>138</v>
      </c>
      <c r="D461">
        <v>3</v>
      </c>
      <c r="E461" s="123">
        <v>7220</v>
      </c>
      <c r="F461">
        <v>3</v>
      </c>
    </row>
    <row r="462" spans="1:6" hidden="1" x14ac:dyDescent="0.25">
      <c r="A462" t="s">
        <v>2004</v>
      </c>
      <c r="B462" t="s">
        <v>10</v>
      </c>
      <c r="C462" t="s">
        <v>1087</v>
      </c>
      <c r="D462">
        <v>1</v>
      </c>
      <c r="E462" s="123">
        <v>3191.16</v>
      </c>
      <c r="F462">
        <v>1</v>
      </c>
    </row>
    <row r="463" spans="1:6" x14ac:dyDescent="0.25">
      <c r="A463" t="s">
        <v>2004</v>
      </c>
      <c r="B463" t="s">
        <v>17</v>
      </c>
      <c r="C463" t="s">
        <v>837</v>
      </c>
      <c r="D463">
        <v>1</v>
      </c>
      <c r="E463" s="123">
        <v>3221.52</v>
      </c>
      <c r="F463">
        <v>1</v>
      </c>
    </row>
    <row r="464" spans="1:6" hidden="1" x14ac:dyDescent="0.25">
      <c r="A464" t="s">
        <v>2005</v>
      </c>
      <c r="B464" t="s">
        <v>10</v>
      </c>
      <c r="C464" t="s">
        <v>88</v>
      </c>
      <c r="D464">
        <v>3</v>
      </c>
      <c r="E464" s="123">
        <v>12987.91</v>
      </c>
      <c r="F464">
        <v>3</v>
      </c>
    </row>
    <row r="465" spans="1:6" hidden="1" x14ac:dyDescent="0.25">
      <c r="A465" t="s">
        <v>2004</v>
      </c>
      <c r="B465" t="s">
        <v>47</v>
      </c>
      <c r="C465" t="s">
        <v>640</v>
      </c>
      <c r="D465">
        <v>1</v>
      </c>
      <c r="E465" s="123">
        <v>3396</v>
      </c>
      <c r="F465">
        <v>1</v>
      </c>
    </row>
    <row r="466" spans="1:6" hidden="1" x14ac:dyDescent="0.25">
      <c r="A466" t="s">
        <v>2004</v>
      </c>
      <c r="B466" t="s">
        <v>10</v>
      </c>
      <c r="C466" t="s">
        <v>913</v>
      </c>
      <c r="D466">
        <v>1</v>
      </c>
      <c r="E466" s="123">
        <v>3401.13</v>
      </c>
      <c r="F466">
        <v>1</v>
      </c>
    </row>
    <row r="467" spans="1:6" hidden="1" x14ac:dyDescent="0.25">
      <c r="A467" t="s">
        <v>2004</v>
      </c>
      <c r="B467" t="s">
        <v>10</v>
      </c>
      <c r="C467" t="s">
        <v>250</v>
      </c>
      <c r="D467">
        <v>3</v>
      </c>
      <c r="E467" s="123">
        <v>5830</v>
      </c>
      <c r="F467">
        <v>1</v>
      </c>
    </row>
    <row r="468" spans="1:6" hidden="1" x14ac:dyDescent="0.25">
      <c r="A468" t="s">
        <v>2004</v>
      </c>
      <c r="B468" t="s">
        <v>10</v>
      </c>
      <c r="C468" t="s">
        <v>937</v>
      </c>
      <c r="D468">
        <v>1</v>
      </c>
      <c r="E468" s="123">
        <v>3441.48</v>
      </c>
      <c r="F468">
        <v>1</v>
      </c>
    </row>
    <row r="469" spans="1:6" hidden="1" x14ac:dyDescent="0.25">
      <c r="A469" t="s">
        <v>2004</v>
      </c>
      <c r="B469" t="s">
        <v>10</v>
      </c>
      <c r="C469" t="s">
        <v>969</v>
      </c>
      <c r="D469">
        <v>1</v>
      </c>
      <c r="E469" s="123">
        <v>3455.68</v>
      </c>
      <c r="F469">
        <v>1</v>
      </c>
    </row>
    <row r="470" spans="1:6" hidden="1" x14ac:dyDescent="0.25">
      <c r="A470" t="s">
        <v>2004</v>
      </c>
      <c r="B470" t="s">
        <v>10</v>
      </c>
      <c r="C470" t="s">
        <v>875</v>
      </c>
      <c r="D470">
        <v>1</v>
      </c>
      <c r="E470" s="123">
        <v>3529.99</v>
      </c>
      <c r="F470">
        <v>1</v>
      </c>
    </row>
    <row r="471" spans="1:6" hidden="1" x14ac:dyDescent="0.25">
      <c r="A471" t="s">
        <v>2004</v>
      </c>
      <c r="B471" t="s">
        <v>47</v>
      </c>
      <c r="C471" t="s">
        <v>941</v>
      </c>
      <c r="D471">
        <v>1</v>
      </c>
      <c r="E471" s="123">
        <v>3561.99</v>
      </c>
      <c r="F471">
        <v>1</v>
      </c>
    </row>
    <row r="472" spans="1:6" hidden="1" x14ac:dyDescent="0.25">
      <c r="A472" t="s">
        <v>2004</v>
      </c>
      <c r="B472" t="s">
        <v>10</v>
      </c>
      <c r="C472" t="s">
        <v>4</v>
      </c>
      <c r="D472">
        <v>3</v>
      </c>
      <c r="E472" s="123">
        <v>9350</v>
      </c>
      <c r="F472">
        <v>1</v>
      </c>
    </row>
    <row r="473" spans="1:6" hidden="1" x14ac:dyDescent="0.25">
      <c r="A473" t="s">
        <v>2004</v>
      </c>
      <c r="B473" t="s">
        <v>10</v>
      </c>
      <c r="C473" t="s">
        <v>306</v>
      </c>
      <c r="D473">
        <v>1</v>
      </c>
      <c r="E473" s="123">
        <v>3694</v>
      </c>
      <c r="F473">
        <v>1</v>
      </c>
    </row>
    <row r="474" spans="1:6" hidden="1" x14ac:dyDescent="0.25">
      <c r="A474" t="s">
        <v>2004</v>
      </c>
      <c r="B474" t="s">
        <v>10</v>
      </c>
      <c r="C474" t="s">
        <v>187</v>
      </c>
      <c r="D474">
        <v>3</v>
      </c>
      <c r="E474" s="123">
        <v>25381.99</v>
      </c>
      <c r="F474">
        <v>2</v>
      </c>
    </row>
    <row r="475" spans="1:6" hidden="1" x14ac:dyDescent="0.25">
      <c r="A475" t="s">
        <v>2003</v>
      </c>
      <c r="B475" t="s">
        <v>10</v>
      </c>
      <c r="C475" t="s">
        <v>626</v>
      </c>
      <c r="D475">
        <v>3</v>
      </c>
      <c r="E475" s="123">
        <v>26330.880000000001</v>
      </c>
      <c r="F475">
        <v>1</v>
      </c>
    </row>
    <row r="476" spans="1:6" hidden="1" x14ac:dyDescent="0.25">
      <c r="A476" t="s">
        <v>2003</v>
      </c>
      <c r="B476" t="s">
        <v>10</v>
      </c>
      <c r="C476" t="s">
        <v>167</v>
      </c>
      <c r="D476">
        <v>3</v>
      </c>
      <c r="E476" s="123">
        <v>3630</v>
      </c>
      <c r="F476">
        <v>2</v>
      </c>
    </row>
    <row r="477" spans="1:6" x14ac:dyDescent="0.25">
      <c r="A477" t="s">
        <v>2004</v>
      </c>
      <c r="B477" t="s">
        <v>17</v>
      </c>
      <c r="C477" t="s">
        <v>440</v>
      </c>
      <c r="D477">
        <v>1</v>
      </c>
      <c r="E477" s="123">
        <v>3791.99</v>
      </c>
      <c r="F477">
        <v>1</v>
      </c>
    </row>
    <row r="478" spans="1:6" x14ac:dyDescent="0.25">
      <c r="A478" t="s">
        <v>2004</v>
      </c>
      <c r="B478" t="s">
        <v>17</v>
      </c>
      <c r="C478" t="s">
        <v>909</v>
      </c>
      <c r="D478">
        <v>1</v>
      </c>
      <c r="E478" s="123">
        <v>4127.32</v>
      </c>
      <c r="F478">
        <v>1</v>
      </c>
    </row>
    <row r="479" spans="1:6" x14ac:dyDescent="0.25">
      <c r="A479" t="s">
        <v>2004</v>
      </c>
      <c r="B479" t="s">
        <v>17</v>
      </c>
      <c r="C479" t="s">
        <v>152</v>
      </c>
      <c r="D479">
        <v>1</v>
      </c>
      <c r="E479" s="123">
        <v>4182.01</v>
      </c>
      <c r="F479">
        <v>1</v>
      </c>
    </row>
    <row r="480" spans="1:6" hidden="1" x14ac:dyDescent="0.25">
      <c r="A480" t="s">
        <v>2004</v>
      </c>
      <c r="B480" t="s">
        <v>47</v>
      </c>
      <c r="C480" t="s">
        <v>1011</v>
      </c>
      <c r="D480">
        <v>1</v>
      </c>
      <c r="E480" s="123">
        <v>4204</v>
      </c>
      <c r="F480">
        <v>1</v>
      </c>
    </row>
    <row r="481" spans="1:6" hidden="1" x14ac:dyDescent="0.25">
      <c r="A481" t="s">
        <v>2004</v>
      </c>
      <c r="B481" t="s">
        <v>47</v>
      </c>
      <c r="C481" t="s">
        <v>1009</v>
      </c>
      <c r="D481">
        <v>1</v>
      </c>
      <c r="E481" s="123">
        <v>4395</v>
      </c>
      <c r="F481">
        <v>1</v>
      </c>
    </row>
    <row r="482" spans="1:6" hidden="1" x14ac:dyDescent="0.25">
      <c r="A482" t="s">
        <v>2003</v>
      </c>
      <c r="B482" t="s">
        <v>10</v>
      </c>
      <c r="C482" t="s">
        <v>46</v>
      </c>
      <c r="D482">
        <v>3</v>
      </c>
      <c r="E482" s="123">
        <v>13124.04</v>
      </c>
      <c r="F482">
        <v>2</v>
      </c>
    </row>
    <row r="483" spans="1:6" hidden="1" x14ac:dyDescent="0.25">
      <c r="A483" t="s">
        <v>2003</v>
      </c>
      <c r="B483" t="s">
        <v>10</v>
      </c>
      <c r="C483" t="s">
        <v>187</v>
      </c>
      <c r="D483">
        <v>3</v>
      </c>
      <c r="E483" s="123">
        <v>7594.92</v>
      </c>
      <c r="F483">
        <v>3</v>
      </c>
    </row>
    <row r="484" spans="1:6" hidden="1" x14ac:dyDescent="0.25">
      <c r="A484" t="s">
        <v>2004</v>
      </c>
      <c r="B484" t="s">
        <v>10</v>
      </c>
      <c r="C484" t="s">
        <v>963</v>
      </c>
      <c r="D484">
        <v>1</v>
      </c>
      <c r="E484" s="123">
        <v>4550</v>
      </c>
      <c r="F484">
        <v>1</v>
      </c>
    </row>
    <row r="485" spans="1:6" hidden="1" x14ac:dyDescent="0.25">
      <c r="A485" t="s">
        <v>2003</v>
      </c>
      <c r="B485" t="s">
        <v>10</v>
      </c>
      <c r="C485" t="s">
        <v>465</v>
      </c>
      <c r="D485">
        <v>3</v>
      </c>
      <c r="E485" s="123">
        <v>22392</v>
      </c>
      <c r="F485">
        <v>3</v>
      </c>
    </row>
    <row r="486" spans="1:6" hidden="1" x14ac:dyDescent="0.25">
      <c r="A486" t="s">
        <v>2002</v>
      </c>
      <c r="B486" t="s">
        <v>10</v>
      </c>
      <c r="C486" t="s">
        <v>138</v>
      </c>
      <c r="D486">
        <v>3</v>
      </c>
      <c r="E486" s="123">
        <v>6207.16</v>
      </c>
      <c r="F486">
        <v>1</v>
      </c>
    </row>
    <row r="487" spans="1:6" hidden="1" x14ac:dyDescent="0.25">
      <c r="A487" t="s">
        <v>2004</v>
      </c>
      <c r="B487" t="s">
        <v>10</v>
      </c>
      <c r="C487" t="s">
        <v>208</v>
      </c>
      <c r="D487">
        <v>1</v>
      </c>
      <c r="E487" s="123">
        <v>4770.72</v>
      </c>
      <c r="F487">
        <v>1</v>
      </c>
    </row>
    <row r="488" spans="1:6" x14ac:dyDescent="0.25">
      <c r="A488" t="s">
        <v>2004</v>
      </c>
      <c r="B488" t="s">
        <v>17</v>
      </c>
      <c r="C488" t="s">
        <v>1040</v>
      </c>
      <c r="D488">
        <v>1</v>
      </c>
      <c r="E488" s="123">
        <v>4775</v>
      </c>
      <c r="F488">
        <v>1</v>
      </c>
    </row>
    <row r="489" spans="1:6" x14ac:dyDescent="0.25">
      <c r="A489" t="s">
        <v>2004</v>
      </c>
      <c r="B489" t="s">
        <v>17</v>
      </c>
      <c r="C489" t="s">
        <v>301</v>
      </c>
      <c r="D489">
        <v>1</v>
      </c>
      <c r="E489" s="123">
        <v>4802</v>
      </c>
      <c r="F489">
        <v>1</v>
      </c>
    </row>
    <row r="490" spans="1:6" hidden="1" x14ac:dyDescent="0.25">
      <c r="A490" t="s">
        <v>2002</v>
      </c>
      <c r="B490" t="s">
        <v>10</v>
      </c>
      <c r="C490" t="s">
        <v>253</v>
      </c>
      <c r="D490">
        <v>3</v>
      </c>
      <c r="E490" s="123">
        <v>7069.88</v>
      </c>
      <c r="F490">
        <v>1</v>
      </c>
    </row>
    <row r="491" spans="1:6" hidden="1" x14ac:dyDescent="0.25">
      <c r="A491" t="s">
        <v>2002</v>
      </c>
      <c r="B491" t="s">
        <v>10</v>
      </c>
      <c r="C491" t="s">
        <v>336</v>
      </c>
      <c r="D491">
        <v>3</v>
      </c>
      <c r="E491" s="123">
        <v>2678.32</v>
      </c>
      <c r="F491">
        <v>2</v>
      </c>
    </row>
    <row r="492" spans="1:6" x14ac:dyDescent="0.25">
      <c r="A492" t="s">
        <v>2004</v>
      </c>
      <c r="B492" t="s">
        <v>17</v>
      </c>
      <c r="C492" t="s">
        <v>848</v>
      </c>
      <c r="D492">
        <v>1</v>
      </c>
      <c r="E492" s="123">
        <v>5100</v>
      </c>
      <c r="F492">
        <v>1</v>
      </c>
    </row>
    <row r="493" spans="1:6" hidden="1" x14ac:dyDescent="0.25">
      <c r="A493" t="s">
        <v>2001</v>
      </c>
      <c r="B493" t="s">
        <v>10</v>
      </c>
      <c r="C493" t="s">
        <v>41</v>
      </c>
      <c r="D493">
        <v>3</v>
      </c>
      <c r="E493" s="123">
        <v>5782.7199999999993</v>
      </c>
      <c r="F493">
        <v>3</v>
      </c>
    </row>
    <row r="494" spans="1:6" hidden="1" x14ac:dyDescent="0.25">
      <c r="A494" t="s">
        <v>2005</v>
      </c>
      <c r="B494" t="s">
        <v>10</v>
      </c>
      <c r="C494" t="s">
        <v>123</v>
      </c>
      <c r="D494">
        <v>4</v>
      </c>
      <c r="E494" s="123">
        <v>9059.6</v>
      </c>
      <c r="F494">
        <v>3</v>
      </c>
    </row>
    <row r="495" spans="1:6" x14ac:dyDescent="0.25">
      <c r="A495" t="s">
        <v>2004</v>
      </c>
      <c r="B495" t="s">
        <v>17</v>
      </c>
      <c r="C495" t="s">
        <v>161</v>
      </c>
      <c r="D495">
        <v>1</v>
      </c>
      <c r="E495" s="123">
        <v>5315</v>
      </c>
      <c r="F495">
        <v>1</v>
      </c>
    </row>
    <row r="496" spans="1:6" x14ac:dyDescent="0.25">
      <c r="A496" t="s">
        <v>2004</v>
      </c>
      <c r="B496" t="s">
        <v>17</v>
      </c>
      <c r="C496" t="s">
        <v>854</v>
      </c>
      <c r="D496">
        <v>1</v>
      </c>
      <c r="E496" s="123">
        <v>5335</v>
      </c>
      <c r="F496">
        <v>1</v>
      </c>
    </row>
    <row r="497" spans="1:6" hidden="1" x14ac:dyDescent="0.25">
      <c r="A497" t="s">
        <v>2004</v>
      </c>
      <c r="B497" t="s">
        <v>10</v>
      </c>
      <c r="C497" t="s">
        <v>822</v>
      </c>
      <c r="D497">
        <v>1</v>
      </c>
      <c r="E497" s="123">
        <v>5370</v>
      </c>
      <c r="F497">
        <v>1</v>
      </c>
    </row>
    <row r="498" spans="1:6" hidden="1" x14ac:dyDescent="0.25">
      <c r="A498" t="s">
        <v>2004</v>
      </c>
      <c r="B498" t="s">
        <v>10</v>
      </c>
      <c r="C498" t="s">
        <v>152</v>
      </c>
      <c r="D498">
        <v>1</v>
      </c>
      <c r="E498" s="123">
        <v>5428</v>
      </c>
      <c r="F498">
        <v>1</v>
      </c>
    </row>
    <row r="499" spans="1:6" x14ac:dyDescent="0.25">
      <c r="A499" t="s">
        <v>2004</v>
      </c>
      <c r="B499" t="s">
        <v>17</v>
      </c>
      <c r="C499" t="s">
        <v>996</v>
      </c>
      <c r="D499">
        <v>1</v>
      </c>
      <c r="E499" s="123">
        <v>5583.99</v>
      </c>
      <c r="F499">
        <v>1</v>
      </c>
    </row>
    <row r="500" spans="1:6" hidden="1" x14ac:dyDescent="0.25">
      <c r="A500" t="s">
        <v>2005</v>
      </c>
      <c r="B500" t="s">
        <v>10</v>
      </c>
      <c r="C500" t="s">
        <v>478</v>
      </c>
      <c r="D500">
        <v>4</v>
      </c>
      <c r="E500" s="123">
        <v>24423.32</v>
      </c>
      <c r="F500">
        <v>3</v>
      </c>
    </row>
    <row r="501" spans="1:6" hidden="1" x14ac:dyDescent="0.25">
      <c r="A501" t="s">
        <v>2004</v>
      </c>
      <c r="B501" t="s">
        <v>47</v>
      </c>
      <c r="C501" t="s">
        <v>514</v>
      </c>
      <c r="D501">
        <v>1</v>
      </c>
      <c r="E501" s="123">
        <v>5968</v>
      </c>
      <c r="F501">
        <v>1</v>
      </c>
    </row>
    <row r="502" spans="1:6" hidden="1" x14ac:dyDescent="0.25">
      <c r="A502" t="s">
        <v>2004</v>
      </c>
      <c r="B502" t="s">
        <v>10</v>
      </c>
      <c r="C502" t="s">
        <v>739</v>
      </c>
      <c r="D502">
        <v>1</v>
      </c>
      <c r="E502" s="123">
        <v>5972</v>
      </c>
      <c r="F502">
        <v>1</v>
      </c>
    </row>
    <row r="503" spans="1:6" x14ac:dyDescent="0.25">
      <c r="A503" t="s">
        <v>2004</v>
      </c>
      <c r="B503" t="s">
        <v>17</v>
      </c>
      <c r="C503" t="s">
        <v>674</v>
      </c>
      <c r="D503">
        <v>1</v>
      </c>
      <c r="E503" s="123">
        <v>6030</v>
      </c>
      <c r="F503">
        <v>1</v>
      </c>
    </row>
    <row r="504" spans="1:6" hidden="1" x14ac:dyDescent="0.25">
      <c r="A504" t="s">
        <v>2005</v>
      </c>
      <c r="B504" t="s">
        <v>10</v>
      </c>
      <c r="C504" t="s">
        <v>56</v>
      </c>
      <c r="D504">
        <v>4</v>
      </c>
      <c r="E504" s="123">
        <v>23311.35</v>
      </c>
      <c r="F504">
        <v>4</v>
      </c>
    </row>
    <row r="505" spans="1:6" x14ac:dyDescent="0.25">
      <c r="A505" t="s">
        <v>2004</v>
      </c>
      <c r="B505" t="s">
        <v>17</v>
      </c>
      <c r="C505" t="s">
        <v>206</v>
      </c>
      <c r="D505">
        <v>1</v>
      </c>
      <c r="E505" s="123">
        <v>6177</v>
      </c>
      <c r="F505">
        <v>1</v>
      </c>
    </row>
    <row r="506" spans="1:6" x14ac:dyDescent="0.25">
      <c r="A506" t="s">
        <v>2004</v>
      </c>
      <c r="B506" t="s">
        <v>17</v>
      </c>
      <c r="C506" t="s">
        <v>653</v>
      </c>
      <c r="D506">
        <v>1</v>
      </c>
      <c r="E506" s="123">
        <v>6197.99</v>
      </c>
      <c r="F506">
        <v>1</v>
      </c>
    </row>
    <row r="507" spans="1:6" hidden="1" x14ac:dyDescent="0.25">
      <c r="A507" t="s">
        <v>2004</v>
      </c>
      <c r="B507" t="s">
        <v>10</v>
      </c>
      <c r="C507" t="s">
        <v>237</v>
      </c>
      <c r="D507">
        <v>4</v>
      </c>
      <c r="E507" s="123">
        <v>26510.59</v>
      </c>
      <c r="F507">
        <v>3</v>
      </c>
    </row>
    <row r="508" spans="1:6" hidden="1" x14ac:dyDescent="0.25">
      <c r="A508" t="s">
        <v>2004</v>
      </c>
      <c r="B508" t="s">
        <v>1001</v>
      </c>
      <c r="C508" t="s">
        <v>712</v>
      </c>
      <c r="D508">
        <v>1</v>
      </c>
      <c r="E508" s="123">
        <v>1289.29</v>
      </c>
      <c r="F508">
        <v>1</v>
      </c>
    </row>
    <row r="509" spans="1:6" hidden="1" x14ac:dyDescent="0.25">
      <c r="A509" t="s">
        <v>2003</v>
      </c>
      <c r="B509" t="s">
        <v>10</v>
      </c>
      <c r="C509" t="s">
        <v>425</v>
      </c>
      <c r="D509">
        <v>4</v>
      </c>
      <c r="E509" s="123">
        <v>24354.59</v>
      </c>
      <c r="F509">
        <v>3</v>
      </c>
    </row>
    <row r="510" spans="1:6" x14ac:dyDescent="0.25">
      <c r="A510" t="s">
        <v>2004</v>
      </c>
      <c r="B510" t="s">
        <v>17</v>
      </c>
      <c r="C510" t="s">
        <v>65</v>
      </c>
      <c r="D510">
        <v>1</v>
      </c>
      <c r="E510" s="123">
        <v>6502</v>
      </c>
      <c r="F510">
        <v>1</v>
      </c>
    </row>
    <row r="511" spans="1:6" hidden="1" x14ac:dyDescent="0.25">
      <c r="A511" t="s">
        <v>2004</v>
      </c>
      <c r="B511" t="s">
        <v>1001</v>
      </c>
      <c r="C511" t="s">
        <v>661</v>
      </c>
      <c r="D511">
        <v>1</v>
      </c>
      <c r="E511" s="123">
        <v>1396</v>
      </c>
      <c r="F511">
        <v>1</v>
      </c>
    </row>
    <row r="512" spans="1:6" hidden="1" x14ac:dyDescent="0.25">
      <c r="A512" t="s">
        <v>2004</v>
      </c>
      <c r="B512" t="s">
        <v>10</v>
      </c>
      <c r="C512" t="s">
        <v>514</v>
      </c>
      <c r="D512">
        <v>1</v>
      </c>
      <c r="E512" s="123">
        <v>6557.99</v>
      </c>
      <c r="F512">
        <v>1</v>
      </c>
    </row>
    <row r="513" spans="1:6" hidden="1" x14ac:dyDescent="0.25">
      <c r="A513" t="s">
        <v>2002</v>
      </c>
      <c r="B513" t="s">
        <v>10</v>
      </c>
      <c r="C513" t="s">
        <v>478</v>
      </c>
      <c r="D513">
        <v>4</v>
      </c>
      <c r="E513" s="123">
        <v>12863</v>
      </c>
      <c r="F513">
        <v>2</v>
      </c>
    </row>
    <row r="514" spans="1:6" x14ac:dyDescent="0.25">
      <c r="A514" t="s">
        <v>2004</v>
      </c>
      <c r="B514" t="s">
        <v>17</v>
      </c>
      <c r="C514" t="s">
        <v>1143</v>
      </c>
      <c r="D514">
        <v>1</v>
      </c>
      <c r="E514" s="123">
        <v>6800</v>
      </c>
      <c r="F514">
        <v>1</v>
      </c>
    </row>
    <row r="515" spans="1:6" hidden="1" x14ac:dyDescent="0.25">
      <c r="A515" t="s">
        <v>2002</v>
      </c>
      <c r="B515" t="s">
        <v>10</v>
      </c>
      <c r="C515" t="s">
        <v>16</v>
      </c>
      <c r="D515">
        <v>4</v>
      </c>
      <c r="E515" s="123">
        <v>23049.09</v>
      </c>
      <c r="F515">
        <v>2</v>
      </c>
    </row>
    <row r="516" spans="1:6" hidden="1" x14ac:dyDescent="0.25">
      <c r="A516" t="s">
        <v>2004</v>
      </c>
      <c r="B516" t="s">
        <v>10</v>
      </c>
      <c r="C516" t="s">
        <v>661</v>
      </c>
      <c r="D516">
        <v>1</v>
      </c>
      <c r="E516" s="123">
        <v>6896</v>
      </c>
      <c r="F516">
        <v>1</v>
      </c>
    </row>
    <row r="517" spans="1:6" hidden="1" x14ac:dyDescent="0.25">
      <c r="A517" t="s">
        <v>2002</v>
      </c>
      <c r="B517" t="s">
        <v>10</v>
      </c>
      <c r="C517" t="s">
        <v>425</v>
      </c>
      <c r="D517">
        <v>4</v>
      </c>
      <c r="E517" s="123">
        <v>10249.76</v>
      </c>
      <c r="F517">
        <v>3</v>
      </c>
    </row>
    <row r="518" spans="1:6" hidden="1" x14ac:dyDescent="0.25">
      <c r="A518" t="s">
        <v>2002</v>
      </c>
      <c r="B518" t="s">
        <v>10</v>
      </c>
      <c r="C518" t="s">
        <v>6</v>
      </c>
      <c r="D518">
        <v>4</v>
      </c>
      <c r="E518" s="123">
        <v>14685.48</v>
      </c>
      <c r="F518">
        <v>3</v>
      </c>
    </row>
    <row r="519" spans="1:6" hidden="1" x14ac:dyDescent="0.25">
      <c r="A519" t="s">
        <v>2005</v>
      </c>
      <c r="B519" t="s">
        <v>10</v>
      </c>
      <c r="C519" t="s">
        <v>41</v>
      </c>
      <c r="D519">
        <v>5</v>
      </c>
      <c r="E519" s="123">
        <v>15429.99</v>
      </c>
      <c r="F519">
        <v>4</v>
      </c>
    </row>
    <row r="520" spans="1:6" hidden="1" x14ac:dyDescent="0.25">
      <c r="A520" t="s">
        <v>2005</v>
      </c>
      <c r="B520" t="s">
        <v>10</v>
      </c>
      <c r="C520" t="s">
        <v>6</v>
      </c>
      <c r="D520">
        <v>5</v>
      </c>
      <c r="E520" s="123">
        <v>13669.52</v>
      </c>
      <c r="F520">
        <v>5</v>
      </c>
    </row>
    <row r="521" spans="1:6" x14ac:dyDescent="0.25">
      <c r="A521" t="s">
        <v>2004</v>
      </c>
      <c r="B521" t="s">
        <v>17</v>
      </c>
      <c r="C521" t="s">
        <v>656</v>
      </c>
      <c r="D521">
        <v>1</v>
      </c>
      <c r="E521" s="123">
        <v>7640</v>
      </c>
      <c r="F521">
        <v>1</v>
      </c>
    </row>
    <row r="522" spans="1:6" hidden="1" x14ac:dyDescent="0.25">
      <c r="A522" t="s">
        <v>2004</v>
      </c>
      <c r="B522" t="s">
        <v>10</v>
      </c>
      <c r="C522" t="s">
        <v>46</v>
      </c>
      <c r="D522">
        <v>5</v>
      </c>
      <c r="E522" s="123">
        <v>13473</v>
      </c>
      <c r="F522">
        <v>5</v>
      </c>
    </row>
    <row r="523" spans="1:6" hidden="1" x14ac:dyDescent="0.25">
      <c r="A523" t="s">
        <v>2004</v>
      </c>
      <c r="B523" t="s">
        <v>955</v>
      </c>
      <c r="C523" t="s">
        <v>960</v>
      </c>
      <c r="D523">
        <v>1</v>
      </c>
      <c r="E523" s="123">
        <v>7810.97</v>
      </c>
      <c r="F523">
        <v>1</v>
      </c>
    </row>
    <row r="524" spans="1:6" hidden="1" x14ac:dyDescent="0.25">
      <c r="A524" t="s">
        <v>2003</v>
      </c>
      <c r="B524" t="s">
        <v>10</v>
      </c>
      <c r="C524" t="s">
        <v>84</v>
      </c>
      <c r="D524">
        <v>5</v>
      </c>
      <c r="E524" s="123">
        <v>18033.59</v>
      </c>
      <c r="F524">
        <v>5</v>
      </c>
    </row>
    <row r="525" spans="1:6" x14ac:dyDescent="0.25">
      <c r="A525" t="s">
        <v>2004</v>
      </c>
      <c r="B525" t="s">
        <v>890</v>
      </c>
      <c r="C525" t="s">
        <v>889</v>
      </c>
      <c r="D525">
        <v>1</v>
      </c>
      <c r="E525" s="123">
        <v>8103.83</v>
      </c>
      <c r="F525">
        <v>1</v>
      </c>
    </row>
    <row r="526" spans="1:6" hidden="1" x14ac:dyDescent="0.25">
      <c r="A526" t="s">
        <v>2004</v>
      </c>
      <c r="B526" t="s">
        <v>47</v>
      </c>
      <c r="C526" t="s">
        <v>1013</v>
      </c>
      <c r="D526">
        <v>1</v>
      </c>
      <c r="E526" s="123">
        <v>8480</v>
      </c>
      <c r="F526">
        <v>1</v>
      </c>
    </row>
    <row r="527" spans="1:6" x14ac:dyDescent="0.25">
      <c r="A527" t="s">
        <v>2004</v>
      </c>
      <c r="B527" t="s">
        <v>17</v>
      </c>
      <c r="C527" t="s">
        <v>778</v>
      </c>
      <c r="D527">
        <v>1</v>
      </c>
      <c r="E527" s="123">
        <v>8501.2000000000007</v>
      </c>
      <c r="F527">
        <v>1</v>
      </c>
    </row>
    <row r="528" spans="1:6" hidden="1" x14ac:dyDescent="0.25">
      <c r="A528" t="s">
        <v>2002</v>
      </c>
      <c r="B528" t="s">
        <v>10</v>
      </c>
      <c r="C528" t="s">
        <v>58</v>
      </c>
      <c r="D528">
        <v>5</v>
      </c>
      <c r="E528" s="123">
        <v>25466.51</v>
      </c>
      <c r="F528">
        <v>1</v>
      </c>
    </row>
    <row r="529" spans="1:6" hidden="1" x14ac:dyDescent="0.25">
      <c r="A529" t="s">
        <v>2004</v>
      </c>
      <c r="B529" t="s">
        <v>10</v>
      </c>
      <c r="C529" t="s">
        <v>665</v>
      </c>
      <c r="D529">
        <v>1</v>
      </c>
      <c r="E529" s="123">
        <v>8911</v>
      </c>
      <c r="F529">
        <v>1</v>
      </c>
    </row>
    <row r="530" spans="1:6" hidden="1" x14ac:dyDescent="0.25">
      <c r="A530" t="s">
        <v>2002</v>
      </c>
      <c r="B530" t="s">
        <v>10</v>
      </c>
      <c r="C530" t="s">
        <v>123</v>
      </c>
      <c r="D530">
        <v>5</v>
      </c>
      <c r="E530" s="123">
        <v>12843.59</v>
      </c>
      <c r="F530">
        <v>2</v>
      </c>
    </row>
    <row r="531" spans="1:6" hidden="1" x14ac:dyDescent="0.25">
      <c r="A531" t="s">
        <v>2002</v>
      </c>
      <c r="B531" t="s">
        <v>10</v>
      </c>
      <c r="C531" t="s">
        <v>88</v>
      </c>
      <c r="D531">
        <v>5</v>
      </c>
      <c r="E531" s="123">
        <v>22547.91</v>
      </c>
      <c r="F531">
        <v>4</v>
      </c>
    </row>
    <row r="532" spans="1:6" hidden="1" x14ac:dyDescent="0.25">
      <c r="A532" t="s">
        <v>2004</v>
      </c>
      <c r="B532" t="s">
        <v>10</v>
      </c>
      <c r="C532" t="s">
        <v>425</v>
      </c>
      <c r="D532">
        <v>6</v>
      </c>
      <c r="E532" s="123">
        <v>13208</v>
      </c>
      <c r="F532">
        <v>5</v>
      </c>
    </row>
    <row r="533" spans="1:6" hidden="1" x14ac:dyDescent="0.25">
      <c r="A533" t="s">
        <v>2003</v>
      </c>
      <c r="B533" t="s">
        <v>10</v>
      </c>
      <c r="C533" t="s">
        <v>237</v>
      </c>
      <c r="D533">
        <v>6</v>
      </c>
      <c r="E533" s="123">
        <v>17297.919999999998</v>
      </c>
      <c r="F533">
        <v>4</v>
      </c>
    </row>
    <row r="534" spans="1:6" hidden="1" x14ac:dyDescent="0.25">
      <c r="A534" t="s">
        <v>2002</v>
      </c>
      <c r="B534" t="s">
        <v>10</v>
      </c>
      <c r="C534" t="s">
        <v>43</v>
      </c>
      <c r="D534">
        <v>6</v>
      </c>
      <c r="E534" s="123">
        <v>16038.84</v>
      </c>
      <c r="F534">
        <v>4</v>
      </c>
    </row>
    <row r="535" spans="1:6" hidden="1" x14ac:dyDescent="0.25">
      <c r="A535" t="s">
        <v>2004</v>
      </c>
      <c r="B535" t="s">
        <v>10</v>
      </c>
      <c r="C535" t="s">
        <v>41</v>
      </c>
      <c r="D535">
        <v>8</v>
      </c>
      <c r="E535" s="123">
        <v>41751.57</v>
      </c>
      <c r="F535">
        <v>5</v>
      </c>
    </row>
    <row r="536" spans="1:6" x14ac:dyDescent="0.25">
      <c r="A536" t="s">
        <v>2004</v>
      </c>
      <c r="B536" t="s">
        <v>17</v>
      </c>
      <c r="C536" t="s">
        <v>688</v>
      </c>
      <c r="D536">
        <v>1</v>
      </c>
      <c r="E536" s="123">
        <v>11508</v>
      </c>
      <c r="F536">
        <v>1</v>
      </c>
    </row>
    <row r="537" spans="1:6" hidden="1" x14ac:dyDescent="0.25">
      <c r="A537" t="s">
        <v>2004</v>
      </c>
      <c r="B537" t="s">
        <v>47</v>
      </c>
      <c r="C537" t="s">
        <v>991</v>
      </c>
      <c r="D537">
        <v>1</v>
      </c>
      <c r="E537" s="123">
        <v>11998.3</v>
      </c>
      <c r="F537">
        <v>1</v>
      </c>
    </row>
    <row r="538" spans="1:6" hidden="1" x14ac:dyDescent="0.25">
      <c r="A538" t="s">
        <v>2004</v>
      </c>
      <c r="B538" t="s">
        <v>47</v>
      </c>
      <c r="C538" t="s">
        <v>806</v>
      </c>
      <c r="D538">
        <v>1</v>
      </c>
      <c r="E538" s="123">
        <v>12074.59</v>
      </c>
      <c r="F538">
        <v>1</v>
      </c>
    </row>
    <row r="539" spans="1:6" hidden="1" x14ac:dyDescent="0.25">
      <c r="A539" t="s">
        <v>2003</v>
      </c>
      <c r="B539" t="s">
        <v>10</v>
      </c>
      <c r="C539" t="s">
        <v>41</v>
      </c>
      <c r="D539">
        <v>11</v>
      </c>
      <c r="E539" s="123">
        <v>65515.17</v>
      </c>
      <c r="F539">
        <v>8</v>
      </c>
    </row>
    <row r="540" spans="1:6" hidden="1" x14ac:dyDescent="0.25">
      <c r="A540" t="s">
        <v>2002</v>
      </c>
      <c r="B540" t="s">
        <v>10</v>
      </c>
      <c r="C540" t="s">
        <v>41</v>
      </c>
      <c r="D540">
        <v>11</v>
      </c>
      <c r="E540" s="123">
        <v>34878.44</v>
      </c>
      <c r="F540">
        <v>6</v>
      </c>
    </row>
    <row r="541" spans="1:6" hidden="1" x14ac:dyDescent="0.25">
      <c r="A541" t="s">
        <v>2002</v>
      </c>
      <c r="B541" t="s">
        <v>10</v>
      </c>
      <c r="C541" t="s">
        <v>46</v>
      </c>
      <c r="D541">
        <v>12</v>
      </c>
      <c r="E541" s="123">
        <v>55429.83</v>
      </c>
      <c r="F541">
        <v>8</v>
      </c>
    </row>
    <row r="542" spans="1:6" x14ac:dyDescent="0.25">
      <c r="A542" t="s">
        <v>2006</v>
      </c>
      <c r="B542" t="s">
        <v>17</v>
      </c>
      <c r="C542" t="s">
        <v>32</v>
      </c>
      <c r="D542">
        <v>1</v>
      </c>
      <c r="E542" s="123">
        <v>604</v>
      </c>
      <c r="F542">
        <v>1</v>
      </c>
    </row>
    <row r="543" spans="1:6" x14ac:dyDescent="0.25">
      <c r="A543" t="s">
        <v>2006</v>
      </c>
      <c r="B543" t="s">
        <v>17</v>
      </c>
      <c r="C543" t="s">
        <v>174</v>
      </c>
      <c r="D543">
        <v>1</v>
      </c>
      <c r="E543" s="123">
        <v>1244.1600000000001</v>
      </c>
      <c r="F543">
        <v>1</v>
      </c>
    </row>
    <row r="544" spans="1:6" x14ac:dyDescent="0.25">
      <c r="A544" t="s">
        <v>2004</v>
      </c>
      <c r="B544" t="s">
        <v>17</v>
      </c>
      <c r="C544" t="s">
        <v>1027</v>
      </c>
      <c r="D544">
        <v>1</v>
      </c>
      <c r="E544" s="123">
        <v>13545.99</v>
      </c>
      <c r="F544">
        <v>1</v>
      </c>
    </row>
    <row r="545" spans="1:6" x14ac:dyDescent="0.25">
      <c r="A545" t="s">
        <v>2004</v>
      </c>
      <c r="B545" t="s">
        <v>890</v>
      </c>
      <c r="C545" t="s">
        <v>1090</v>
      </c>
      <c r="D545">
        <v>1</v>
      </c>
      <c r="E545" s="123">
        <v>13944.23</v>
      </c>
      <c r="F545">
        <v>1</v>
      </c>
    </row>
    <row r="546" spans="1:6" x14ac:dyDescent="0.25">
      <c r="A546" t="s">
        <v>2004</v>
      </c>
      <c r="B546" t="s">
        <v>890</v>
      </c>
      <c r="C546" t="s">
        <v>806</v>
      </c>
      <c r="D546">
        <v>1</v>
      </c>
      <c r="E546" s="123">
        <v>14057.99</v>
      </c>
      <c r="F546">
        <v>1</v>
      </c>
    </row>
    <row r="547" spans="1:6" hidden="1" x14ac:dyDescent="0.25">
      <c r="A547" t="s">
        <v>2004</v>
      </c>
      <c r="B547" t="s">
        <v>10</v>
      </c>
      <c r="C547" t="s">
        <v>1089</v>
      </c>
      <c r="D547">
        <v>1</v>
      </c>
      <c r="E547" s="123">
        <v>14799.99</v>
      </c>
      <c r="F547">
        <v>1</v>
      </c>
    </row>
    <row r="548" spans="1:6" x14ac:dyDescent="0.25">
      <c r="A548" t="s">
        <v>2006</v>
      </c>
      <c r="B548" t="s">
        <v>17</v>
      </c>
      <c r="C548" t="s">
        <v>379</v>
      </c>
      <c r="D548">
        <v>1</v>
      </c>
      <c r="E548" s="123">
        <v>2038.36</v>
      </c>
      <c r="F548">
        <v>1</v>
      </c>
    </row>
    <row r="549" spans="1:6" hidden="1" x14ac:dyDescent="0.25">
      <c r="A549" t="s">
        <v>2004</v>
      </c>
      <c r="B549" t="s">
        <v>955</v>
      </c>
      <c r="C549" t="s">
        <v>555</v>
      </c>
      <c r="D549">
        <v>1</v>
      </c>
      <c r="E549" s="123">
        <v>15260</v>
      </c>
      <c r="F549">
        <v>1</v>
      </c>
    </row>
    <row r="550" spans="1:6" x14ac:dyDescent="0.25">
      <c r="A550" t="s">
        <v>2006</v>
      </c>
      <c r="B550" t="s">
        <v>17</v>
      </c>
      <c r="C550" t="s">
        <v>70</v>
      </c>
      <c r="D550">
        <v>1</v>
      </c>
      <c r="E550" s="123">
        <v>2167</v>
      </c>
      <c r="F550">
        <v>1</v>
      </c>
    </row>
    <row r="551" spans="1:6" hidden="1" x14ac:dyDescent="0.25">
      <c r="A551" t="s">
        <v>2004</v>
      </c>
      <c r="B551" t="s">
        <v>1001</v>
      </c>
      <c r="C551" t="s">
        <v>301</v>
      </c>
      <c r="D551">
        <v>1</v>
      </c>
      <c r="E551" s="123">
        <v>2802.01</v>
      </c>
      <c r="F551">
        <v>1</v>
      </c>
    </row>
    <row r="552" spans="1:6" hidden="1" x14ac:dyDescent="0.25">
      <c r="A552" t="s">
        <v>2004</v>
      </c>
      <c r="B552" t="s">
        <v>10</v>
      </c>
      <c r="C552" t="s">
        <v>1006</v>
      </c>
      <c r="D552">
        <v>1</v>
      </c>
      <c r="E552" s="123">
        <v>16428.16</v>
      </c>
      <c r="F552">
        <v>1</v>
      </c>
    </row>
    <row r="553" spans="1:6" x14ac:dyDescent="0.25">
      <c r="A553" t="s">
        <v>2006</v>
      </c>
      <c r="B553" t="s">
        <v>17</v>
      </c>
      <c r="C553" t="s">
        <v>214</v>
      </c>
      <c r="D553">
        <v>1</v>
      </c>
      <c r="E553" s="123">
        <v>2197</v>
      </c>
      <c r="F553">
        <v>1</v>
      </c>
    </row>
    <row r="554" spans="1:6" x14ac:dyDescent="0.25">
      <c r="A554" t="s">
        <v>2006</v>
      </c>
      <c r="B554" t="s">
        <v>17</v>
      </c>
      <c r="C554" t="s">
        <v>4</v>
      </c>
      <c r="D554">
        <v>1</v>
      </c>
      <c r="E554" s="123">
        <v>2211</v>
      </c>
      <c r="F554">
        <v>1</v>
      </c>
    </row>
    <row r="555" spans="1:6" x14ac:dyDescent="0.25">
      <c r="A555" t="s">
        <v>2006</v>
      </c>
      <c r="B555" t="s">
        <v>17</v>
      </c>
      <c r="C555" t="s">
        <v>37</v>
      </c>
      <c r="D555">
        <v>1</v>
      </c>
      <c r="E555" s="123">
        <v>2640</v>
      </c>
      <c r="F555">
        <v>1</v>
      </c>
    </row>
    <row r="556" spans="1:6" hidden="1" x14ac:dyDescent="0.25">
      <c r="A556" t="s">
        <v>2004</v>
      </c>
      <c r="B556" t="s">
        <v>10</v>
      </c>
      <c r="C556" t="s">
        <v>973</v>
      </c>
      <c r="D556">
        <v>1</v>
      </c>
      <c r="E556" s="123">
        <v>20035</v>
      </c>
      <c r="F556">
        <v>1</v>
      </c>
    </row>
    <row r="557" spans="1:6" hidden="1" x14ac:dyDescent="0.25">
      <c r="A557" t="s">
        <v>2004</v>
      </c>
      <c r="B557" t="s">
        <v>47</v>
      </c>
      <c r="C557" t="s">
        <v>1138</v>
      </c>
      <c r="D557">
        <v>1</v>
      </c>
      <c r="E557" s="123">
        <v>20370</v>
      </c>
      <c r="F557">
        <v>1</v>
      </c>
    </row>
    <row r="558" spans="1:6" hidden="1" x14ac:dyDescent="0.25">
      <c r="A558" t="s">
        <v>2004</v>
      </c>
      <c r="B558" t="s">
        <v>47</v>
      </c>
      <c r="C558" t="s">
        <v>903</v>
      </c>
      <c r="D558">
        <v>1</v>
      </c>
      <c r="E558" s="123">
        <v>21445</v>
      </c>
      <c r="F558">
        <v>1</v>
      </c>
    </row>
    <row r="559" spans="1:6" x14ac:dyDescent="0.25">
      <c r="A559" t="s">
        <v>2006</v>
      </c>
      <c r="B559" t="s">
        <v>17</v>
      </c>
      <c r="C559" t="s">
        <v>210</v>
      </c>
      <c r="D559">
        <v>1</v>
      </c>
      <c r="E559" s="123">
        <v>2832</v>
      </c>
      <c r="F559">
        <v>1</v>
      </c>
    </row>
    <row r="560" spans="1:6" x14ac:dyDescent="0.25">
      <c r="A560" t="s">
        <v>2004</v>
      </c>
      <c r="B560" t="s">
        <v>17</v>
      </c>
      <c r="C560" t="s">
        <v>739</v>
      </c>
      <c r="D560">
        <v>1</v>
      </c>
      <c r="E560" s="123">
        <v>24120</v>
      </c>
      <c r="F560">
        <v>1</v>
      </c>
    </row>
    <row r="561" spans="1:6" x14ac:dyDescent="0.25">
      <c r="A561" t="s">
        <v>2006</v>
      </c>
      <c r="B561" t="s">
        <v>17</v>
      </c>
      <c r="C561" t="s">
        <v>84</v>
      </c>
      <c r="D561">
        <v>1</v>
      </c>
      <c r="E561" s="123">
        <v>3791.8</v>
      </c>
      <c r="F561">
        <v>1</v>
      </c>
    </row>
    <row r="562" spans="1:6" x14ac:dyDescent="0.25">
      <c r="A562" t="s">
        <v>2006</v>
      </c>
      <c r="B562" t="s">
        <v>17</v>
      </c>
      <c r="C562" t="s">
        <v>218</v>
      </c>
      <c r="D562">
        <v>1</v>
      </c>
      <c r="E562" s="123">
        <v>3888</v>
      </c>
      <c r="F562">
        <v>1</v>
      </c>
    </row>
    <row r="563" spans="1:6" x14ac:dyDescent="0.25">
      <c r="A563" t="s">
        <v>2004</v>
      </c>
      <c r="B563" t="s">
        <v>17</v>
      </c>
      <c r="C563" t="s">
        <v>503</v>
      </c>
      <c r="D563">
        <v>1</v>
      </c>
      <c r="E563" s="123">
        <v>41599</v>
      </c>
      <c r="F563">
        <v>1</v>
      </c>
    </row>
    <row r="564" spans="1:6" x14ac:dyDescent="0.25">
      <c r="A564" t="s">
        <v>2006</v>
      </c>
      <c r="B564" t="s">
        <v>17</v>
      </c>
      <c r="C564" t="s">
        <v>26</v>
      </c>
      <c r="D564">
        <v>1</v>
      </c>
      <c r="E564" s="123">
        <v>4102.3999999999996</v>
      </c>
      <c r="F564">
        <v>1</v>
      </c>
    </row>
    <row r="565" spans="1:6" hidden="1" x14ac:dyDescent="0.25">
      <c r="A565" t="s">
        <v>2004</v>
      </c>
      <c r="B565" t="s">
        <v>10</v>
      </c>
      <c r="C565" t="s">
        <v>503</v>
      </c>
      <c r="D565">
        <v>1</v>
      </c>
      <c r="E565" s="123">
        <v>51000</v>
      </c>
      <c r="F565">
        <v>1</v>
      </c>
    </row>
    <row r="566" spans="1:6" x14ac:dyDescent="0.25">
      <c r="A566" t="s">
        <v>2006</v>
      </c>
      <c r="B566" t="s">
        <v>17</v>
      </c>
      <c r="C566" t="s">
        <v>123</v>
      </c>
      <c r="D566">
        <v>1</v>
      </c>
      <c r="E566" s="123">
        <v>4405</v>
      </c>
      <c r="F566">
        <v>1</v>
      </c>
    </row>
    <row r="567" spans="1:6" hidden="1" x14ac:dyDescent="0.25">
      <c r="A567" t="s">
        <v>2004</v>
      </c>
      <c r="B567" t="s">
        <v>942</v>
      </c>
      <c r="C567" t="s">
        <v>938</v>
      </c>
      <c r="D567">
        <v>1</v>
      </c>
      <c r="E567" s="123">
        <v>95140</v>
      </c>
      <c r="F567">
        <v>1</v>
      </c>
    </row>
    <row r="568" spans="1:6" x14ac:dyDescent="0.25">
      <c r="A568" t="s">
        <v>2006</v>
      </c>
      <c r="B568" t="s">
        <v>17</v>
      </c>
      <c r="C568" t="s">
        <v>16</v>
      </c>
      <c r="D568">
        <v>1</v>
      </c>
      <c r="E568" s="123">
        <v>4760</v>
      </c>
      <c r="F568">
        <v>1</v>
      </c>
    </row>
    <row r="569" spans="1:6" x14ac:dyDescent="0.25">
      <c r="A569" t="s">
        <v>2006</v>
      </c>
      <c r="B569" t="s">
        <v>17</v>
      </c>
      <c r="C569" t="s">
        <v>228</v>
      </c>
      <c r="D569">
        <v>1</v>
      </c>
      <c r="E569" s="123">
        <v>7742.29</v>
      </c>
      <c r="F569">
        <v>1</v>
      </c>
    </row>
    <row r="570" spans="1:6" x14ac:dyDescent="0.25">
      <c r="A570" t="s">
        <v>2006</v>
      </c>
      <c r="B570" t="s">
        <v>17</v>
      </c>
      <c r="C570" t="s">
        <v>190</v>
      </c>
      <c r="D570">
        <v>1</v>
      </c>
      <c r="E570" s="123">
        <v>8550</v>
      </c>
      <c r="F570">
        <v>1</v>
      </c>
    </row>
    <row r="571" spans="1:6" x14ac:dyDescent="0.25">
      <c r="A571" t="s">
        <v>2006</v>
      </c>
      <c r="B571" t="s">
        <v>17</v>
      </c>
      <c r="C571" t="s">
        <v>253</v>
      </c>
      <c r="D571">
        <v>1</v>
      </c>
      <c r="E571" s="123">
        <v>11904.99</v>
      </c>
      <c r="F571">
        <v>1</v>
      </c>
    </row>
    <row r="572" spans="1:6" x14ac:dyDescent="0.25">
      <c r="A572" t="s">
        <v>2006</v>
      </c>
      <c r="B572" t="s">
        <v>17</v>
      </c>
      <c r="C572" t="s">
        <v>339</v>
      </c>
      <c r="D572">
        <v>1</v>
      </c>
      <c r="E572" s="123">
        <v>12486.32</v>
      </c>
      <c r="F572">
        <v>1</v>
      </c>
    </row>
    <row r="573" spans="1:6" x14ac:dyDescent="0.25">
      <c r="A573" t="s">
        <v>2006</v>
      </c>
      <c r="B573" t="s">
        <v>17</v>
      </c>
      <c r="C573" t="s">
        <v>30</v>
      </c>
      <c r="D573">
        <v>1</v>
      </c>
      <c r="E573" s="123">
        <v>13781.28</v>
      </c>
      <c r="F573">
        <v>1</v>
      </c>
    </row>
    <row r="574" spans="1:6" x14ac:dyDescent="0.25">
      <c r="A574" t="s">
        <v>2006</v>
      </c>
      <c r="B574" t="s">
        <v>17</v>
      </c>
      <c r="C574" t="s">
        <v>356</v>
      </c>
      <c r="D574">
        <v>1</v>
      </c>
      <c r="E574" s="123">
        <v>29596.95</v>
      </c>
      <c r="F574">
        <v>1</v>
      </c>
    </row>
    <row r="575" spans="1:6" hidden="1" x14ac:dyDescent="0.25">
      <c r="A575" t="s">
        <v>2003</v>
      </c>
      <c r="B575" t="s">
        <v>10</v>
      </c>
      <c r="C575" t="s">
        <v>1351</v>
      </c>
      <c r="D575">
        <v>1</v>
      </c>
      <c r="E575" s="123">
        <v>595</v>
      </c>
      <c r="F575">
        <v>1</v>
      </c>
    </row>
    <row r="576" spans="1:6" hidden="1" x14ac:dyDescent="0.25">
      <c r="A576" t="s">
        <v>2003</v>
      </c>
      <c r="B576" t="s">
        <v>10</v>
      </c>
      <c r="C576" t="s">
        <v>798</v>
      </c>
      <c r="D576">
        <v>1</v>
      </c>
      <c r="E576" s="123">
        <v>774.36</v>
      </c>
      <c r="F576">
        <v>1</v>
      </c>
    </row>
    <row r="577" spans="1:6" x14ac:dyDescent="0.25">
      <c r="A577" t="s">
        <v>2006</v>
      </c>
      <c r="B577" t="s">
        <v>17</v>
      </c>
      <c r="C577" t="s">
        <v>293</v>
      </c>
      <c r="D577">
        <v>2</v>
      </c>
      <c r="E577" s="123">
        <v>4600</v>
      </c>
      <c r="F577">
        <v>2</v>
      </c>
    </row>
    <row r="578" spans="1:6" x14ac:dyDescent="0.25">
      <c r="A578" t="s">
        <v>2006</v>
      </c>
      <c r="B578" t="s">
        <v>17</v>
      </c>
      <c r="C578" t="s">
        <v>21</v>
      </c>
      <c r="D578">
        <v>2</v>
      </c>
      <c r="E578" s="123">
        <v>5844</v>
      </c>
      <c r="F578">
        <v>2</v>
      </c>
    </row>
    <row r="579" spans="1:6" hidden="1" x14ac:dyDescent="0.25">
      <c r="A579" t="s">
        <v>2003</v>
      </c>
      <c r="B579" t="s">
        <v>47</v>
      </c>
      <c r="C579" t="s">
        <v>1273</v>
      </c>
      <c r="D579">
        <v>1</v>
      </c>
      <c r="E579" s="123">
        <v>864</v>
      </c>
      <c r="F579">
        <v>1</v>
      </c>
    </row>
    <row r="580" spans="1:6" x14ac:dyDescent="0.25">
      <c r="A580" t="s">
        <v>2006</v>
      </c>
      <c r="B580" t="s">
        <v>17</v>
      </c>
      <c r="C580" t="s">
        <v>63</v>
      </c>
      <c r="D580">
        <v>5</v>
      </c>
      <c r="E580" s="123">
        <v>7476.9400000000014</v>
      </c>
      <c r="F580">
        <v>2</v>
      </c>
    </row>
    <row r="581" spans="1:6" x14ac:dyDescent="0.25">
      <c r="A581" t="s">
        <v>2006</v>
      </c>
      <c r="B581" t="s">
        <v>17</v>
      </c>
      <c r="C581" t="s">
        <v>113</v>
      </c>
      <c r="D581">
        <v>3</v>
      </c>
      <c r="E581" s="123">
        <v>16180.31</v>
      </c>
      <c r="F581">
        <v>2</v>
      </c>
    </row>
    <row r="582" spans="1:6" hidden="1" x14ac:dyDescent="0.25">
      <c r="A582" t="s">
        <v>2003</v>
      </c>
      <c r="B582" t="s">
        <v>47</v>
      </c>
      <c r="C582" t="s">
        <v>698</v>
      </c>
      <c r="D582">
        <v>1</v>
      </c>
      <c r="E582" s="123">
        <v>957.95</v>
      </c>
      <c r="F582">
        <v>1</v>
      </c>
    </row>
    <row r="583" spans="1:6" x14ac:dyDescent="0.25">
      <c r="A583" t="s">
        <v>2006</v>
      </c>
      <c r="B583" t="s">
        <v>17</v>
      </c>
      <c r="C583" t="s">
        <v>276</v>
      </c>
      <c r="D583">
        <v>2</v>
      </c>
      <c r="E583" s="123">
        <v>18655.27</v>
      </c>
      <c r="F583">
        <v>2</v>
      </c>
    </row>
    <row r="584" spans="1:6" x14ac:dyDescent="0.25">
      <c r="A584" t="s">
        <v>2003</v>
      </c>
      <c r="B584" t="s">
        <v>17</v>
      </c>
      <c r="C584" t="s">
        <v>848</v>
      </c>
      <c r="D584">
        <v>1</v>
      </c>
      <c r="E584" s="123">
        <v>1170</v>
      </c>
      <c r="F584">
        <v>1</v>
      </c>
    </row>
    <row r="585" spans="1:6" x14ac:dyDescent="0.25">
      <c r="A585" t="s">
        <v>2006</v>
      </c>
      <c r="B585" t="s">
        <v>17</v>
      </c>
      <c r="C585" t="s">
        <v>80</v>
      </c>
      <c r="D585">
        <v>2</v>
      </c>
      <c r="E585" s="123">
        <v>40393.97</v>
      </c>
      <c r="F585">
        <v>2</v>
      </c>
    </row>
    <row r="586" spans="1:6" x14ac:dyDescent="0.25">
      <c r="A586" t="s">
        <v>2006</v>
      </c>
      <c r="B586" t="s">
        <v>17</v>
      </c>
      <c r="C586" t="s">
        <v>159</v>
      </c>
      <c r="D586">
        <v>4</v>
      </c>
      <c r="E586" s="123">
        <v>61026.639999999992</v>
      </c>
      <c r="F586">
        <v>2</v>
      </c>
    </row>
    <row r="587" spans="1:6" x14ac:dyDescent="0.25">
      <c r="A587" t="s">
        <v>2003</v>
      </c>
      <c r="B587" t="s">
        <v>17</v>
      </c>
      <c r="C587" t="s">
        <v>1396</v>
      </c>
      <c r="D587">
        <v>1</v>
      </c>
      <c r="E587" s="123">
        <v>1300</v>
      </c>
      <c r="F587">
        <v>1</v>
      </c>
    </row>
    <row r="588" spans="1:6" x14ac:dyDescent="0.25">
      <c r="A588" t="s">
        <v>2006</v>
      </c>
      <c r="B588" t="s">
        <v>17</v>
      </c>
      <c r="C588" t="s">
        <v>138</v>
      </c>
      <c r="D588">
        <v>3</v>
      </c>
      <c r="E588" s="123">
        <v>11495.11</v>
      </c>
      <c r="F588">
        <v>3</v>
      </c>
    </row>
    <row r="589" spans="1:6" x14ac:dyDescent="0.25">
      <c r="A589" t="s">
        <v>2006</v>
      </c>
      <c r="B589" t="s">
        <v>17</v>
      </c>
      <c r="C589" t="s">
        <v>117</v>
      </c>
      <c r="D589">
        <v>3</v>
      </c>
      <c r="E589" s="123">
        <v>14189.98</v>
      </c>
      <c r="F589">
        <v>3</v>
      </c>
    </row>
    <row r="590" spans="1:6" x14ac:dyDescent="0.25">
      <c r="A590" t="s">
        <v>2006</v>
      </c>
      <c r="B590" t="s">
        <v>17</v>
      </c>
      <c r="C590" t="s">
        <v>115</v>
      </c>
      <c r="D590">
        <v>3</v>
      </c>
      <c r="E590" s="123">
        <v>15690</v>
      </c>
      <c r="F590">
        <v>3</v>
      </c>
    </row>
    <row r="591" spans="1:6" x14ac:dyDescent="0.25">
      <c r="A591" t="s">
        <v>2006</v>
      </c>
      <c r="B591" t="s">
        <v>17</v>
      </c>
      <c r="C591" t="s">
        <v>204</v>
      </c>
      <c r="D591">
        <v>3</v>
      </c>
      <c r="E591" s="123">
        <v>47316</v>
      </c>
      <c r="F591">
        <v>3</v>
      </c>
    </row>
    <row r="592" spans="1:6" hidden="1" x14ac:dyDescent="0.25">
      <c r="A592" t="s">
        <v>2003</v>
      </c>
      <c r="B592" t="s">
        <v>10</v>
      </c>
      <c r="C592" t="s">
        <v>1318</v>
      </c>
      <c r="D592">
        <v>1</v>
      </c>
      <c r="E592" s="123">
        <v>1626.32</v>
      </c>
      <c r="F592">
        <v>1</v>
      </c>
    </row>
    <row r="593" spans="1:6" x14ac:dyDescent="0.25">
      <c r="A593" t="s">
        <v>2006</v>
      </c>
      <c r="B593" t="s">
        <v>17</v>
      </c>
      <c r="C593" t="s">
        <v>167</v>
      </c>
      <c r="D593">
        <v>4</v>
      </c>
      <c r="E593" s="123">
        <v>25285.99</v>
      </c>
      <c r="F593">
        <v>4</v>
      </c>
    </row>
    <row r="594" spans="1:6" x14ac:dyDescent="0.25">
      <c r="A594" t="s">
        <v>2006</v>
      </c>
      <c r="B594" t="s">
        <v>17</v>
      </c>
      <c r="C594" t="s">
        <v>68</v>
      </c>
      <c r="D594">
        <v>6</v>
      </c>
      <c r="E594" s="123">
        <v>34906.589999999997</v>
      </c>
      <c r="F594">
        <v>4</v>
      </c>
    </row>
    <row r="595" spans="1:6" hidden="1" x14ac:dyDescent="0.25">
      <c r="A595" t="s">
        <v>2003</v>
      </c>
      <c r="B595" t="s">
        <v>47</v>
      </c>
      <c r="C595" t="s">
        <v>9</v>
      </c>
      <c r="D595">
        <v>1</v>
      </c>
      <c r="E595" s="123">
        <v>1790</v>
      </c>
      <c r="F595">
        <v>1</v>
      </c>
    </row>
    <row r="596" spans="1:6" x14ac:dyDescent="0.25">
      <c r="A596" t="s">
        <v>2005</v>
      </c>
      <c r="B596" t="s">
        <v>17</v>
      </c>
      <c r="C596" t="s">
        <v>614</v>
      </c>
      <c r="D596">
        <v>1</v>
      </c>
      <c r="E596" s="123">
        <v>0</v>
      </c>
      <c r="F596">
        <v>1</v>
      </c>
    </row>
    <row r="597" spans="1:6" x14ac:dyDescent="0.25">
      <c r="A597" t="s">
        <v>2005</v>
      </c>
      <c r="B597" t="s">
        <v>17</v>
      </c>
      <c r="C597" t="s">
        <v>478</v>
      </c>
      <c r="D597">
        <v>1</v>
      </c>
      <c r="E597" s="123">
        <v>297</v>
      </c>
      <c r="F597">
        <v>1</v>
      </c>
    </row>
    <row r="598" spans="1:6" x14ac:dyDescent="0.25">
      <c r="A598" t="s">
        <v>2003</v>
      </c>
      <c r="B598" t="s">
        <v>17</v>
      </c>
      <c r="C598" t="s">
        <v>1354</v>
      </c>
      <c r="D598">
        <v>1</v>
      </c>
      <c r="E598" s="123">
        <v>1934</v>
      </c>
      <c r="F598">
        <v>1</v>
      </c>
    </row>
    <row r="599" spans="1:6" hidden="1" x14ac:dyDescent="0.25">
      <c r="A599" t="s">
        <v>2003</v>
      </c>
      <c r="B599" t="s">
        <v>47</v>
      </c>
      <c r="C599" t="s">
        <v>511</v>
      </c>
      <c r="D599">
        <v>1</v>
      </c>
      <c r="E599" s="123">
        <v>2011</v>
      </c>
      <c r="F599">
        <v>1</v>
      </c>
    </row>
    <row r="600" spans="1:6" x14ac:dyDescent="0.25">
      <c r="A600" t="s">
        <v>2005</v>
      </c>
      <c r="B600" t="s">
        <v>17</v>
      </c>
      <c r="C600" t="s">
        <v>70</v>
      </c>
      <c r="D600">
        <v>1</v>
      </c>
      <c r="E600" s="123">
        <v>815</v>
      </c>
      <c r="F600">
        <v>1</v>
      </c>
    </row>
    <row r="601" spans="1:6" x14ac:dyDescent="0.25">
      <c r="A601" t="s">
        <v>2005</v>
      </c>
      <c r="B601" t="s">
        <v>17</v>
      </c>
      <c r="C601" t="s">
        <v>336</v>
      </c>
      <c r="D601">
        <v>1</v>
      </c>
      <c r="E601" s="123">
        <v>1241.8</v>
      </c>
      <c r="F601">
        <v>1</v>
      </c>
    </row>
    <row r="602" spans="1:6" hidden="1" x14ac:dyDescent="0.25">
      <c r="A602" t="s">
        <v>2003</v>
      </c>
      <c r="B602" t="s">
        <v>47</v>
      </c>
      <c r="C602" t="s">
        <v>1384</v>
      </c>
      <c r="D602">
        <v>1</v>
      </c>
      <c r="E602" s="123">
        <v>2500</v>
      </c>
      <c r="F602">
        <v>1</v>
      </c>
    </row>
    <row r="603" spans="1:6" hidden="1" x14ac:dyDescent="0.25">
      <c r="A603" t="s">
        <v>2003</v>
      </c>
      <c r="B603" t="s">
        <v>10</v>
      </c>
      <c r="C603" t="s">
        <v>1384</v>
      </c>
      <c r="D603">
        <v>1</v>
      </c>
      <c r="E603" s="123">
        <v>2500</v>
      </c>
      <c r="F603">
        <v>1</v>
      </c>
    </row>
    <row r="604" spans="1:6" x14ac:dyDescent="0.25">
      <c r="A604" t="s">
        <v>2005</v>
      </c>
      <c r="B604" t="s">
        <v>17</v>
      </c>
      <c r="C604" t="s">
        <v>293</v>
      </c>
      <c r="D604">
        <v>1</v>
      </c>
      <c r="E604" s="123">
        <v>1300</v>
      </c>
      <c r="F604">
        <v>1</v>
      </c>
    </row>
    <row r="605" spans="1:6" hidden="1" x14ac:dyDescent="0.25">
      <c r="A605" t="s">
        <v>2004</v>
      </c>
      <c r="B605" t="s">
        <v>1001</v>
      </c>
      <c r="C605" t="s">
        <v>674</v>
      </c>
      <c r="D605">
        <v>1</v>
      </c>
      <c r="E605" s="123">
        <v>5740</v>
      </c>
      <c r="F605">
        <v>1</v>
      </c>
    </row>
    <row r="606" spans="1:6" hidden="1" x14ac:dyDescent="0.25">
      <c r="A606" t="s">
        <v>2003</v>
      </c>
      <c r="B606" t="s">
        <v>10</v>
      </c>
      <c r="C606" t="s">
        <v>1439</v>
      </c>
      <c r="D606">
        <v>1</v>
      </c>
      <c r="E606" s="123">
        <v>2600</v>
      </c>
      <c r="F606">
        <v>1</v>
      </c>
    </row>
    <row r="607" spans="1:6" hidden="1" x14ac:dyDescent="0.25">
      <c r="A607" t="s">
        <v>2003</v>
      </c>
      <c r="B607" t="s">
        <v>10</v>
      </c>
      <c r="C607" t="s">
        <v>297</v>
      </c>
      <c r="D607">
        <v>1</v>
      </c>
      <c r="E607" s="123">
        <v>2685</v>
      </c>
      <c r="F607">
        <v>1</v>
      </c>
    </row>
    <row r="608" spans="1:6" hidden="1" x14ac:dyDescent="0.25">
      <c r="A608" t="s">
        <v>2003</v>
      </c>
      <c r="B608" t="s">
        <v>47</v>
      </c>
      <c r="C608" t="s">
        <v>1162</v>
      </c>
      <c r="D608">
        <v>1</v>
      </c>
      <c r="E608" s="123">
        <v>2808</v>
      </c>
      <c r="F608">
        <v>1</v>
      </c>
    </row>
    <row r="609" spans="1:6" x14ac:dyDescent="0.25">
      <c r="A609" t="s">
        <v>2005</v>
      </c>
      <c r="B609" t="s">
        <v>17</v>
      </c>
      <c r="C609" t="s">
        <v>795</v>
      </c>
      <c r="D609">
        <v>1</v>
      </c>
      <c r="E609" s="123">
        <v>1882</v>
      </c>
      <c r="F609">
        <v>1</v>
      </c>
    </row>
    <row r="610" spans="1:6" x14ac:dyDescent="0.25">
      <c r="A610" t="s">
        <v>2003</v>
      </c>
      <c r="B610" t="s">
        <v>17</v>
      </c>
      <c r="C610" t="s">
        <v>1417</v>
      </c>
      <c r="D610">
        <v>1</v>
      </c>
      <c r="E610" s="123">
        <v>2984</v>
      </c>
      <c r="F610">
        <v>1</v>
      </c>
    </row>
    <row r="611" spans="1:6" x14ac:dyDescent="0.25">
      <c r="A611" t="s">
        <v>2005</v>
      </c>
      <c r="B611" t="s">
        <v>17</v>
      </c>
      <c r="C611" t="s">
        <v>63</v>
      </c>
      <c r="D611">
        <v>1</v>
      </c>
      <c r="E611" s="123">
        <v>1950</v>
      </c>
      <c r="F611">
        <v>1</v>
      </c>
    </row>
    <row r="612" spans="1:6" x14ac:dyDescent="0.25">
      <c r="A612" t="s">
        <v>2005</v>
      </c>
      <c r="B612" t="s">
        <v>17</v>
      </c>
      <c r="C612" t="s">
        <v>474</v>
      </c>
      <c r="D612">
        <v>1</v>
      </c>
      <c r="E612" s="123">
        <v>1957.04</v>
      </c>
      <c r="F612">
        <v>1</v>
      </c>
    </row>
    <row r="613" spans="1:6" x14ac:dyDescent="0.25">
      <c r="A613" t="s">
        <v>2003</v>
      </c>
      <c r="B613" t="s">
        <v>17</v>
      </c>
      <c r="C613" t="s">
        <v>1260</v>
      </c>
      <c r="D613">
        <v>1</v>
      </c>
      <c r="E613" s="123">
        <v>3060</v>
      </c>
      <c r="F613">
        <v>1</v>
      </c>
    </row>
    <row r="614" spans="1:6" hidden="1" x14ac:dyDescent="0.25">
      <c r="A614" t="s">
        <v>2003</v>
      </c>
      <c r="B614" t="s">
        <v>47</v>
      </c>
      <c r="C614" t="s">
        <v>816</v>
      </c>
      <c r="D614">
        <v>1</v>
      </c>
      <c r="E614" s="123">
        <v>3094</v>
      </c>
      <c r="F614">
        <v>1</v>
      </c>
    </row>
    <row r="615" spans="1:6" x14ac:dyDescent="0.25">
      <c r="A615" t="s">
        <v>2003</v>
      </c>
      <c r="B615" t="s">
        <v>17</v>
      </c>
      <c r="C615" t="s">
        <v>1431</v>
      </c>
      <c r="D615">
        <v>1</v>
      </c>
      <c r="E615" s="123">
        <v>3094</v>
      </c>
      <c r="F615">
        <v>1</v>
      </c>
    </row>
    <row r="616" spans="1:6" hidden="1" x14ac:dyDescent="0.25">
      <c r="A616" t="s">
        <v>2003</v>
      </c>
      <c r="B616" t="s">
        <v>10</v>
      </c>
      <c r="C616" t="s">
        <v>324</v>
      </c>
      <c r="D616">
        <v>1</v>
      </c>
      <c r="E616" s="123">
        <v>3119</v>
      </c>
      <c r="F616">
        <v>1</v>
      </c>
    </row>
    <row r="617" spans="1:6" hidden="1" x14ac:dyDescent="0.25">
      <c r="A617" t="s">
        <v>2003</v>
      </c>
      <c r="B617" t="s">
        <v>10</v>
      </c>
      <c r="C617" t="s">
        <v>1327</v>
      </c>
      <c r="D617">
        <v>1</v>
      </c>
      <c r="E617" s="123">
        <v>3221.99</v>
      </c>
      <c r="F617">
        <v>1</v>
      </c>
    </row>
    <row r="618" spans="1:6" x14ac:dyDescent="0.25">
      <c r="A618" t="s">
        <v>2005</v>
      </c>
      <c r="B618" t="s">
        <v>17</v>
      </c>
      <c r="C618" t="s">
        <v>631</v>
      </c>
      <c r="D618">
        <v>1</v>
      </c>
      <c r="E618" s="123">
        <v>2052.1999999999998</v>
      </c>
      <c r="F618">
        <v>1</v>
      </c>
    </row>
    <row r="619" spans="1:6" x14ac:dyDescent="0.25">
      <c r="A619" t="s">
        <v>2003</v>
      </c>
      <c r="B619" t="s">
        <v>17</v>
      </c>
      <c r="C619" t="s">
        <v>1286</v>
      </c>
      <c r="D619">
        <v>1</v>
      </c>
      <c r="E619" s="123">
        <v>3395.6</v>
      </c>
      <c r="F619">
        <v>1</v>
      </c>
    </row>
    <row r="620" spans="1:6" x14ac:dyDescent="0.25">
      <c r="A620" t="s">
        <v>2005</v>
      </c>
      <c r="B620" t="s">
        <v>17</v>
      </c>
      <c r="C620" t="s">
        <v>88</v>
      </c>
      <c r="D620">
        <v>1</v>
      </c>
      <c r="E620" s="123">
        <v>2290</v>
      </c>
      <c r="F620">
        <v>1</v>
      </c>
    </row>
    <row r="621" spans="1:6" x14ac:dyDescent="0.25">
      <c r="A621" t="s">
        <v>2003</v>
      </c>
      <c r="B621" t="s">
        <v>17</v>
      </c>
      <c r="C621" t="s">
        <v>1288</v>
      </c>
      <c r="D621">
        <v>1</v>
      </c>
      <c r="E621" s="123">
        <v>3580</v>
      </c>
      <c r="F621">
        <v>1</v>
      </c>
    </row>
    <row r="622" spans="1:6" x14ac:dyDescent="0.25">
      <c r="A622" t="s">
        <v>2005</v>
      </c>
      <c r="B622" t="s">
        <v>17</v>
      </c>
      <c r="C622" t="s">
        <v>115</v>
      </c>
      <c r="D622">
        <v>1</v>
      </c>
      <c r="E622" s="123">
        <v>2510</v>
      </c>
      <c r="F622">
        <v>1</v>
      </c>
    </row>
    <row r="623" spans="1:6" hidden="1" x14ac:dyDescent="0.25">
      <c r="A623" t="s">
        <v>2003</v>
      </c>
      <c r="B623" t="s">
        <v>47</v>
      </c>
      <c r="C623" t="s">
        <v>1386</v>
      </c>
      <c r="D623">
        <v>1</v>
      </c>
      <c r="E623" s="123">
        <v>3661.19</v>
      </c>
      <c r="F623">
        <v>1</v>
      </c>
    </row>
    <row r="624" spans="1:6" hidden="1" x14ac:dyDescent="0.25">
      <c r="A624" t="s">
        <v>2003</v>
      </c>
      <c r="B624" t="s">
        <v>47</v>
      </c>
      <c r="C624" t="s">
        <v>1269</v>
      </c>
      <c r="D624">
        <v>1</v>
      </c>
      <c r="E624" s="123">
        <v>3713</v>
      </c>
      <c r="F624">
        <v>1</v>
      </c>
    </row>
    <row r="625" spans="1:6" hidden="1" x14ac:dyDescent="0.25">
      <c r="A625" t="s">
        <v>2003</v>
      </c>
      <c r="B625" t="s">
        <v>10</v>
      </c>
      <c r="C625" t="s">
        <v>1294</v>
      </c>
      <c r="D625">
        <v>1</v>
      </c>
      <c r="E625" s="123">
        <v>3723</v>
      </c>
      <c r="F625">
        <v>1</v>
      </c>
    </row>
    <row r="626" spans="1:6" hidden="1" x14ac:dyDescent="0.25">
      <c r="A626" t="s">
        <v>2003</v>
      </c>
      <c r="B626" t="s">
        <v>47</v>
      </c>
      <c r="C626" t="s">
        <v>1338</v>
      </c>
      <c r="D626">
        <v>1</v>
      </c>
      <c r="E626" s="123">
        <v>3730</v>
      </c>
      <c r="F626">
        <v>1</v>
      </c>
    </row>
    <row r="627" spans="1:6" hidden="1" x14ac:dyDescent="0.25">
      <c r="A627" t="s">
        <v>2003</v>
      </c>
      <c r="B627" t="s">
        <v>10</v>
      </c>
      <c r="C627" t="s">
        <v>1304</v>
      </c>
      <c r="D627">
        <v>1</v>
      </c>
      <c r="E627" s="123">
        <v>3919</v>
      </c>
      <c r="F627">
        <v>1</v>
      </c>
    </row>
    <row r="628" spans="1:6" x14ac:dyDescent="0.25">
      <c r="A628" t="s">
        <v>2005</v>
      </c>
      <c r="B628" t="s">
        <v>17</v>
      </c>
      <c r="C628" t="s">
        <v>84</v>
      </c>
      <c r="D628">
        <v>1</v>
      </c>
      <c r="E628" s="123">
        <v>2685</v>
      </c>
      <c r="F628">
        <v>1</v>
      </c>
    </row>
    <row r="629" spans="1:6" x14ac:dyDescent="0.25">
      <c r="A629" t="s">
        <v>2005</v>
      </c>
      <c r="B629" t="s">
        <v>17</v>
      </c>
      <c r="C629" t="s">
        <v>345</v>
      </c>
      <c r="D629">
        <v>1</v>
      </c>
      <c r="E629" s="123">
        <v>2760</v>
      </c>
      <c r="F629">
        <v>1</v>
      </c>
    </row>
    <row r="630" spans="1:6" x14ac:dyDescent="0.25">
      <c r="A630" t="s">
        <v>2005</v>
      </c>
      <c r="B630" t="s">
        <v>17</v>
      </c>
      <c r="C630" t="s">
        <v>593</v>
      </c>
      <c r="D630">
        <v>1</v>
      </c>
      <c r="E630" s="123">
        <v>2844</v>
      </c>
      <c r="F630">
        <v>1</v>
      </c>
    </row>
    <row r="631" spans="1:6" hidden="1" x14ac:dyDescent="0.25">
      <c r="A631" t="s">
        <v>2003</v>
      </c>
      <c r="B631" t="s">
        <v>10</v>
      </c>
      <c r="C631" t="s">
        <v>1262</v>
      </c>
      <c r="D631">
        <v>1</v>
      </c>
      <c r="E631" s="123">
        <v>4196.88</v>
      </c>
      <c r="F631">
        <v>1</v>
      </c>
    </row>
    <row r="632" spans="1:6" x14ac:dyDescent="0.25">
      <c r="A632" t="s">
        <v>2005</v>
      </c>
      <c r="B632" t="s">
        <v>17</v>
      </c>
      <c r="C632" t="s">
        <v>6</v>
      </c>
      <c r="D632">
        <v>1</v>
      </c>
      <c r="E632" s="123">
        <v>3004</v>
      </c>
      <c r="F632">
        <v>1</v>
      </c>
    </row>
    <row r="633" spans="1:6" x14ac:dyDescent="0.25">
      <c r="A633" t="s">
        <v>2005</v>
      </c>
      <c r="B633" t="s">
        <v>17</v>
      </c>
      <c r="C633" t="s">
        <v>54</v>
      </c>
      <c r="D633">
        <v>1</v>
      </c>
      <c r="E633" s="123">
        <v>3054</v>
      </c>
      <c r="F633">
        <v>1</v>
      </c>
    </row>
    <row r="634" spans="1:6" hidden="1" x14ac:dyDescent="0.25">
      <c r="A634" t="s">
        <v>2003</v>
      </c>
      <c r="B634" t="s">
        <v>10</v>
      </c>
      <c r="C634" t="s">
        <v>1263</v>
      </c>
      <c r="D634">
        <v>1</v>
      </c>
      <c r="E634" s="123">
        <v>4437.8</v>
      </c>
      <c r="F634">
        <v>1</v>
      </c>
    </row>
    <row r="635" spans="1:6" x14ac:dyDescent="0.25">
      <c r="A635" t="s">
        <v>2005</v>
      </c>
      <c r="B635" t="s">
        <v>17</v>
      </c>
      <c r="C635" t="s">
        <v>543</v>
      </c>
      <c r="D635">
        <v>1</v>
      </c>
      <c r="E635" s="123">
        <v>3250</v>
      </c>
      <c r="F635">
        <v>1</v>
      </c>
    </row>
    <row r="636" spans="1:6" hidden="1" x14ac:dyDescent="0.25">
      <c r="A636" t="s">
        <v>2003</v>
      </c>
      <c r="B636" t="s">
        <v>10</v>
      </c>
      <c r="C636" t="s">
        <v>354</v>
      </c>
      <c r="D636">
        <v>1</v>
      </c>
      <c r="E636" s="123">
        <v>4475</v>
      </c>
      <c r="F636">
        <v>1</v>
      </c>
    </row>
    <row r="637" spans="1:6" hidden="1" x14ac:dyDescent="0.25">
      <c r="A637" t="s">
        <v>2003</v>
      </c>
      <c r="B637" t="s">
        <v>47</v>
      </c>
      <c r="C637" t="s">
        <v>1371</v>
      </c>
      <c r="D637">
        <v>1</v>
      </c>
      <c r="E637" s="123">
        <v>4475</v>
      </c>
      <c r="F637">
        <v>1</v>
      </c>
    </row>
    <row r="638" spans="1:6" x14ac:dyDescent="0.25">
      <c r="A638" t="s">
        <v>2005</v>
      </c>
      <c r="B638" t="s">
        <v>17</v>
      </c>
      <c r="C638" t="s">
        <v>214</v>
      </c>
      <c r="D638">
        <v>1</v>
      </c>
      <c r="E638" s="123">
        <v>3663.88</v>
      </c>
      <c r="F638">
        <v>1</v>
      </c>
    </row>
    <row r="639" spans="1:6" hidden="1" x14ac:dyDescent="0.25">
      <c r="A639" t="s">
        <v>2003</v>
      </c>
      <c r="B639" t="s">
        <v>47</v>
      </c>
      <c r="C639" t="s">
        <v>60</v>
      </c>
      <c r="D639">
        <v>1</v>
      </c>
      <c r="E639" s="123">
        <v>4922</v>
      </c>
      <c r="F639">
        <v>1</v>
      </c>
    </row>
    <row r="640" spans="1:6" hidden="1" x14ac:dyDescent="0.25">
      <c r="A640" t="s">
        <v>2003</v>
      </c>
      <c r="B640" t="s">
        <v>47</v>
      </c>
      <c r="C640" t="s">
        <v>1297</v>
      </c>
      <c r="D640">
        <v>1</v>
      </c>
      <c r="E640" s="123">
        <v>4951</v>
      </c>
      <c r="F640">
        <v>1</v>
      </c>
    </row>
    <row r="641" spans="1:6" hidden="1" x14ac:dyDescent="0.25">
      <c r="A641" t="s">
        <v>2003</v>
      </c>
      <c r="B641" t="s">
        <v>10</v>
      </c>
      <c r="C641" t="s">
        <v>346</v>
      </c>
      <c r="D641">
        <v>1</v>
      </c>
      <c r="E641" s="123">
        <v>5285</v>
      </c>
      <c r="F641">
        <v>1</v>
      </c>
    </row>
    <row r="642" spans="1:6" hidden="1" x14ac:dyDescent="0.25">
      <c r="A642" t="s">
        <v>2003</v>
      </c>
      <c r="B642" t="s">
        <v>47</v>
      </c>
      <c r="C642" t="s">
        <v>1282</v>
      </c>
      <c r="D642">
        <v>1</v>
      </c>
      <c r="E642" s="123">
        <v>5598</v>
      </c>
      <c r="F642">
        <v>1</v>
      </c>
    </row>
    <row r="643" spans="1:6" x14ac:dyDescent="0.25">
      <c r="A643" t="s">
        <v>2003</v>
      </c>
      <c r="B643" t="s">
        <v>17</v>
      </c>
      <c r="C643" t="s">
        <v>665</v>
      </c>
      <c r="D643">
        <v>1</v>
      </c>
      <c r="E643" s="123">
        <v>5618</v>
      </c>
      <c r="F643">
        <v>1</v>
      </c>
    </row>
    <row r="644" spans="1:6" hidden="1" x14ac:dyDescent="0.25">
      <c r="A644" t="s">
        <v>2003</v>
      </c>
      <c r="B644" t="s">
        <v>10</v>
      </c>
      <c r="C644" t="s">
        <v>991</v>
      </c>
      <c r="D644">
        <v>1</v>
      </c>
      <c r="E644" s="123">
        <v>5745.68</v>
      </c>
      <c r="F644">
        <v>1</v>
      </c>
    </row>
    <row r="645" spans="1:6" x14ac:dyDescent="0.25">
      <c r="A645" t="s">
        <v>2005</v>
      </c>
      <c r="B645" t="s">
        <v>17</v>
      </c>
      <c r="C645" t="s">
        <v>218</v>
      </c>
      <c r="D645">
        <v>1</v>
      </c>
      <c r="E645" s="123">
        <v>7308.16</v>
      </c>
      <c r="F645">
        <v>1</v>
      </c>
    </row>
    <row r="646" spans="1:6" x14ac:dyDescent="0.25">
      <c r="A646" t="s">
        <v>2003</v>
      </c>
      <c r="B646" t="s">
        <v>17</v>
      </c>
      <c r="C646" t="s">
        <v>74</v>
      </c>
      <c r="D646">
        <v>1</v>
      </c>
      <c r="E646" s="123">
        <v>5866.97</v>
      </c>
      <c r="F646">
        <v>1</v>
      </c>
    </row>
    <row r="647" spans="1:6" hidden="1" x14ac:dyDescent="0.25">
      <c r="A647" t="s">
        <v>2003</v>
      </c>
      <c r="B647" t="s">
        <v>10</v>
      </c>
      <c r="C647" t="s">
        <v>153</v>
      </c>
      <c r="D647">
        <v>1</v>
      </c>
      <c r="E647" s="123">
        <v>6041</v>
      </c>
      <c r="F647">
        <v>1</v>
      </c>
    </row>
    <row r="648" spans="1:6" x14ac:dyDescent="0.25">
      <c r="A648" t="s">
        <v>2005</v>
      </c>
      <c r="B648" t="s">
        <v>17</v>
      </c>
      <c r="C648" t="s">
        <v>187</v>
      </c>
      <c r="D648">
        <v>1</v>
      </c>
      <c r="E648" s="123">
        <v>9263.99</v>
      </c>
      <c r="F648">
        <v>1</v>
      </c>
    </row>
    <row r="649" spans="1:6" hidden="1" x14ac:dyDescent="0.25">
      <c r="A649" t="s">
        <v>2003</v>
      </c>
      <c r="B649" t="s">
        <v>10</v>
      </c>
      <c r="C649" t="s">
        <v>661</v>
      </c>
      <c r="D649">
        <v>1</v>
      </c>
      <c r="E649" s="123">
        <v>6096</v>
      </c>
      <c r="F649">
        <v>1</v>
      </c>
    </row>
    <row r="650" spans="1:6" x14ac:dyDescent="0.25">
      <c r="A650" t="s">
        <v>2003</v>
      </c>
      <c r="B650" t="s">
        <v>17</v>
      </c>
      <c r="C650" t="s">
        <v>1403</v>
      </c>
      <c r="D650">
        <v>1</v>
      </c>
      <c r="E650" s="123">
        <v>6250.98</v>
      </c>
      <c r="F650">
        <v>1</v>
      </c>
    </row>
    <row r="651" spans="1:6" hidden="1" x14ac:dyDescent="0.25">
      <c r="A651" t="s">
        <v>2003</v>
      </c>
      <c r="B651" t="s">
        <v>47</v>
      </c>
      <c r="C651" t="s">
        <v>152</v>
      </c>
      <c r="D651">
        <v>1</v>
      </c>
      <c r="E651" s="123">
        <v>6288.72</v>
      </c>
      <c r="F651">
        <v>1</v>
      </c>
    </row>
    <row r="652" spans="1:6" x14ac:dyDescent="0.25">
      <c r="A652" t="s">
        <v>2005</v>
      </c>
      <c r="B652" t="s">
        <v>17</v>
      </c>
      <c r="C652" t="s">
        <v>637</v>
      </c>
      <c r="D652">
        <v>1</v>
      </c>
      <c r="E652" s="123">
        <v>9323.32</v>
      </c>
      <c r="F652">
        <v>1</v>
      </c>
    </row>
    <row r="653" spans="1:6" x14ac:dyDescent="0.25">
      <c r="A653" t="s">
        <v>2005</v>
      </c>
      <c r="B653" t="s">
        <v>17</v>
      </c>
      <c r="C653" t="s">
        <v>41</v>
      </c>
      <c r="D653">
        <v>1</v>
      </c>
      <c r="E653" s="123">
        <v>13005</v>
      </c>
      <c r="F653">
        <v>1</v>
      </c>
    </row>
    <row r="654" spans="1:6" x14ac:dyDescent="0.25">
      <c r="A654" t="s">
        <v>2003</v>
      </c>
      <c r="B654" t="s">
        <v>17</v>
      </c>
      <c r="C654" t="s">
        <v>1426</v>
      </c>
      <c r="D654">
        <v>1</v>
      </c>
      <c r="E654" s="123">
        <v>6500</v>
      </c>
      <c r="F654">
        <v>1</v>
      </c>
    </row>
    <row r="655" spans="1:6" x14ac:dyDescent="0.25">
      <c r="A655" t="s">
        <v>2005</v>
      </c>
      <c r="B655" t="s">
        <v>17</v>
      </c>
      <c r="C655" t="s">
        <v>467</v>
      </c>
      <c r="D655">
        <v>1</v>
      </c>
      <c r="E655" s="123">
        <v>17701.59</v>
      </c>
      <c r="F655">
        <v>1</v>
      </c>
    </row>
    <row r="656" spans="1:6" x14ac:dyDescent="0.25">
      <c r="A656" t="s">
        <v>2003</v>
      </c>
      <c r="B656" t="s">
        <v>17</v>
      </c>
      <c r="C656" t="s">
        <v>1309</v>
      </c>
      <c r="D656">
        <v>1</v>
      </c>
      <c r="E656" s="123">
        <v>6607.4</v>
      </c>
      <c r="F656">
        <v>1</v>
      </c>
    </row>
    <row r="657" spans="1:6" x14ac:dyDescent="0.25">
      <c r="A657" t="s">
        <v>2005</v>
      </c>
      <c r="B657" t="s">
        <v>17</v>
      </c>
      <c r="C657" t="s">
        <v>435</v>
      </c>
      <c r="D657">
        <v>1</v>
      </c>
      <c r="E657" s="123">
        <v>24512</v>
      </c>
      <c r="F657">
        <v>1</v>
      </c>
    </row>
    <row r="658" spans="1:6" x14ac:dyDescent="0.25">
      <c r="A658" t="s">
        <v>2004</v>
      </c>
      <c r="B658" t="s">
        <v>17</v>
      </c>
      <c r="C658" t="s">
        <v>356</v>
      </c>
      <c r="D658">
        <v>1</v>
      </c>
      <c r="E658" s="123">
        <v>655</v>
      </c>
      <c r="F658">
        <v>1</v>
      </c>
    </row>
    <row r="659" spans="1:6" hidden="1" x14ac:dyDescent="0.25">
      <c r="A659" t="s">
        <v>2003</v>
      </c>
      <c r="B659" t="s">
        <v>47</v>
      </c>
      <c r="C659" t="s">
        <v>1334</v>
      </c>
      <c r="D659">
        <v>1</v>
      </c>
      <c r="E659" s="123">
        <v>6906.68</v>
      </c>
      <c r="F659">
        <v>1</v>
      </c>
    </row>
    <row r="660" spans="1:6" hidden="1" x14ac:dyDescent="0.25">
      <c r="A660" t="s">
        <v>2003</v>
      </c>
      <c r="B660" t="s">
        <v>10</v>
      </c>
      <c r="C660" t="s">
        <v>1379</v>
      </c>
      <c r="D660">
        <v>1</v>
      </c>
      <c r="E660" s="123">
        <v>6989.43</v>
      </c>
      <c r="F660">
        <v>1</v>
      </c>
    </row>
    <row r="661" spans="1:6" hidden="1" x14ac:dyDescent="0.25">
      <c r="A661" t="s">
        <v>2003</v>
      </c>
      <c r="B661" t="s">
        <v>47</v>
      </c>
      <c r="C661" t="s">
        <v>1336</v>
      </c>
      <c r="D661">
        <v>1</v>
      </c>
      <c r="E661" s="123">
        <v>7166.04</v>
      </c>
      <c r="F661">
        <v>1</v>
      </c>
    </row>
    <row r="662" spans="1:6" x14ac:dyDescent="0.25">
      <c r="A662" t="s">
        <v>2004</v>
      </c>
      <c r="B662" t="s">
        <v>17</v>
      </c>
      <c r="C662" t="s">
        <v>425</v>
      </c>
      <c r="D662">
        <v>1</v>
      </c>
      <c r="E662" s="123">
        <v>1020</v>
      </c>
      <c r="F662">
        <v>1</v>
      </c>
    </row>
    <row r="663" spans="1:6" x14ac:dyDescent="0.25">
      <c r="A663" t="s">
        <v>2003</v>
      </c>
      <c r="B663" t="s">
        <v>17</v>
      </c>
      <c r="C663" t="s">
        <v>1246</v>
      </c>
      <c r="D663">
        <v>1</v>
      </c>
      <c r="E663" s="123">
        <v>7940</v>
      </c>
      <c r="F663">
        <v>1</v>
      </c>
    </row>
    <row r="664" spans="1:6" hidden="1" x14ac:dyDescent="0.25">
      <c r="A664" t="s">
        <v>2003</v>
      </c>
      <c r="B664" t="s">
        <v>10</v>
      </c>
      <c r="C664" t="s">
        <v>550</v>
      </c>
      <c r="D664">
        <v>1</v>
      </c>
      <c r="E664" s="123">
        <v>8399.99</v>
      </c>
      <c r="F664">
        <v>1</v>
      </c>
    </row>
    <row r="665" spans="1:6" x14ac:dyDescent="0.25">
      <c r="A665" t="s">
        <v>2004</v>
      </c>
      <c r="B665" t="s">
        <v>17</v>
      </c>
      <c r="C665" t="s">
        <v>187</v>
      </c>
      <c r="D665">
        <v>1</v>
      </c>
      <c r="E665" s="123">
        <v>1332.2</v>
      </c>
      <c r="F665">
        <v>1</v>
      </c>
    </row>
    <row r="666" spans="1:6" x14ac:dyDescent="0.25">
      <c r="A666" t="s">
        <v>2004</v>
      </c>
      <c r="B666" t="s">
        <v>17</v>
      </c>
      <c r="C666" t="s">
        <v>163</v>
      </c>
      <c r="D666">
        <v>1</v>
      </c>
      <c r="E666" s="123">
        <v>1526.72</v>
      </c>
      <c r="F666">
        <v>1</v>
      </c>
    </row>
    <row r="667" spans="1:6" x14ac:dyDescent="0.25">
      <c r="A667" t="s">
        <v>2004</v>
      </c>
      <c r="B667" t="s">
        <v>17</v>
      </c>
      <c r="C667" t="s">
        <v>345</v>
      </c>
      <c r="D667">
        <v>1</v>
      </c>
      <c r="E667" s="123">
        <v>1808.56</v>
      </c>
      <c r="F667">
        <v>1</v>
      </c>
    </row>
    <row r="668" spans="1:6" x14ac:dyDescent="0.25">
      <c r="A668" t="s">
        <v>2003</v>
      </c>
      <c r="B668" t="s">
        <v>17</v>
      </c>
      <c r="C668" t="s">
        <v>965</v>
      </c>
      <c r="D668">
        <v>1</v>
      </c>
      <c r="E668" s="123">
        <v>8718.75</v>
      </c>
      <c r="F668">
        <v>1</v>
      </c>
    </row>
    <row r="669" spans="1:6" x14ac:dyDescent="0.25">
      <c r="A669" t="s">
        <v>2004</v>
      </c>
      <c r="B669" t="s">
        <v>17</v>
      </c>
      <c r="C669" t="s">
        <v>218</v>
      </c>
      <c r="D669">
        <v>1</v>
      </c>
      <c r="E669" s="123">
        <v>1950</v>
      </c>
      <c r="F669">
        <v>1</v>
      </c>
    </row>
    <row r="670" spans="1:6" x14ac:dyDescent="0.25">
      <c r="A670" t="s">
        <v>2004</v>
      </c>
      <c r="B670" t="s">
        <v>17</v>
      </c>
      <c r="C670" t="s">
        <v>543</v>
      </c>
      <c r="D670">
        <v>1</v>
      </c>
      <c r="E670" s="123">
        <v>1968</v>
      </c>
      <c r="F670">
        <v>1</v>
      </c>
    </row>
    <row r="671" spans="1:6" hidden="1" x14ac:dyDescent="0.25">
      <c r="A671" t="s">
        <v>2003</v>
      </c>
      <c r="B671" t="s">
        <v>10</v>
      </c>
      <c r="C671" t="s">
        <v>1255</v>
      </c>
      <c r="D671">
        <v>1</v>
      </c>
      <c r="E671" s="123">
        <v>8950</v>
      </c>
      <c r="F671">
        <v>1</v>
      </c>
    </row>
    <row r="672" spans="1:6" x14ac:dyDescent="0.25">
      <c r="A672" t="s">
        <v>2004</v>
      </c>
      <c r="B672" t="s">
        <v>17</v>
      </c>
      <c r="C672" t="s">
        <v>26</v>
      </c>
      <c r="D672">
        <v>1</v>
      </c>
      <c r="E672" s="123">
        <v>2169</v>
      </c>
      <c r="F672">
        <v>1</v>
      </c>
    </row>
    <row r="673" spans="1:6" hidden="1" x14ac:dyDescent="0.25">
      <c r="A673" t="s">
        <v>2003</v>
      </c>
      <c r="B673" t="s">
        <v>10</v>
      </c>
      <c r="C673" t="s">
        <v>1236</v>
      </c>
      <c r="D673">
        <v>1</v>
      </c>
      <c r="E673" s="123">
        <v>9252</v>
      </c>
      <c r="F673">
        <v>1</v>
      </c>
    </row>
    <row r="674" spans="1:6" hidden="1" x14ac:dyDescent="0.25">
      <c r="A674" t="s">
        <v>2003</v>
      </c>
      <c r="B674" t="s">
        <v>10</v>
      </c>
      <c r="C674" t="s">
        <v>125</v>
      </c>
      <c r="D674">
        <v>1</v>
      </c>
      <c r="E674" s="123">
        <v>9435</v>
      </c>
      <c r="F674">
        <v>1</v>
      </c>
    </row>
    <row r="675" spans="1:6" x14ac:dyDescent="0.25">
      <c r="A675" t="s">
        <v>2004</v>
      </c>
      <c r="B675" t="s">
        <v>17</v>
      </c>
      <c r="C675" t="s">
        <v>115</v>
      </c>
      <c r="D675">
        <v>1</v>
      </c>
      <c r="E675" s="123">
        <v>2347</v>
      </c>
      <c r="F675">
        <v>1</v>
      </c>
    </row>
    <row r="676" spans="1:6" x14ac:dyDescent="0.25">
      <c r="A676" t="s">
        <v>2004</v>
      </c>
      <c r="B676" t="s">
        <v>17</v>
      </c>
      <c r="C676" t="s">
        <v>458</v>
      </c>
      <c r="D676">
        <v>1</v>
      </c>
      <c r="E676" s="123">
        <v>2347</v>
      </c>
      <c r="F676">
        <v>1</v>
      </c>
    </row>
    <row r="677" spans="1:6" x14ac:dyDescent="0.25">
      <c r="A677" t="s">
        <v>2004</v>
      </c>
      <c r="B677" t="s">
        <v>17</v>
      </c>
      <c r="C677" t="s">
        <v>319</v>
      </c>
      <c r="D677">
        <v>1</v>
      </c>
      <c r="E677" s="123">
        <v>4462</v>
      </c>
      <c r="F677">
        <v>1</v>
      </c>
    </row>
    <row r="678" spans="1:6" x14ac:dyDescent="0.25">
      <c r="A678" t="s">
        <v>2004</v>
      </c>
      <c r="B678" t="s">
        <v>17</v>
      </c>
      <c r="C678" t="s">
        <v>431</v>
      </c>
      <c r="D678">
        <v>1</v>
      </c>
      <c r="E678" s="123">
        <v>4578</v>
      </c>
      <c r="F678">
        <v>1</v>
      </c>
    </row>
    <row r="679" spans="1:6" x14ac:dyDescent="0.25">
      <c r="A679" t="s">
        <v>2004</v>
      </c>
      <c r="B679" t="s">
        <v>17</v>
      </c>
      <c r="C679" t="s">
        <v>144</v>
      </c>
      <c r="D679">
        <v>1</v>
      </c>
      <c r="E679" s="123">
        <v>4971</v>
      </c>
      <c r="F679">
        <v>1</v>
      </c>
    </row>
    <row r="680" spans="1:6" x14ac:dyDescent="0.25">
      <c r="A680" t="s">
        <v>2004</v>
      </c>
      <c r="B680" t="s">
        <v>17</v>
      </c>
      <c r="C680" t="s">
        <v>979</v>
      </c>
      <c r="D680">
        <v>1</v>
      </c>
      <c r="E680" s="123">
        <v>5251</v>
      </c>
      <c r="F680">
        <v>1</v>
      </c>
    </row>
    <row r="681" spans="1:6" x14ac:dyDescent="0.25">
      <c r="A681" t="s">
        <v>2004</v>
      </c>
      <c r="B681" t="s">
        <v>17</v>
      </c>
      <c r="C681" t="s">
        <v>782</v>
      </c>
      <c r="D681">
        <v>1</v>
      </c>
      <c r="E681" s="123">
        <v>7610.23</v>
      </c>
      <c r="F681">
        <v>1</v>
      </c>
    </row>
    <row r="682" spans="1:6" x14ac:dyDescent="0.25">
      <c r="A682" t="s">
        <v>2004</v>
      </c>
      <c r="B682" t="s">
        <v>17</v>
      </c>
      <c r="C682" t="s">
        <v>119</v>
      </c>
      <c r="D682">
        <v>1</v>
      </c>
      <c r="E682" s="123">
        <v>7920.16</v>
      </c>
      <c r="F682">
        <v>1</v>
      </c>
    </row>
    <row r="683" spans="1:6" x14ac:dyDescent="0.25">
      <c r="A683" t="s">
        <v>2004</v>
      </c>
      <c r="B683" t="s">
        <v>17</v>
      </c>
      <c r="C683" t="s">
        <v>228</v>
      </c>
      <c r="D683">
        <v>1</v>
      </c>
      <c r="E683" s="123">
        <v>10588.74</v>
      </c>
      <c r="F683">
        <v>1</v>
      </c>
    </row>
    <row r="684" spans="1:6" x14ac:dyDescent="0.25">
      <c r="A684" t="s">
        <v>2004</v>
      </c>
      <c r="B684" t="s">
        <v>17</v>
      </c>
      <c r="C684" t="s">
        <v>421</v>
      </c>
      <c r="D684">
        <v>1</v>
      </c>
      <c r="E684" s="123">
        <v>12715.81</v>
      </c>
      <c r="F684">
        <v>1</v>
      </c>
    </row>
    <row r="685" spans="1:6" x14ac:dyDescent="0.25">
      <c r="A685" t="s">
        <v>2003</v>
      </c>
      <c r="B685" t="s">
        <v>17</v>
      </c>
      <c r="C685" t="s">
        <v>1074</v>
      </c>
      <c r="D685">
        <v>1</v>
      </c>
      <c r="E685" s="123">
        <v>11908.08</v>
      </c>
      <c r="F685">
        <v>1</v>
      </c>
    </row>
    <row r="686" spans="1:6" x14ac:dyDescent="0.25">
      <c r="A686" t="s">
        <v>2003</v>
      </c>
      <c r="B686" t="s">
        <v>17</v>
      </c>
      <c r="C686" t="s">
        <v>733</v>
      </c>
      <c r="D686">
        <v>1</v>
      </c>
      <c r="E686" s="123">
        <v>12447.04</v>
      </c>
      <c r="F686">
        <v>1</v>
      </c>
    </row>
    <row r="687" spans="1:6" x14ac:dyDescent="0.25">
      <c r="A687" t="s">
        <v>2004</v>
      </c>
      <c r="B687" t="s">
        <v>17</v>
      </c>
      <c r="C687" t="s">
        <v>237</v>
      </c>
      <c r="D687">
        <v>1</v>
      </c>
      <c r="E687" s="123">
        <v>13497.6</v>
      </c>
      <c r="F687">
        <v>1</v>
      </c>
    </row>
    <row r="688" spans="1:6" x14ac:dyDescent="0.25">
      <c r="A688" t="s">
        <v>2003</v>
      </c>
      <c r="B688" t="s">
        <v>17</v>
      </c>
      <c r="C688" t="s">
        <v>425</v>
      </c>
      <c r="D688">
        <v>1</v>
      </c>
      <c r="E688" s="123">
        <v>957</v>
      </c>
      <c r="F688">
        <v>1</v>
      </c>
    </row>
    <row r="689" spans="1:6" x14ac:dyDescent="0.25">
      <c r="A689" t="s">
        <v>2003</v>
      </c>
      <c r="B689" t="s">
        <v>17</v>
      </c>
      <c r="C689" t="s">
        <v>688</v>
      </c>
      <c r="D689">
        <v>1</v>
      </c>
      <c r="E689" s="123">
        <v>12899</v>
      </c>
      <c r="F689">
        <v>1</v>
      </c>
    </row>
    <row r="690" spans="1:6" x14ac:dyDescent="0.25">
      <c r="A690" t="s">
        <v>2003</v>
      </c>
      <c r="B690" t="s">
        <v>17</v>
      </c>
      <c r="C690" t="s">
        <v>345</v>
      </c>
      <c r="D690">
        <v>1</v>
      </c>
      <c r="E690" s="123">
        <v>1397.44</v>
      </c>
      <c r="F690">
        <v>1</v>
      </c>
    </row>
    <row r="691" spans="1:6" x14ac:dyDescent="0.25">
      <c r="A691" t="s">
        <v>2003</v>
      </c>
      <c r="B691" t="s">
        <v>17</v>
      </c>
      <c r="C691" t="s">
        <v>631</v>
      </c>
      <c r="D691">
        <v>1</v>
      </c>
      <c r="E691" s="123">
        <v>1439.88</v>
      </c>
      <c r="F691">
        <v>1</v>
      </c>
    </row>
    <row r="692" spans="1:6" x14ac:dyDescent="0.25">
      <c r="A692" t="s">
        <v>2003</v>
      </c>
      <c r="B692" t="s">
        <v>17</v>
      </c>
      <c r="C692" t="s">
        <v>46</v>
      </c>
      <c r="D692">
        <v>1</v>
      </c>
      <c r="E692" s="123">
        <v>2042</v>
      </c>
      <c r="F692">
        <v>1</v>
      </c>
    </row>
    <row r="693" spans="1:6" x14ac:dyDescent="0.25">
      <c r="A693" t="s">
        <v>2003</v>
      </c>
      <c r="B693" t="s">
        <v>17</v>
      </c>
      <c r="C693" t="s">
        <v>41</v>
      </c>
      <c r="D693">
        <v>1</v>
      </c>
      <c r="E693" s="123">
        <v>4146</v>
      </c>
      <c r="F693">
        <v>1</v>
      </c>
    </row>
    <row r="694" spans="1:6" x14ac:dyDescent="0.25">
      <c r="A694" t="s">
        <v>2003</v>
      </c>
      <c r="B694" t="s">
        <v>17</v>
      </c>
      <c r="C694" t="s">
        <v>1186</v>
      </c>
      <c r="D694">
        <v>1</v>
      </c>
      <c r="E694" s="123">
        <v>14820</v>
      </c>
      <c r="F694">
        <v>1</v>
      </c>
    </row>
    <row r="695" spans="1:6" hidden="1" x14ac:dyDescent="0.25">
      <c r="A695" t="s">
        <v>2003</v>
      </c>
      <c r="B695" t="s">
        <v>47</v>
      </c>
      <c r="C695" t="s">
        <v>733</v>
      </c>
      <c r="D695">
        <v>1</v>
      </c>
      <c r="E695" s="123">
        <v>15572.63</v>
      </c>
      <c r="F695">
        <v>1</v>
      </c>
    </row>
    <row r="696" spans="1:6" x14ac:dyDescent="0.25">
      <c r="A696" t="s">
        <v>2003</v>
      </c>
      <c r="B696" t="s">
        <v>17</v>
      </c>
      <c r="C696" t="s">
        <v>1200</v>
      </c>
      <c r="D696">
        <v>1</v>
      </c>
      <c r="E696" s="123">
        <v>6309.01</v>
      </c>
      <c r="F696">
        <v>1</v>
      </c>
    </row>
    <row r="697" spans="1:6" x14ac:dyDescent="0.25">
      <c r="A697" t="s">
        <v>2003</v>
      </c>
      <c r="B697" t="s">
        <v>17</v>
      </c>
      <c r="C697" t="s">
        <v>253</v>
      </c>
      <c r="D697">
        <v>1</v>
      </c>
      <c r="E697" s="123">
        <v>6336</v>
      </c>
      <c r="F697">
        <v>1</v>
      </c>
    </row>
    <row r="698" spans="1:6" x14ac:dyDescent="0.25">
      <c r="A698" t="s">
        <v>2003</v>
      </c>
      <c r="B698" t="s">
        <v>17</v>
      </c>
      <c r="C698" t="s">
        <v>712</v>
      </c>
      <c r="D698">
        <v>1</v>
      </c>
      <c r="E698" s="123">
        <v>18228.990000000002</v>
      </c>
      <c r="F698">
        <v>1</v>
      </c>
    </row>
    <row r="699" spans="1:6" x14ac:dyDescent="0.25">
      <c r="A699" t="s">
        <v>2003</v>
      </c>
      <c r="B699" t="s">
        <v>17</v>
      </c>
      <c r="C699" t="s">
        <v>421</v>
      </c>
      <c r="D699">
        <v>1</v>
      </c>
      <c r="E699" s="123">
        <v>6540.44</v>
      </c>
      <c r="F699">
        <v>1</v>
      </c>
    </row>
    <row r="700" spans="1:6" x14ac:dyDescent="0.25">
      <c r="A700" t="s">
        <v>2003</v>
      </c>
      <c r="B700" t="s">
        <v>17</v>
      </c>
      <c r="C700" t="s">
        <v>174</v>
      </c>
      <c r="D700">
        <v>1</v>
      </c>
      <c r="E700" s="123">
        <v>8677.99</v>
      </c>
      <c r="F700">
        <v>1</v>
      </c>
    </row>
    <row r="701" spans="1:6" hidden="1" x14ac:dyDescent="0.25">
      <c r="A701" t="s">
        <v>2003</v>
      </c>
      <c r="B701" t="s">
        <v>10</v>
      </c>
      <c r="C701" t="s">
        <v>503</v>
      </c>
      <c r="D701">
        <v>1</v>
      </c>
      <c r="E701" s="123">
        <v>20800</v>
      </c>
      <c r="F701">
        <v>1</v>
      </c>
    </row>
    <row r="702" spans="1:6" x14ac:dyDescent="0.25">
      <c r="A702" t="s">
        <v>2003</v>
      </c>
      <c r="B702" t="s">
        <v>17</v>
      </c>
      <c r="C702" t="s">
        <v>192</v>
      </c>
      <c r="D702">
        <v>1</v>
      </c>
      <c r="E702" s="123">
        <v>21413.02</v>
      </c>
      <c r="F702">
        <v>1</v>
      </c>
    </row>
    <row r="703" spans="1:6" x14ac:dyDescent="0.25">
      <c r="A703" t="s">
        <v>2003</v>
      </c>
      <c r="B703" t="s">
        <v>17</v>
      </c>
      <c r="C703" t="s">
        <v>531</v>
      </c>
      <c r="D703">
        <v>1</v>
      </c>
      <c r="E703" s="123">
        <v>9057</v>
      </c>
      <c r="F703">
        <v>1</v>
      </c>
    </row>
    <row r="704" spans="1:6" x14ac:dyDescent="0.25">
      <c r="A704" t="s">
        <v>2003</v>
      </c>
      <c r="B704" t="s">
        <v>17</v>
      </c>
      <c r="C704" t="s">
        <v>107</v>
      </c>
      <c r="D704">
        <v>1</v>
      </c>
      <c r="E704" s="123">
        <v>11130</v>
      </c>
      <c r="F704">
        <v>1</v>
      </c>
    </row>
    <row r="705" spans="1:6" x14ac:dyDescent="0.25">
      <c r="A705" t="s">
        <v>2003</v>
      </c>
      <c r="B705" t="s">
        <v>17</v>
      </c>
      <c r="C705" t="s">
        <v>43</v>
      </c>
      <c r="D705">
        <v>1</v>
      </c>
      <c r="E705" s="123">
        <v>12820.04</v>
      </c>
      <c r="F705">
        <v>1</v>
      </c>
    </row>
    <row r="706" spans="1:6" x14ac:dyDescent="0.25">
      <c r="A706" t="s">
        <v>2003</v>
      </c>
      <c r="B706" t="s">
        <v>17</v>
      </c>
      <c r="C706" t="s">
        <v>228</v>
      </c>
      <c r="D706">
        <v>1</v>
      </c>
      <c r="E706" s="123">
        <v>14410</v>
      </c>
      <c r="F706">
        <v>1</v>
      </c>
    </row>
    <row r="707" spans="1:6" hidden="1" x14ac:dyDescent="0.25">
      <c r="A707" t="s">
        <v>2002</v>
      </c>
      <c r="B707" t="s">
        <v>10</v>
      </c>
      <c r="C707" t="s">
        <v>1554</v>
      </c>
      <c r="D707">
        <v>1</v>
      </c>
      <c r="E707" s="123">
        <v>132</v>
      </c>
      <c r="F707">
        <v>1</v>
      </c>
    </row>
    <row r="708" spans="1:6" x14ac:dyDescent="0.25">
      <c r="A708" t="s">
        <v>2002</v>
      </c>
      <c r="B708" t="s">
        <v>17</v>
      </c>
      <c r="C708" t="s">
        <v>293</v>
      </c>
      <c r="D708">
        <v>1</v>
      </c>
      <c r="E708" s="123">
        <v>1300</v>
      </c>
      <c r="F708">
        <v>1</v>
      </c>
    </row>
    <row r="709" spans="1:6" x14ac:dyDescent="0.25">
      <c r="A709" t="s">
        <v>2002</v>
      </c>
      <c r="B709" t="s">
        <v>17</v>
      </c>
      <c r="C709" t="s">
        <v>1639</v>
      </c>
      <c r="D709">
        <v>1</v>
      </c>
      <c r="E709" s="123">
        <v>1840</v>
      </c>
      <c r="F709">
        <v>1</v>
      </c>
    </row>
    <row r="710" spans="1:6" x14ac:dyDescent="0.25">
      <c r="A710" t="s">
        <v>2002</v>
      </c>
      <c r="B710" t="s">
        <v>17</v>
      </c>
      <c r="C710" t="s">
        <v>70</v>
      </c>
      <c r="D710">
        <v>1</v>
      </c>
      <c r="E710" s="123">
        <v>1897.12</v>
      </c>
      <c r="F710">
        <v>1</v>
      </c>
    </row>
    <row r="711" spans="1:6" x14ac:dyDescent="0.25">
      <c r="A711" t="s">
        <v>2002</v>
      </c>
      <c r="B711" t="s">
        <v>17</v>
      </c>
      <c r="C711" t="s">
        <v>356</v>
      </c>
      <c r="D711">
        <v>1</v>
      </c>
      <c r="E711" s="123">
        <v>1925.04</v>
      </c>
      <c r="F711">
        <v>1</v>
      </c>
    </row>
    <row r="712" spans="1:6" x14ac:dyDescent="0.25">
      <c r="A712" t="s">
        <v>2002</v>
      </c>
      <c r="B712" t="s">
        <v>17</v>
      </c>
      <c r="C712" t="s">
        <v>1580</v>
      </c>
      <c r="D712">
        <v>1</v>
      </c>
      <c r="E712" s="123">
        <v>595</v>
      </c>
      <c r="F712">
        <v>1</v>
      </c>
    </row>
    <row r="713" spans="1:6" hidden="1" x14ac:dyDescent="0.25">
      <c r="A713" t="s">
        <v>2002</v>
      </c>
      <c r="B713" t="s">
        <v>47</v>
      </c>
      <c r="C713" t="s">
        <v>60</v>
      </c>
      <c r="D713">
        <v>1</v>
      </c>
      <c r="E713" s="123">
        <v>595</v>
      </c>
      <c r="F713">
        <v>1</v>
      </c>
    </row>
    <row r="714" spans="1:6" hidden="1" x14ac:dyDescent="0.25">
      <c r="A714" t="s">
        <v>2002</v>
      </c>
      <c r="B714" t="s">
        <v>10</v>
      </c>
      <c r="C714" t="s">
        <v>769</v>
      </c>
      <c r="D714">
        <v>1</v>
      </c>
      <c r="E714" s="123">
        <v>610</v>
      </c>
      <c r="F714">
        <v>1</v>
      </c>
    </row>
    <row r="715" spans="1:6" x14ac:dyDescent="0.25">
      <c r="A715" t="s">
        <v>2002</v>
      </c>
      <c r="B715" t="s">
        <v>17</v>
      </c>
      <c r="C715" t="s">
        <v>117</v>
      </c>
      <c r="D715">
        <v>1</v>
      </c>
      <c r="E715" s="123">
        <v>3094</v>
      </c>
      <c r="F715">
        <v>1</v>
      </c>
    </row>
    <row r="716" spans="1:6" x14ac:dyDescent="0.25">
      <c r="A716" t="s">
        <v>2002</v>
      </c>
      <c r="B716" t="s">
        <v>17</v>
      </c>
      <c r="C716" t="s">
        <v>973</v>
      </c>
      <c r="D716">
        <v>1</v>
      </c>
      <c r="E716" s="123">
        <v>868.56</v>
      </c>
      <c r="F716">
        <v>1</v>
      </c>
    </row>
    <row r="717" spans="1:6" x14ac:dyDescent="0.25">
      <c r="A717" t="s">
        <v>2002</v>
      </c>
      <c r="B717" t="s">
        <v>17</v>
      </c>
      <c r="C717" t="s">
        <v>190</v>
      </c>
      <c r="D717">
        <v>1</v>
      </c>
      <c r="E717" s="123">
        <v>5431</v>
      </c>
      <c r="F717">
        <v>1</v>
      </c>
    </row>
    <row r="718" spans="1:6" x14ac:dyDescent="0.25">
      <c r="A718" t="s">
        <v>2002</v>
      </c>
      <c r="B718" t="s">
        <v>17</v>
      </c>
      <c r="C718" t="s">
        <v>580</v>
      </c>
      <c r="D718">
        <v>1</v>
      </c>
      <c r="E718" s="123">
        <v>7795.04</v>
      </c>
      <c r="F718">
        <v>1</v>
      </c>
    </row>
    <row r="719" spans="1:6" x14ac:dyDescent="0.25">
      <c r="A719" t="s">
        <v>2002</v>
      </c>
      <c r="B719" t="s">
        <v>17</v>
      </c>
      <c r="C719" t="s">
        <v>68</v>
      </c>
      <c r="D719">
        <v>1</v>
      </c>
      <c r="E719" s="123">
        <v>26154</v>
      </c>
      <c r="F719">
        <v>1</v>
      </c>
    </row>
    <row r="720" spans="1:6" x14ac:dyDescent="0.25">
      <c r="A720" t="s">
        <v>2001</v>
      </c>
      <c r="B720" t="s">
        <v>17</v>
      </c>
      <c r="C720" t="s">
        <v>107</v>
      </c>
      <c r="D720">
        <v>1</v>
      </c>
      <c r="E720" s="123">
        <v>208</v>
      </c>
      <c r="F720">
        <v>1</v>
      </c>
    </row>
    <row r="721" spans="1:6" hidden="1" x14ac:dyDescent="0.25">
      <c r="A721" t="s">
        <v>2002</v>
      </c>
      <c r="B721" t="s">
        <v>10</v>
      </c>
      <c r="C721" t="s">
        <v>1748</v>
      </c>
      <c r="D721">
        <v>1</v>
      </c>
      <c r="E721" s="123">
        <v>1109.5999999999999</v>
      </c>
      <c r="F721">
        <v>1</v>
      </c>
    </row>
    <row r="722" spans="1:6" x14ac:dyDescent="0.25">
      <c r="A722" t="s">
        <v>2001</v>
      </c>
      <c r="B722" t="s">
        <v>17</v>
      </c>
      <c r="C722" t="s">
        <v>54</v>
      </c>
      <c r="D722">
        <v>1</v>
      </c>
      <c r="E722" s="123">
        <v>1634</v>
      </c>
      <c r="F722">
        <v>1</v>
      </c>
    </row>
    <row r="723" spans="1:6" hidden="1" x14ac:dyDescent="0.25">
      <c r="A723" t="s">
        <v>2002</v>
      </c>
      <c r="B723" t="s">
        <v>10</v>
      </c>
      <c r="C723" t="s">
        <v>798</v>
      </c>
      <c r="D723">
        <v>1</v>
      </c>
      <c r="E723" s="123">
        <v>1200</v>
      </c>
      <c r="F723">
        <v>1</v>
      </c>
    </row>
    <row r="724" spans="1:6" hidden="1" x14ac:dyDescent="0.25">
      <c r="A724" t="s">
        <v>2002</v>
      </c>
      <c r="B724" t="s">
        <v>10</v>
      </c>
      <c r="C724" t="s">
        <v>1657</v>
      </c>
      <c r="D724">
        <v>1</v>
      </c>
      <c r="E724" s="123">
        <v>1224.04</v>
      </c>
      <c r="F724">
        <v>1</v>
      </c>
    </row>
    <row r="725" spans="1:6" x14ac:dyDescent="0.25">
      <c r="A725" t="s">
        <v>2001</v>
      </c>
      <c r="B725" t="s">
        <v>17</v>
      </c>
      <c r="C725" t="s">
        <v>543</v>
      </c>
      <c r="D725">
        <v>1</v>
      </c>
      <c r="E725" s="123">
        <v>1700</v>
      </c>
      <c r="F725">
        <v>1</v>
      </c>
    </row>
    <row r="726" spans="1:6" x14ac:dyDescent="0.25">
      <c r="A726" t="s">
        <v>2001</v>
      </c>
      <c r="B726" t="s">
        <v>17</v>
      </c>
      <c r="C726" t="s">
        <v>119</v>
      </c>
      <c r="D726">
        <v>1</v>
      </c>
      <c r="E726" s="123">
        <v>1740</v>
      </c>
      <c r="F726">
        <v>1</v>
      </c>
    </row>
    <row r="727" spans="1:6" x14ac:dyDescent="0.25">
      <c r="A727" t="s">
        <v>2001</v>
      </c>
      <c r="B727" t="s">
        <v>17</v>
      </c>
      <c r="C727" t="s">
        <v>204</v>
      </c>
      <c r="D727">
        <v>1</v>
      </c>
      <c r="E727" s="123">
        <v>5962.24</v>
      </c>
      <c r="F727">
        <v>1</v>
      </c>
    </row>
    <row r="728" spans="1:6" x14ac:dyDescent="0.25">
      <c r="A728" t="s">
        <v>2001</v>
      </c>
      <c r="B728" t="s">
        <v>17</v>
      </c>
      <c r="C728" t="s">
        <v>293</v>
      </c>
      <c r="D728">
        <v>1</v>
      </c>
      <c r="E728" s="123">
        <v>6500</v>
      </c>
      <c r="F728">
        <v>1</v>
      </c>
    </row>
    <row r="729" spans="1:6" hidden="1" x14ac:dyDescent="0.25">
      <c r="A729" t="s">
        <v>2002</v>
      </c>
      <c r="B729" t="s">
        <v>10</v>
      </c>
      <c r="C729" t="s">
        <v>1386</v>
      </c>
      <c r="D729">
        <v>1</v>
      </c>
      <c r="E729" s="123">
        <v>1653</v>
      </c>
      <c r="F729">
        <v>1</v>
      </c>
    </row>
    <row r="730" spans="1:6" x14ac:dyDescent="0.25">
      <c r="A730" t="s">
        <v>2001</v>
      </c>
      <c r="B730" t="s">
        <v>17</v>
      </c>
      <c r="C730" t="s">
        <v>626</v>
      </c>
      <c r="D730">
        <v>1</v>
      </c>
      <c r="E730" s="123">
        <v>7710</v>
      </c>
      <c r="F730">
        <v>1</v>
      </c>
    </row>
    <row r="731" spans="1:6" x14ac:dyDescent="0.25">
      <c r="A731" t="s">
        <v>2001</v>
      </c>
      <c r="B731" t="s">
        <v>17</v>
      </c>
      <c r="C731" t="s">
        <v>458</v>
      </c>
      <c r="D731">
        <v>1</v>
      </c>
      <c r="E731" s="123">
        <v>9675</v>
      </c>
      <c r="F731">
        <v>1</v>
      </c>
    </row>
    <row r="732" spans="1:6" x14ac:dyDescent="0.25">
      <c r="A732" t="s">
        <v>2005</v>
      </c>
      <c r="B732" t="s">
        <v>17</v>
      </c>
      <c r="C732" t="s">
        <v>276</v>
      </c>
      <c r="D732">
        <v>2</v>
      </c>
      <c r="E732" s="123">
        <v>7978.99</v>
      </c>
      <c r="F732">
        <v>1</v>
      </c>
    </row>
    <row r="733" spans="1:6" x14ac:dyDescent="0.25">
      <c r="A733" t="s">
        <v>2005</v>
      </c>
      <c r="B733" t="s">
        <v>17</v>
      </c>
      <c r="C733" t="s">
        <v>30</v>
      </c>
      <c r="D733">
        <v>2</v>
      </c>
      <c r="E733" s="123">
        <v>21689.84</v>
      </c>
      <c r="F733">
        <v>1</v>
      </c>
    </row>
    <row r="734" spans="1:6" x14ac:dyDescent="0.25">
      <c r="A734" t="s">
        <v>2005</v>
      </c>
      <c r="B734" t="s">
        <v>17</v>
      </c>
      <c r="C734" t="s">
        <v>43</v>
      </c>
      <c r="D734">
        <v>2</v>
      </c>
      <c r="E734" s="123">
        <v>2925.6</v>
      </c>
      <c r="F734">
        <v>2</v>
      </c>
    </row>
    <row r="735" spans="1:6" x14ac:dyDescent="0.25">
      <c r="A735" t="s">
        <v>2005</v>
      </c>
      <c r="B735" t="s">
        <v>17</v>
      </c>
      <c r="C735" t="s">
        <v>548</v>
      </c>
      <c r="D735">
        <v>2</v>
      </c>
      <c r="E735" s="123">
        <v>8982.44</v>
      </c>
      <c r="F735">
        <v>2</v>
      </c>
    </row>
    <row r="736" spans="1:6" hidden="1" x14ac:dyDescent="0.25">
      <c r="A736" t="s">
        <v>2002</v>
      </c>
      <c r="B736" t="s">
        <v>10</v>
      </c>
      <c r="C736" t="s">
        <v>1550</v>
      </c>
      <c r="D736">
        <v>1</v>
      </c>
      <c r="E736" s="123">
        <v>2270</v>
      </c>
      <c r="F736">
        <v>1</v>
      </c>
    </row>
    <row r="737" spans="1:6" hidden="1" x14ac:dyDescent="0.25">
      <c r="A737" t="s">
        <v>2002</v>
      </c>
      <c r="B737" t="s">
        <v>47</v>
      </c>
      <c r="C737" t="s">
        <v>354</v>
      </c>
      <c r="D737">
        <v>1</v>
      </c>
      <c r="E737" s="123">
        <v>2452.5500000000002</v>
      </c>
      <c r="F737">
        <v>1</v>
      </c>
    </row>
    <row r="738" spans="1:6" x14ac:dyDescent="0.25">
      <c r="A738" t="s">
        <v>2002</v>
      </c>
      <c r="B738" t="s">
        <v>17</v>
      </c>
      <c r="C738" t="s">
        <v>1568</v>
      </c>
      <c r="D738">
        <v>1</v>
      </c>
      <c r="E738" s="123">
        <v>2452.5500000000002</v>
      </c>
      <c r="F738">
        <v>1</v>
      </c>
    </row>
    <row r="739" spans="1:6" hidden="1" x14ac:dyDescent="0.25">
      <c r="A739" t="s">
        <v>2002</v>
      </c>
      <c r="B739" t="s">
        <v>10</v>
      </c>
      <c r="C739" t="s">
        <v>1460</v>
      </c>
      <c r="D739">
        <v>1</v>
      </c>
      <c r="E739" s="123">
        <v>2500</v>
      </c>
      <c r="F739">
        <v>1</v>
      </c>
    </row>
    <row r="740" spans="1:6" x14ac:dyDescent="0.25">
      <c r="A740" t="s">
        <v>2005</v>
      </c>
      <c r="B740" t="s">
        <v>17</v>
      </c>
      <c r="C740" t="s">
        <v>626</v>
      </c>
      <c r="D740">
        <v>2</v>
      </c>
      <c r="E740" s="123">
        <v>10401</v>
      </c>
      <c r="F740">
        <v>2</v>
      </c>
    </row>
    <row r="741" spans="1:6" hidden="1" x14ac:dyDescent="0.25">
      <c r="A741" t="s">
        <v>2002</v>
      </c>
      <c r="B741" t="s">
        <v>10</v>
      </c>
      <c r="C741" t="s">
        <v>1679</v>
      </c>
      <c r="D741">
        <v>1</v>
      </c>
      <c r="E741" s="123">
        <v>3000</v>
      </c>
      <c r="F741">
        <v>1</v>
      </c>
    </row>
    <row r="742" spans="1:6" x14ac:dyDescent="0.25">
      <c r="A742" t="s">
        <v>2005</v>
      </c>
      <c r="B742" t="s">
        <v>17</v>
      </c>
      <c r="C742" t="s">
        <v>4</v>
      </c>
      <c r="D742">
        <v>2</v>
      </c>
      <c r="E742" s="123">
        <v>11850.99</v>
      </c>
      <c r="F742">
        <v>2</v>
      </c>
    </row>
    <row r="743" spans="1:6" hidden="1" x14ac:dyDescent="0.25">
      <c r="A743" t="s">
        <v>2002</v>
      </c>
      <c r="B743" t="s">
        <v>10</v>
      </c>
      <c r="C743" t="s">
        <v>1479</v>
      </c>
      <c r="D743">
        <v>1</v>
      </c>
      <c r="E743" s="123">
        <v>3094</v>
      </c>
      <c r="F743">
        <v>1</v>
      </c>
    </row>
    <row r="744" spans="1:6" x14ac:dyDescent="0.25">
      <c r="A744" t="s">
        <v>2002</v>
      </c>
      <c r="B744" t="s">
        <v>17</v>
      </c>
      <c r="C744" t="s">
        <v>1501</v>
      </c>
      <c r="D744">
        <v>1</v>
      </c>
      <c r="E744" s="123">
        <v>3291.76</v>
      </c>
      <c r="F744">
        <v>1</v>
      </c>
    </row>
    <row r="745" spans="1:6" x14ac:dyDescent="0.25">
      <c r="A745" t="s">
        <v>2005</v>
      </c>
      <c r="B745" t="s">
        <v>17</v>
      </c>
      <c r="C745" t="s">
        <v>56</v>
      </c>
      <c r="D745">
        <v>2</v>
      </c>
      <c r="E745" s="123">
        <v>21087.79</v>
      </c>
      <c r="F745">
        <v>2</v>
      </c>
    </row>
    <row r="746" spans="1:6" hidden="1" x14ac:dyDescent="0.25">
      <c r="A746" t="s">
        <v>2002</v>
      </c>
      <c r="B746" t="s">
        <v>47</v>
      </c>
      <c r="C746" t="s">
        <v>518</v>
      </c>
      <c r="D746">
        <v>1</v>
      </c>
      <c r="E746" s="123">
        <v>3759.2</v>
      </c>
      <c r="F746">
        <v>1</v>
      </c>
    </row>
    <row r="747" spans="1:6" x14ac:dyDescent="0.25">
      <c r="A747" t="s">
        <v>2002</v>
      </c>
      <c r="B747" t="s">
        <v>17</v>
      </c>
      <c r="C747" t="s">
        <v>1457</v>
      </c>
      <c r="D747">
        <v>1</v>
      </c>
      <c r="E747" s="123">
        <v>4053</v>
      </c>
      <c r="F747">
        <v>1</v>
      </c>
    </row>
    <row r="748" spans="1:6" x14ac:dyDescent="0.25">
      <c r="A748" t="s">
        <v>2002</v>
      </c>
      <c r="B748" t="s">
        <v>17</v>
      </c>
      <c r="C748" t="s">
        <v>561</v>
      </c>
      <c r="D748">
        <v>1</v>
      </c>
      <c r="E748" s="123">
        <v>4350</v>
      </c>
      <c r="F748">
        <v>1</v>
      </c>
    </row>
    <row r="749" spans="1:6" hidden="1" x14ac:dyDescent="0.25">
      <c r="A749" t="s">
        <v>2002</v>
      </c>
      <c r="B749" t="s">
        <v>10</v>
      </c>
      <c r="C749" t="s">
        <v>1651</v>
      </c>
      <c r="D749">
        <v>1</v>
      </c>
      <c r="E749" s="123">
        <v>4385</v>
      </c>
      <c r="F749">
        <v>1</v>
      </c>
    </row>
    <row r="750" spans="1:6" hidden="1" x14ac:dyDescent="0.25">
      <c r="A750" t="s">
        <v>2002</v>
      </c>
      <c r="B750" t="s">
        <v>10</v>
      </c>
      <c r="C750" t="s">
        <v>1469</v>
      </c>
      <c r="D750">
        <v>1</v>
      </c>
      <c r="E750" s="123">
        <v>4470</v>
      </c>
      <c r="F750">
        <v>1</v>
      </c>
    </row>
    <row r="751" spans="1:6" x14ac:dyDescent="0.25">
      <c r="A751" t="s">
        <v>2002</v>
      </c>
      <c r="B751" t="s">
        <v>17</v>
      </c>
      <c r="C751" t="s">
        <v>1426</v>
      </c>
      <c r="D751">
        <v>1</v>
      </c>
      <c r="E751" s="123">
        <v>4850</v>
      </c>
      <c r="F751">
        <v>1</v>
      </c>
    </row>
    <row r="752" spans="1:6" x14ac:dyDescent="0.25">
      <c r="A752" t="s">
        <v>2004</v>
      </c>
      <c r="B752" t="s">
        <v>17</v>
      </c>
      <c r="C752" t="s">
        <v>580</v>
      </c>
      <c r="D752">
        <v>2</v>
      </c>
      <c r="E752" s="123">
        <v>1790</v>
      </c>
      <c r="F752">
        <v>1</v>
      </c>
    </row>
    <row r="753" spans="1:6" x14ac:dyDescent="0.25">
      <c r="A753" t="s">
        <v>2004</v>
      </c>
      <c r="B753" t="s">
        <v>17</v>
      </c>
      <c r="C753" t="s">
        <v>336</v>
      </c>
      <c r="D753">
        <v>2</v>
      </c>
      <c r="E753" s="123">
        <v>3006.4</v>
      </c>
      <c r="F753">
        <v>1</v>
      </c>
    </row>
    <row r="754" spans="1:6" x14ac:dyDescent="0.25">
      <c r="A754" t="s">
        <v>2004</v>
      </c>
      <c r="B754" t="s">
        <v>17</v>
      </c>
      <c r="C754" t="s">
        <v>113</v>
      </c>
      <c r="D754">
        <v>2</v>
      </c>
      <c r="E754" s="123">
        <v>6250.99</v>
      </c>
      <c r="F754">
        <v>1</v>
      </c>
    </row>
    <row r="755" spans="1:6" x14ac:dyDescent="0.25">
      <c r="A755" t="s">
        <v>2004</v>
      </c>
      <c r="B755" t="s">
        <v>17</v>
      </c>
      <c r="C755" t="s">
        <v>635</v>
      </c>
      <c r="D755">
        <v>2</v>
      </c>
      <c r="E755" s="123">
        <v>18104</v>
      </c>
      <c r="F755">
        <v>1</v>
      </c>
    </row>
    <row r="756" spans="1:6" x14ac:dyDescent="0.25">
      <c r="A756" t="s">
        <v>2004</v>
      </c>
      <c r="B756" t="s">
        <v>17</v>
      </c>
      <c r="C756" t="s">
        <v>107</v>
      </c>
      <c r="D756">
        <v>2</v>
      </c>
      <c r="E756" s="123">
        <v>1220</v>
      </c>
      <c r="F756">
        <v>2</v>
      </c>
    </row>
    <row r="757" spans="1:6" x14ac:dyDescent="0.25">
      <c r="A757" t="s">
        <v>2004</v>
      </c>
      <c r="B757" t="s">
        <v>17</v>
      </c>
      <c r="C757" t="s">
        <v>43</v>
      </c>
      <c r="D757">
        <v>2</v>
      </c>
      <c r="E757" s="123">
        <v>8323.99</v>
      </c>
      <c r="F757">
        <v>2</v>
      </c>
    </row>
    <row r="758" spans="1:6" x14ac:dyDescent="0.25">
      <c r="A758" t="s">
        <v>2004</v>
      </c>
      <c r="B758" t="s">
        <v>17</v>
      </c>
      <c r="C758" t="s">
        <v>204</v>
      </c>
      <c r="D758">
        <v>2</v>
      </c>
      <c r="E758" s="123">
        <v>35827</v>
      </c>
      <c r="F758">
        <v>2</v>
      </c>
    </row>
    <row r="759" spans="1:6" x14ac:dyDescent="0.25">
      <c r="A759" t="s">
        <v>2003</v>
      </c>
      <c r="B759" t="s">
        <v>17</v>
      </c>
      <c r="C759" t="s">
        <v>63</v>
      </c>
      <c r="D759">
        <v>2</v>
      </c>
      <c r="E759" s="123">
        <v>4596.84</v>
      </c>
      <c r="F759">
        <v>2</v>
      </c>
    </row>
    <row r="760" spans="1:6" x14ac:dyDescent="0.25">
      <c r="A760" t="s">
        <v>2002</v>
      </c>
      <c r="B760" t="s">
        <v>17</v>
      </c>
      <c r="C760" t="s">
        <v>65</v>
      </c>
      <c r="D760">
        <v>1</v>
      </c>
      <c r="E760" s="123">
        <v>5969.24</v>
      </c>
      <c r="F760">
        <v>1</v>
      </c>
    </row>
    <row r="761" spans="1:6" hidden="1" x14ac:dyDescent="0.25">
      <c r="A761" t="s">
        <v>2002</v>
      </c>
      <c r="B761" t="s">
        <v>10</v>
      </c>
      <c r="C761" t="s">
        <v>1351</v>
      </c>
      <c r="D761">
        <v>1</v>
      </c>
      <c r="E761" s="123">
        <v>5984</v>
      </c>
      <c r="F761">
        <v>1</v>
      </c>
    </row>
    <row r="762" spans="1:6" x14ac:dyDescent="0.25">
      <c r="A762" t="s">
        <v>2002</v>
      </c>
      <c r="B762" t="s">
        <v>17</v>
      </c>
      <c r="C762" t="s">
        <v>1578</v>
      </c>
      <c r="D762">
        <v>1</v>
      </c>
      <c r="E762" s="123">
        <v>6264</v>
      </c>
      <c r="F762">
        <v>1</v>
      </c>
    </row>
    <row r="763" spans="1:6" hidden="1" x14ac:dyDescent="0.25">
      <c r="A763" t="s">
        <v>2002</v>
      </c>
      <c r="B763" t="s">
        <v>10</v>
      </c>
      <c r="C763" t="s">
        <v>1000</v>
      </c>
      <c r="D763">
        <v>1</v>
      </c>
      <c r="E763" s="123">
        <v>6318</v>
      </c>
      <c r="F763">
        <v>1</v>
      </c>
    </row>
    <row r="764" spans="1:6" hidden="1" x14ac:dyDescent="0.25">
      <c r="A764" t="s">
        <v>2002</v>
      </c>
      <c r="B764" t="s">
        <v>10</v>
      </c>
      <c r="C764" t="s">
        <v>212</v>
      </c>
      <c r="D764">
        <v>1</v>
      </c>
      <c r="E764" s="123">
        <v>6500</v>
      </c>
      <c r="F764">
        <v>1</v>
      </c>
    </row>
    <row r="765" spans="1:6" x14ac:dyDescent="0.25">
      <c r="A765" t="s">
        <v>2003</v>
      </c>
      <c r="B765" t="s">
        <v>17</v>
      </c>
      <c r="C765" t="s">
        <v>115</v>
      </c>
      <c r="D765">
        <v>2</v>
      </c>
      <c r="E765" s="123">
        <v>11391.92</v>
      </c>
      <c r="F765">
        <v>2</v>
      </c>
    </row>
    <row r="766" spans="1:6" x14ac:dyDescent="0.25">
      <c r="A766" t="s">
        <v>2002</v>
      </c>
      <c r="B766" t="s">
        <v>17</v>
      </c>
      <c r="C766" t="s">
        <v>1620</v>
      </c>
      <c r="D766">
        <v>1</v>
      </c>
      <c r="E766" s="123">
        <v>6620.55</v>
      </c>
      <c r="F766">
        <v>1</v>
      </c>
    </row>
    <row r="767" spans="1:6" hidden="1" x14ac:dyDescent="0.25">
      <c r="A767" t="s">
        <v>2002</v>
      </c>
      <c r="B767" t="s">
        <v>10</v>
      </c>
      <c r="C767" t="s">
        <v>1712</v>
      </c>
      <c r="D767">
        <v>1</v>
      </c>
      <c r="E767" s="123">
        <v>6909</v>
      </c>
      <c r="F767">
        <v>1</v>
      </c>
    </row>
    <row r="768" spans="1:6" x14ac:dyDescent="0.25">
      <c r="A768" t="s">
        <v>2002</v>
      </c>
      <c r="B768" t="s">
        <v>17</v>
      </c>
      <c r="C768" t="s">
        <v>23</v>
      </c>
      <c r="D768">
        <v>1</v>
      </c>
      <c r="E768" s="123">
        <v>7035.32</v>
      </c>
      <c r="F768">
        <v>1</v>
      </c>
    </row>
    <row r="769" spans="1:6" hidden="1" x14ac:dyDescent="0.25">
      <c r="A769" t="s">
        <v>2002</v>
      </c>
      <c r="B769" t="s">
        <v>10</v>
      </c>
      <c r="C769" t="s">
        <v>889</v>
      </c>
      <c r="D769">
        <v>1</v>
      </c>
      <c r="E769" s="123">
        <v>7054.8</v>
      </c>
      <c r="F769">
        <v>1</v>
      </c>
    </row>
    <row r="770" spans="1:6" x14ac:dyDescent="0.25">
      <c r="A770" t="s">
        <v>2003</v>
      </c>
      <c r="B770" t="s">
        <v>17</v>
      </c>
      <c r="C770" t="s">
        <v>474</v>
      </c>
      <c r="D770">
        <v>2</v>
      </c>
      <c r="E770" s="123">
        <v>18828.47</v>
      </c>
      <c r="F770">
        <v>2</v>
      </c>
    </row>
    <row r="771" spans="1:6" hidden="1" x14ac:dyDescent="0.25">
      <c r="A771" t="s">
        <v>2002</v>
      </c>
      <c r="B771" t="s">
        <v>10</v>
      </c>
      <c r="C771" t="s">
        <v>622</v>
      </c>
      <c r="D771">
        <v>1</v>
      </c>
      <c r="E771" s="123">
        <v>8834.6299999999992</v>
      </c>
      <c r="F771">
        <v>1</v>
      </c>
    </row>
    <row r="772" spans="1:6" x14ac:dyDescent="0.25">
      <c r="A772" t="s">
        <v>2002</v>
      </c>
      <c r="B772" t="s">
        <v>17</v>
      </c>
      <c r="C772" t="s">
        <v>465</v>
      </c>
      <c r="D772">
        <v>2</v>
      </c>
      <c r="E772" s="123">
        <v>5911</v>
      </c>
      <c r="F772">
        <v>1</v>
      </c>
    </row>
    <row r="773" spans="1:6" hidden="1" x14ac:dyDescent="0.25">
      <c r="A773" t="s">
        <v>2002</v>
      </c>
      <c r="B773" t="s">
        <v>10</v>
      </c>
      <c r="C773" t="s">
        <v>787</v>
      </c>
      <c r="D773">
        <v>1</v>
      </c>
      <c r="E773" s="123">
        <v>9192.91</v>
      </c>
      <c r="F773">
        <v>1</v>
      </c>
    </row>
    <row r="774" spans="1:6" x14ac:dyDescent="0.25">
      <c r="A774" t="s">
        <v>2002</v>
      </c>
      <c r="B774" t="s">
        <v>17</v>
      </c>
      <c r="C774" t="s">
        <v>626</v>
      </c>
      <c r="D774">
        <v>2</v>
      </c>
      <c r="E774" s="123">
        <v>7250</v>
      </c>
      <c r="F774">
        <v>1</v>
      </c>
    </row>
    <row r="775" spans="1:6" x14ac:dyDescent="0.25">
      <c r="A775" t="s">
        <v>2002</v>
      </c>
      <c r="B775" t="s">
        <v>17</v>
      </c>
      <c r="C775" t="s">
        <v>902</v>
      </c>
      <c r="D775">
        <v>2</v>
      </c>
      <c r="E775" s="123">
        <v>8032</v>
      </c>
      <c r="F775">
        <v>1</v>
      </c>
    </row>
    <row r="776" spans="1:6" x14ac:dyDescent="0.25">
      <c r="A776" t="s">
        <v>2002</v>
      </c>
      <c r="B776" t="s">
        <v>17</v>
      </c>
      <c r="C776" t="s">
        <v>115</v>
      </c>
      <c r="D776">
        <v>2</v>
      </c>
      <c r="E776" s="123">
        <v>8411</v>
      </c>
      <c r="F776">
        <v>1</v>
      </c>
    </row>
    <row r="777" spans="1:6" x14ac:dyDescent="0.25">
      <c r="A777" t="s">
        <v>2002</v>
      </c>
      <c r="B777" t="s">
        <v>17</v>
      </c>
      <c r="C777" t="s">
        <v>665</v>
      </c>
      <c r="D777">
        <v>1</v>
      </c>
      <c r="E777" s="123">
        <v>10664.19</v>
      </c>
      <c r="F777">
        <v>1</v>
      </c>
    </row>
    <row r="778" spans="1:6" hidden="1" x14ac:dyDescent="0.25">
      <c r="A778" t="s">
        <v>2002</v>
      </c>
      <c r="B778" t="s">
        <v>10</v>
      </c>
      <c r="C778" t="s">
        <v>1451</v>
      </c>
      <c r="D778">
        <v>1</v>
      </c>
      <c r="E778" s="123">
        <v>10958</v>
      </c>
      <c r="F778">
        <v>1</v>
      </c>
    </row>
    <row r="779" spans="1:6" x14ac:dyDescent="0.25">
      <c r="A779" t="s">
        <v>2002</v>
      </c>
      <c r="B779" t="s">
        <v>17</v>
      </c>
      <c r="C779" t="s">
        <v>1675</v>
      </c>
      <c r="D779">
        <v>2</v>
      </c>
      <c r="E779" s="123">
        <v>11484</v>
      </c>
      <c r="F779">
        <v>1</v>
      </c>
    </row>
    <row r="780" spans="1:6" hidden="1" x14ac:dyDescent="0.25">
      <c r="A780" t="s">
        <v>2002</v>
      </c>
      <c r="B780" t="s">
        <v>47</v>
      </c>
      <c r="C780" t="s">
        <v>111</v>
      </c>
      <c r="D780">
        <v>1</v>
      </c>
      <c r="E780" s="123">
        <v>11400</v>
      </c>
      <c r="F780">
        <v>1</v>
      </c>
    </row>
    <row r="781" spans="1:6" hidden="1" x14ac:dyDescent="0.25">
      <c r="A781" t="s">
        <v>2002</v>
      </c>
      <c r="B781" t="s">
        <v>10</v>
      </c>
      <c r="C781" t="s">
        <v>9</v>
      </c>
      <c r="D781">
        <v>1</v>
      </c>
      <c r="E781" s="123">
        <v>11744.99</v>
      </c>
      <c r="F781">
        <v>1</v>
      </c>
    </row>
    <row r="782" spans="1:6" x14ac:dyDescent="0.25">
      <c r="A782" t="s">
        <v>2002</v>
      </c>
      <c r="B782" t="s">
        <v>17</v>
      </c>
      <c r="C782" t="s">
        <v>54</v>
      </c>
      <c r="D782">
        <v>2</v>
      </c>
      <c r="E782" s="123">
        <v>17494.72</v>
      </c>
      <c r="F782">
        <v>1</v>
      </c>
    </row>
    <row r="783" spans="1:6" x14ac:dyDescent="0.25">
      <c r="A783" t="s">
        <v>2002</v>
      </c>
      <c r="B783" t="s">
        <v>17</v>
      </c>
      <c r="C783" t="s">
        <v>16</v>
      </c>
      <c r="D783">
        <v>2</v>
      </c>
      <c r="E783" s="123">
        <v>17929.990000000002</v>
      </c>
      <c r="F783">
        <v>1</v>
      </c>
    </row>
    <row r="784" spans="1:6" x14ac:dyDescent="0.25">
      <c r="A784" t="s">
        <v>2002</v>
      </c>
      <c r="B784" t="s">
        <v>17</v>
      </c>
      <c r="C784" t="s">
        <v>103</v>
      </c>
      <c r="D784">
        <v>2</v>
      </c>
      <c r="E784" s="123">
        <v>18402</v>
      </c>
      <c r="F784">
        <v>1</v>
      </c>
    </row>
    <row r="785" spans="1:6" hidden="1" x14ac:dyDescent="0.25">
      <c r="A785" t="s">
        <v>2002</v>
      </c>
      <c r="B785" t="s">
        <v>10</v>
      </c>
      <c r="C785" t="s">
        <v>1074</v>
      </c>
      <c r="D785">
        <v>1</v>
      </c>
      <c r="E785" s="123">
        <v>13644.84</v>
      </c>
      <c r="F785">
        <v>1</v>
      </c>
    </row>
    <row r="786" spans="1:6" x14ac:dyDescent="0.25">
      <c r="A786" t="s">
        <v>2003</v>
      </c>
      <c r="B786" t="s">
        <v>17</v>
      </c>
      <c r="C786">
        <v>6</v>
      </c>
      <c r="D786">
        <v>1</v>
      </c>
      <c r="E786" s="123">
        <v>2297</v>
      </c>
      <c r="F786">
        <v>1</v>
      </c>
    </row>
    <row r="787" spans="1:6" hidden="1" x14ac:dyDescent="0.25">
      <c r="A787" t="s">
        <v>2002</v>
      </c>
      <c r="B787" t="s">
        <v>47</v>
      </c>
      <c r="C787" t="s">
        <v>1275</v>
      </c>
      <c r="D787">
        <v>1</v>
      </c>
      <c r="E787" s="123">
        <v>14736.72</v>
      </c>
      <c r="F787">
        <v>1</v>
      </c>
    </row>
    <row r="788" spans="1:6" x14ac:dyDescent="0.25">
      <c r="A788" t="s">
        <v>2002</v>
      </c>
      <c r="B788" t="s">
        <v>17</v>
      </c>
      <c r="C788" t="s">
        <v>421</v>
      </c>
      <c r="D788">
        <v>2</v>
      </c>
      <c r="E788" s="123">
        <v>11402.68</v>
      </c>
      <c r="F788">
        <v>2</v>
      </c>
    </row>
    <row r="789" spans="1:6" x14ac:dyDescent="0.25">
      <c r="A789" t="s">
        <v>2001</v>
      </c>
      <c r="B789" t="s">
        <v>17</v>
      </c>
      <c r="C789" t="s">
        <v>123</v>
      </c>
      <c r="D789">
        <v>2</v>
      </c>
      <c r="E789" s="123">
        <v>1592</v>
      </c>
      <c r="F789">
        <v>1</v>
      </c>
    </row>
    <row r="790" spans="1:6" x14ac:dyDescent="0.25">
      <c r="A790" t="s">
        <v>2002</v>
      </c>
      <c r="B790" t="s">
        <v>17</v>
      </c>
      <c r="C790" t="s">
        <v>1464</v>
      </c>
      <c r="D790">
        <v>1</v>
      </c>
      <c r="E790" s="123">
        <v>15842.35</v>
      </c>
      <c r="F790">
        <v>1</v>
      </c>
    </row>
    <row r="791" spans="1:6" x14ac:dyDescent="0.25">
      <c r="A791" t="s">
        <v>2001</v>
      </c>
      <c r="B791" t="s">
        <v>17</v>
      </c>
      <c r="C791" t="s">
        <v>580</v>
      </c>
      <c r="D791">
        <v>2</v>
      </c>
      <c r="E791" s="123">
        <v>11129.99</v>
      </c>
      <c r="F791">
        <v>1</v>
      </c>
    </row>
    <row r="792" spans="1:6" x14ac:dyDescent="0.25">
      <c r="A792" t="s">
        <v>2001</v>
      </c>
      <c r="B792" t="s">
        <v>17</v>
      </c>
      <c r="C792" t="s">
        <v>465</v>
      </c>
      <c r="D792">
        <v>2</v>
      </c>
      <c r="E792" s="123">
        <v>15558</v>
      </c>
      <c r="F792">
        <v>1</v>
      </c>
    </row>
    <row r="793" spans="1:6" x14ac:dyDescent="0.25">
      <c r="A793" t="s">
        <v>2002</v>
      </c>
      <c r="B793" t="s">
        <v>17</v>
      </c>
      <c r="C793" t="s">
        <v>848</v>
      </c>
      <c r="D793">
        <v>1</v>
      </c>
      <c r="E793" s="123">
        <v>18871.32</v>
      </c>
      <c r="F793">
        <v>1</v>
      </c>
    </row>
    <row r="794" spans="1:6" x14ac:dyDescent="0.25">
      <c r="A794" t="s">
        <v>2001</v>
      </c>
      <c r="B794" t="s">
        <v>17</v>
      </c>
      <c r="C794" t="s">
        <v>84</v>
      </c>
      <c r="D794">
        <v>2</v>
      </c>
      <c r="E794" s="123">
        <v>5206.96</v>
      </c>
      <c r="F794">
        <v>2</v>
      </c>
    </row>
    <row r="795" spans="1:6" x14ac:dyDescent="0.25">
      <c r="A795" t="s">
        <v>2005</v>
      </c>
      <c r="B795" t="s">
        <v>17</v>
      </c>
      <c r="C795" t="s">
        <v>119</v>
      </c>
      <c r="D795">
        <v>3</v>
      </c>
      <c r="E795" s="123">
        <v>11296</v>
      </c>
      <c r="F795">
        <v>1</v>
      </c>
    </row>
    <row r="796" spans="1:6" hidden="1" x14ac:dyDescent="0.25">
      <c r="A796" t="s">
        <v>2002</v>
      </c>
      <c r="B796" t="s">
        <v>10</v>
      </c>
      <c r="C796" t="s">
        <v>1510</v>
      </c>
      <c r="D796">
        <v>1</v>
      </c>
      <c r="E796" s="123">
        <v>30149.99</v>
      </c>
      <c r="F796">
        <v>1</v>
      </c>
    </row>
    <row r="797" spans="1:6" x14ac:dyDescent="0.25">
      <c r="A797" t="s">
        <v>2005</v>
      </c>
      <c r="B797" t="s">
        <v>17</v>
      </c>
      <c r="C797" t="s">
        <v>421</v>
      </c>
      <c r="D797">
        <v>3</v>
      </c>
      <c r="E797" s="123">
        <v>20182.990000000002</v>
      </c>
      <c r="F797">
        <v>1</v>
      </c>
    </row>
    <row r="798" spans="1:6" x14ac:dyDescent="0.25">
      <c r="A798" t="s">
        <v>2005</v>
      </c>
      <c r="B798" t="s">
        <v>17</v>
      </c>
      <c r="C798" t="s">
        <v>339</v>
      </c>
      <c r="D798">
        <v>3</v>
      </c>
      <c r="E798" s="123">
        <v>7291.27</v>
      </c>
      <c r="F798">
        <v>2</v>
      </c>
    </row>
    <row r="799" spans="1:6" x14ac:dyDescent="0.25">
      <c r="A799" t="s">
        <v>2002</v>
      </c>
      <c r="B799" t="s">
        <v>17</v>
      </c>
      <c r="C799" t="s">
        <v>1551</v>
      </c>
      <c r="D799">
        <v>1</v>
      </c>
      <c r="E799" s="123">
        <v>139129.76999999999</v>
      </c>
      <c r="F799">
        <v>1</v>
      </c>
    </row>
    <row r="800" spans="1:6" x14ac:dyDescent="0.25">
      <c r="A800" t="s">
        <v>2004</v>
      </c>
      <c r="B800" t="s">
        <v>17</v>
      </c>
      <c r="C800" t="s">
        <v>180</v>
      </c>
      <c r="D800">
        <v>3</v>
      </c>
      <c r="E800" s="123">
        <v>6517</v>
      </c>
      <c r="F800">
        <v>1</v>
      </c>
    </row>
    <row r="801" spans="1:6" hidden="1" x14ac:dyDescent="0.25">
      <c r="A801" t="s">
        <v>2001</v>
      </c>
      <c r="B801" t="s">
        <v>10</v>
      </c>
      <c r="C801" t="s">
        <v>1876</v>
      </c>
      <c r="D801">
        <v>1</v>
      </c>
      <c r="E801" s="123">
        <v>575</v>
      </c>
      <c r="F801">
        <v>1</v>
      </c>
    </row>
    <row r="802" spans="1:6" x14ac:dyDescent="0.25">
      <c r="A802" t="s">
        <v>2001</v>
      </c>
      <c r="B802" t="s">
        <v>17</v>
      </c>
      <c r="C802" t="s">
        <v>1419</v>
      </c>
      <c r="D802">
        <v>1</v>
      </c>
      <c r="E802" s="123">
        <v>685</v>
      </c>
      <c r="F802">
        <v>1</v>
      </c>
    </row>
    <row r="803" spans="1:6" hidden="1" x14ac:dyDescent="0.25">
      <c r="A803" t="s">
        <v>2001</v>
      </c>
      <c r="B803" t="s">
        <v>47</v>
      </c>
      <c r="C803" t="s">
        <v>1630</v>
      </c>
      <c r="D803">
        <v>1</v>
      </c>
      <c r="E803" s="123">
        <v>772</v>
      </c>
      <c r="F803">
        <v>1</v>
      </c>
    </row>
    <row r="804" spans="1:6" x14ac:dyDescent="0.25">
      <c r="A804" t="s">
        <v>2004</v>
      </c>
      <c r="B804" t="s">
        <v>17</v>
      </c>
      <c r="C804" t="s">
        <v>429</v>
      </c>
      <c r="D804">
        <v>3</v>
      </c>
      <c r="E804" s="123">
        <v>10251</v>
      </c>
      <c r="F804">
        <v>1</v>
      </c>
    </row>
    <row r="805" spans="1:6" hidden="1" x14ac:dyDescent="0.25">
      <c r="A805" t="s">
        <v>2001</v>
      </c>
      <c r="B805" t="s">
        <v>10</v>
      </c>
      <c r="C805" t="s">
        <v>1218</v>
      </c>
      <c r="D805">
        <v>1</v>
      </c>
      <c r="E805" s="123">
        <v>1190</v>
      </c>
      <c r="F805">
        <v>1</v>
      </c>
    </row>
    <row r="806" spans="1:6" x14ac:dyDescent="0.25">
      <c r="A806" t="s">
        <v>2004</v>
      </c>
      <c r="B806" t="s">
        <v>17</v>
      </c>
      <c r="C806" t="s">
        <v>56</v>
      </c>
      <c r="D806">
        <v>3</v>
      </c>
      <c r="E806" s="123">
        <v>19104.990000000002</v>
      </c>
      <c r="F806">
        <v>1</v>
      </c>
    </row>
    <row r="807" spans="1:6" hidden="1" x14ac:dyDescent="0.25">
      <c r="A807" t="s">
        <v>2001</v>
      </c>
      <c r="B807" t="s">
        <v>10</v>
      </c>
      <c r="C807" t="s">
        <v>575</v>
      </c>
      <c r="D807">
        <v>1</v>
      </c>
      <c r="E807" s="123">
        <v>1228</v>
      </c>
      <c r="F807">
        <v>1</v>
      </c>
    </row>
    <row r="808" spans="1:6" x14ac:dyDescent="0.25">
      <c r="A808" t="s">
        <v>2004</v>
      </c>
      <c r="B808" t="s">
        <v>17</v>
      </c>
      <c r="C808" t="s">
        <v>84</v>
      </c>
      <c r="D808">
        <v>3</v>
      </c>
      <c r="E808" s="123">
        <v>11337.68</v>
      </c>
      <c r="F808">
        <v>2</v>
      </c>
    </row>
    <row r="809" spans="1:6" hidden="1" x14ac:dyDescent="0.25">
      <c r="A809" t="s">
        <v>2001</v>
      </c>
      <c r="B809" t="s">
        <v>10</v>
      </c>
      <c r="C809" t="s">
        <v>259</v>
      </c>
      <c r="D809">
        <v>1</v>
      </c>
      <c r="E809" s="123">
        <v>1405</v>
      </c>
      <c r="F809">
        <v>1</v>
      </c>
    </row>
    <row r="810" spans="1:6" x14ac:dyDescent="0.25">
      <c r="A810" t="s">
        <v>2001</v>
      </c>
      <c r="B810" t="s">
        <v>890</v>
      </c>
      <c r="C810" t="s">
        <v>1957</v>
      </c>
      <c r="D810">
        <v>1</v>
      </c>
      <c r="E810" s="123">
        <v>1495</v>
      </c>
      <c r="F810">
        <v>1</v>
      </c>
    </row>
    <row r="811" spans="1:6" hidden="1" x14ac:dyDescent="0.25">
      <c r="A811" t="s">
        <v>2001</v>
      </c>
      <c r="B811" t="s">
        <v>10</v>
      </c>
      <c r="C811" t="s">
        <v>1970</v>
      </c>
      <c r="D811">
        <v>1</v>
      </c>
      <c r="E811" s="123">
        <v>1526</v>
      </c>
      <c r="F811">
        <v>1</v>
      </c>
    </row>
    <row r="812" spans="1:6" hidden="1" x14ac:dyDescent="0.25">
      <c r="A812" t="s">
        <v>2001</v>
      </c>
      <c r="B812" t="s">
        <v>47</v>
      </c>
      <c r="C812" t="s">
        <v>1970</v>
      </c>
      <c r="D812">
        <v>1</v>
      </c>
      <c r="E812" s="123">
        <v>1583</v>
      </c>
      <c r="F812">
        <v>1</v>
      </c>
    </row>
    <row r="813" spans="1:6" x14ac:dyDescent="0.25">
      <c r="A813" t="s">
        <v>2003</v>
      </c>
      <c r="B813" t="s">
        <v>17</v>
      </c>
      <c r="C813" t="s">
        <v>119</v>
      </c>
      <c r="D813">
        <v>3</v>
      </c>
      <c r="E813" s="123">
        <v>5414</v>
      </c>
      <c r="F813">
        <v>1</v>
      </c>
    </row>
    <row r="814" spans="1:6" hidden="1" x14ac:dyDescent="0.25">
      <c r="A814" t="s">
        <v>2001</v>
      </c>
      <c r="B814" t="s">
        <v>10</v>
      </c>
      <c r="C814" t="s">
        <v>1914</v>
      </c>
      <c r="D814">
        <v>1</v>
      </c>
      <c r="E814" s="123">
        <v>1672</v>
      </c>
      <c r="F814">
        <v>1</v>
      </c>
    </row>
    <row r="815" spans="1:6" hidden="1" x14ac:dyDescent="0.25">
      <c r="A815" t="s">
        <v>2001</v>
      </c>
      <c r="B815" t="s">
        <v>47</v>
      </c>
      <c r="C815" t="s">
        <v>1936</v>
      </c>
      <c r="D815">
        <v>1</v>
      </c>
      <c r="E815" s="123">
        <v>1672</v>
      </c>
      <c r="F815">
        <v>1</v>
      </c>
    </row>
    <row r="816" spans="1:6" x14ac:dyDescent="0.25">
      <c r="A816" t="s">
        <v>2003</v>
      </c>
      <c r="B816" t="s">
        <v>17</v>
      </c>
      <c r="C816" t="s">
        <v>250</v>
      </c>
      <c r="D816">
        <v>3</v>
      </c>
      <c r="E816" s="123">
        <v>10117.99</v>
      </c>
      <c r="F816">
        <v>1</v>
      </c>
    </row>
    <row r="817" spans="1:6" x14ac:dyDescent="0.25">
      <c r="A817" t="s">
        <v>2002</v>
      </c>
      <c r="B817" t="s">
        <v>17</v>
      </c>
      <c r="C817" t="s">
        <v>285</v>
      </c>
      <c r="D817">
        <v>3</v>
      </c>
      <c r="E817" s="123">
        <v>4476.9799999999996</v>
      </c>
      <c r="F817">
        <v>1</v>
      </c>
    </row>
    <row r="818" spans="1:6" x14ac:dyDescent="0.25">
      <c r="A818" t="s">
        <v>2002</v>
      </c>
      <c r="B818" t="s">
        <v>17</v>
      </c>
      <c r="C818" t="s">
        <v>287</v>
      </c>
      <c r="D818">
        <v>3</v>
      </c>
      <c r="E818" s="123">
        <v>7804</v>
      </c>
      <c r="F818">
        <v>1</v>
      </c>
    </row>
    <row r="819" spans="1:6" x14ac:dyDescent="0.25">
      <c r="A819" t="s">
        <v>2002</v>
      </c>
      <c r="B819" t="s">
        <v>17</v>
      </c>
      <c r="C819" t="s">
        <v>425</v>
      </c>
      <c r="D819">
        <v>3</v>
      </c>
      <c r="E819" s="123">
        <v>14849.99</v>
      </c>
      <c r="F819">
        <v>2</v>
      </c>
    </row>
    <row r="820" spans="1:6" x14ac:dyDescent="0.25">
      <c r="A820" t="s">
        <v>2002</v>
      </c>
      <c r="B820" t="s">
        <v>17</v>
      </c>
      <c r="C820" t="s">
        <v>113</v>
      </c>
      <c r="D820">
        <v>3</v>
      </c>
      <c r="E820" s="123">
        <v>16249.2</v>
      </c>
      <c r="F820">
        <v>3</v>
      </c>
    </row>
    <row r="821" spans="1:6" x14ac:dyDescent="0.25">
      <c r="A821" t="s">
        <v>2001</v>
      </c>
      <c r="B821" t="s">
        <v>17</v>
      </c>
      <c r="C821" t="s">
        <v>425</v>
      </c>
      <c r="D821">
        <v>3</v>
      </c>
      <c r="E821" s="123">
        <v>11179</v>
      </c>
      <c r="F821">
        <v>2</v>
      </c>
    </row>
    <row r="822" spans="1:6" x14ac:dyDescent="0.25">
      <c r="A822" t="s">
        <v>2001</v>
      </c>
      <c r="B822" t="s">
        <v>890</v>
      </c>
      <c r="C822" t="s">
        <v>1955</v>
      </c>
      <c r="D822">
        <v>1</v>
      </c>
      <c r="E822" s="123">
        <v>2057</v>
      </c>
      <c r="F822">
        <v>1</v>
      </c>
    </row>
    <row r="823" spans="1:6" x14ac:dyDescent="0.25">
      <c r="A823" t="s">
        <v>2005</v>
      </c>
      <c r="B823" t="s">
        <v>17</v>
      </c>
      <c r="C823" t="s">
        <v>458</v>
      </c>
      <c r="D823">
        <v>4</v>
      </c>
      <c r="E823" s="123">
        <v>14930.96</v>
      </c>
      <c r="F823">
        <v>3</v>
      </c>
    </row>
    <row r="824" spans="1:6" x14ac:dyDescent="0.25">
      <c r="A824" t="s">
        <v>2005</v>
      </c>
      <c r="B824" t="s">
        <v>17</v>
      </c>
      <c r="C824" t="s">
        <v>465</v>
      </c>
      <c r="D824">
        <v>4</v>
      </c>
      <c r="E824" s="123">
        <v>9985.76</v>
      </c>
      <c r="F824">
        <v>4</v>
      </c>
    </row>
    <row r="825" spans="1:6" x14ac:dyDescent="0.25">
      <c r="A825" t="s">
        <v>2001</v>
      </c>
      <c r="B825" t="s">
        <v>890</v>
      </c>
      <c r="C825" t="s">
        <v>1991</v>
      </c>
      <c r="D825">
        <v>1</v>
      </c>
      <c r="E825" s="123">
        <v>2320</v>
      </c>
      <c r="F825">
        <v>1</v>
      </c>
    </row>
    <row r="826" spans="1:6" x14ac:dyDescent="0.25">
      <c r="A826" t="s">
        <v>2004</v>
      </c>
      <c r="B826" t="s">
        <v>17</v>
      </c>
      <c r="C826" t="s">
        <v>167</v>
      </c>
      <c r="D826">
        <v>4</v>
      </c>
      <c r="E826" s="123">
        <v>6208.5599999999986</v>
      </c>
      <c r="F826">
        <v>3</v>
      </c>
    </row>
    <row r="827" spans="1:6" hidden="1" x14ac:dyDescent="0.25">
      <c r="A827" t="s">
        <v>2001</v>
      </c>
      <c r="B827" t="s">
        <v>10</v>
      </c>
      <c r="C827" t="s">
        <v>1981</v>
      </c>
      <c r="D827">
        <v>1</v>
      </c>
      <c r="E827" s="123">
        <v>2347</v>
      </c>
      <c r="F827">
        <v>1</v>
      </c>
    </row>
    <row r="828" spans="1:6" hidden="1" x14ac:dyDescent="0.25">
      <c r="A828" t="s">
        <v>2001</v>
      </c>
      <c r="B828" t="s">
        <v>10</v>
      </c>
      <c r="C828" t="s">
        <v>698</v>
      </c>
      <c r="D828">
        <v>1</v>
      </c>
      <c r="E828" s="123">
        <v>2385</v>
      </c>
      <c r="F828">
        <v>1</v>
      </c>
    </row>
    <row r="829" spans="1:6" x14ac:dyDescent="0.25">
      <c r="A829" t="s">
        <v>2001</v>
      </c>
      <c r="B829" t="s">
        <v>890</v>
      </c>
      <c r="C829" t="s">
        <v>712</v>
      </c>
      <c r="D829">
        <v>1</v>
      </c>
      <c r="E829" s="123">
        <v>2415</v>
      </c>
      <c r="F829">
        <v>1</v>
      </c>
    </row>
    <row r="830" spans="1:6" hidden="1" x14ac:dyDescent="0.25">
      <c r="A830" t="s">
        <v>2001</v>
      </c>
      <c r="B830" t="s">
        <v>10</v>
      </c>
      <c r="C830" t="s">
        <v>1983</v>
      </c>
      <c r="D830">
        <v>1</v>
      </c>
      <c r="E830" s="123">
        <v>2600</v>
      </c>
      <c r="F830">
        <v>1</v>
      </c>
    </row>
    <row r="831" spans="1:6" x14ac:dyDescent="0.25">
      <c r="A831" t="s">
        <v>2001</v>
      </c>
      <c r="B831" t="s">
        <v>890</v>
      </c>
      <c r="C831" t="s">
        <v>1996</v>
      </c>
      <c r="D831">
        <v>1</v>
      </c>
      <c r="E831" s="123">
        <v>2604</v>
      </c>
      <c r="F831">
        <v>1</v>
      </c>
    </row>
    <row r="832" spans="1:6" x14ac:dyDescent="0.25">
      <c r="A832" t="s">
        <v>2004</v>
      </c>
      <c r="B832" t="s">
        <v>17</v>
      </c>
      <c r="C832" t="s">
        <v>123</v>
      </c>
      <c r="D832">
        <v>4</v>
      </c>
      <c r="E832" s="123">
        <v>13323.01</v>
      </c>
      <c r="F832">
        <v>3</v>
      </c>
    </row>
    <row r="833" spans="1:6" hidden="1" x14ac:dyDescent="0.25">
      <c r="A833" t="s">
        <v>2001</v>
      </c>
      <c r="B833" t="s">
        <v>10</v>
      </c>
      <c r="C833" t="s">
        <v>1979</v>
      </c>
      <c r="D833">
        <v>1</v>
      </c>
      <c r="E833" s="123">
        <v>2708</v>
      </c>
      <c r="F833">
        <v>1</v>
      </c>
    </row>
    <row r="834" spans="1:6" x14ac:dyDescent="0.25">
      <c r="A834" t="s">
        <v>2004</v>
      </c>
      <c r="B834" t="s">
        <v>17</v>
      </c>
      <c r="C834" t="s">
        <v>68</v>
      </c>
      <c r="D834">
        <v>4</v>
      </c>
      <c r="E834" s="123">
        <v>21047.86</v>
      </c>
      <c r="F834">
        <v>3</v>
      </c>
    </row>
    <row r="835" spans="1:6" x14ac:dyDescent="0.25">
      <c r="A835" t="s">
        <v>2004</v>
      </c>
      <c r="B835" t="s">
        <v>17</v>
      </c>
      <c r="C835" t="s">
        <v>46</v>
      </c>
      <c r="D835">
        <v>4</v>
      </c>
      <c r="E835" s="123">
        <v>15891</v>
      </c>
      <c r="F835">
        <v>4</v>
      </c>
    </row>
    <row r="836" spans="1:6" hidden="1" x14ac:dyDescent="0.25">
      <c r="A836" t="s">
        <v>2001</v>
      </c>
      <c r="B836" t="s">
        <v>10</v>
      </c>
      <c r="C836" t="s">
        <v>1074</v>
      </c>
      <c r="D836">
        <v>1</v>
      </c>
      <c r="E836" s="123">
        <v>3231</v>
      </c>
      <c r="F836">
        <v>1</v>
      </c>
    </row>
    <row r="837" spans="1:6" x14ac:dyDescent="0.25">
      <c r="A837" t="s">
        <v>2001</v>
      </c>
      <c r="B837" t="s">
        <v>17</v>
      </c>
      <c r="C837" t="s">
        <v>152</v>
      </c>
      <c r="D837">
        <v>1</v>
      </c>
      <c r="E837" s="123">
        <v>3246</v>
      </c>
      <c r="F837">
        <v>1</v>
      </c>
    </row>
    <row r="838" spans="1:6" x14ac:dyDescent="0.25">
      <c r="A838" t="s">
        <v>2001</v>
      </c>
      <c r="B838" t="s">
        <v>17</v>
      </c>
      <c r="C838" t="s">
        <v>111</v>
      </c>
      <c r="D838">
        <v>1</v>
      </c>
      <c r="E838" s="123">
        <v>3260</v>
      </c>
      <c r="F838">
        <v>1</v>
      </c>
    </row>
    <row r="839" spans="1:6" x14ac:dyDescent="0.25">
      <c r="A839" t="s">
        <v>2004</v>
      </c>
      <c r="B839" t="s">
        <v>17</v>
      </c>
      <c r="C839" t="s">
        <v>41</v>
      </c>
      <c r="D839">
        <v>4</v>
      </c>
      <c r="E839" s="123">
        <v>17379.080000000002</v>
      </c>
      <c r="F839">
        <v>4</v>
      </c>
    </row>
    <row r="840" spans="1:6" x14ac:dyDescent="0.25">
      <c r="A840" t="s">
        <v>2003</v>
      </c>
      <c r="B840" t="s">
        <v>17</v>
      </c>
      <c r="C840" t="s">
        <v>16</v>
      </c>
      <c r="D840">
        <v>4</v>
      </c>
      <c r="E840" s="123">
        <v>17517.990000000002</v>
      </c>
      <c r="F840">
        <v>1</v>
      </c>
    </row>
    <row r="841" spans="1:6" x14ac:dyDescent="0.25">
      <c r="A841" t="s">
        <v>2001</v>
      </c>
      <c r="B841" t="s">
        <v>17</v>
      </c>
      <c r="C841" t="s">
        <v>895</v>
      </c>
      <c r="D841">
        <v>1</v>
      </c>
      <c r="E841" s="123">
        <v>3356.72</v>
      </c>
      <c r="F841">
        <v>1</v>
      </c>
    </row>
    <row r="842" spans="1:6" x14ac:dyDescent="0.25">
      <c r="A842" t="s">
        <v>2003</v>
      </c>
      <c r="B842" t="s">
        <v>17</v>
      </c>
      <c r="C842" t="s">
        <v>465</v>
      </c>
      <c r="D842">
        <v>4</v>
      </c>
      <c r="E842" s="123">
        <v>26853.96</v>
      </c>
      <c r="F842">
        <v>4</v>
      </c>
    </row>
    <row r="843" spans="1:6" hidden="1" x14ac:dyDescent="0.25">
      <c r="A843" t="s">
        <v>2001</v>
      </c>
      <c r="B843" t="s">
        <v>47</v>
      </c>
      <c r="C843" t="s">
        <v>1968</v>
      </c>
      <c r="D843">
        <v>1</v>
      </c>
      <c r="E843" s="123">
        <v>3486</v>
      </c>
      <c r="F843">
        <v>1</v>
      </c>
    </row>
    <row r="844" spans="1:6" x14ac:dyDescent="0.25">
      <c r="A844" t="s">
        <v>2002</v>
      </c>
      <c r="B844" t="s">
        <v>17</v>
      </c>
      <c r="C844" t="s">
        <v>336</v>
      </c>
      <c r="D844">
        <v>4</v>
      </c>
      <c r="E844" s="123">
        <v>9676.32</v>
      </c>
      <c r="F844">
        <v>2</v>
      </c>
    </row>
    <row r="845" spans="1:6" x14ac:dyDescent="0.25">
      <c r="A845" t="s">
        <v>2002</v>
      </c>
      <c r="B845" t="s">
        <v>17</v>
      </c>
      <c r="C845" t="s">
        <v>84</v>
      </c>
      <c r="D845">
        <v>4</v>
      </c>
      <c r="E845" s="123">
        <v>11178.68</v>
      </c>
      <c r="F845">
        <v>2</v>
      </c>
    </row>
    <row r="846" spans="1:6" hidden="1" x14ac:dyDescent="0.25">
      <c r="A846" t="s">
        <v>2001</v>
      </c>
      <c r="B846" t="s">
        <v>10</v>
      </c>
      <c r="C846" t="s">
        <v>1784</v>
      </c>
      <c r="D846">
        <v>1</v>
      </c>
      <c r="E846" s="123">
        <v>3574.12</v>
      </c>
      <c r="F846">
        <v>1</v>
      </c>
    </row>
    <row r="847" spans="1:6" hidden="1" x14ac:dyDescent="0.25">
      <c r="A847" t="s">
        <v>2001</v>
      </c>
      <c r="B847" t="s">
        <v>10</v>
      </c>
      <c r="C847" t="s">
        <v>1592</v>
      </c>
      <c r="D847">
        <v>1</v>
      </c>
      <c r="E847" s="123">
        <v>3594.88</v>
      </c>
      <c r="F847">
        <v>1</v>
      </c>
    </row>
    <row r="848" spans="1:6" x14ac:dyDescent="0.25">
      <c r="A848" t="s">
        <v>2002</v>
      </c>
      <c r="B848" t="s">
        <v>17</v>
      </c>
      <c r="C848" t="s">
        <v>458</v>
      </c>
      <c r="D848">
        <v>4</v>
      </c>
      <c r="E848" s="123">
        <v>19960.240000000002</v>
      </c>
      <c r="F848">
        <v>2</v>
      </c>
    </row>
    <row r="849" spans="1:6" hidden="1" x14ac:dyDescent="0.25">
      <c r="A849" t="s">
        <v>2001</v>
      </c>
      <c r="B849" t="s">
        <v>47</v>
      </c>
      <c r="C849" t="s">
        <v>1788</v>
      </c>
      <c r="D849">
        <v>1</v>
      </c>
      <c r="E849" s="123">
        <v>3700.08</v>
      </c>
      <c r="F849">
        <v>1</v>
      </c>
    </row>
    <row r="850" spans="1:6" x14ac:dyDescent="0.25">
      <c r="A850" t="s">
        <v>2001</v>
      </c>
      <c r="B850" t="s">
        <v>17</v>
      </c>
      <c r="C850" t="s">
        <v>187</v>
      </c>
      <c r="D850">
        <v>4</v>
      </c>
      <c r="E850" s="123">
        <v>5972.99</v>
      </c>
      <c r="F850">
        <v>1</v>
      </c>
    </row>
    <row r="851" spans="1:6" x14ac:dyDescent="0.25">
      <c r="A851" t="s">
        <v>2001</v>
      </c>
      <c r="B851" t="s">
        <v>17</v>
      </c>
      <c r="C851" t="s">
        <v>48</v>
      </c>
      <c r="D851">
        <v>1</v>
      </c>
      <c r="E851" s="123">
        <v>3991.99</v>
      </c>
      <c r="F851">
        <v>1</v>
      </c>
    </row>
    <row r="852" spans="1:6" x14ac:dyDescent="0.25">
      <c r="A852" t="s">
        <v>2005</v>
      </c>
      <c r="B852" t="s">
        <v>17</v>
      </c>
      <c r="C852" t="s">
        <v>159</v>
      </c>
      <c r="D852">
        <v>5</v>
      </c>
      <c r="E852" s="123">
        <v>36952</v>
      </c>
      <c r="F852">
        <v>2</v>
      </c>
    </row>
    <row r="853" spans="1:6" x14ac:dyDescent="0.25">
      <c r="A853" t="s">
        <v>2005</v>
      </c>
      <c r="B853" t="s">
        <v>17</v>
      </c>
      <c r="C853" t="s">
        <v>425</v>
      </c>
      <c r="D853">
        <v>5</v>
      </c>
      <c r="E853" s="123">
        <v>8774</v>
      </c>
      <c r="F853">
        <v>4</v>
      </c>
    </row>
    <row r="854" spans="1:6" x14ac:dyDescent="0.25">
      <c r="A854" t="s">
        <v>2005</v>
      </c>
      <c r="B854" t="s">
        <v>17</v>
      </c>
      <c r="C854" t="s">
        <v>117</v>
      </c>
      <c r="D854">
        <v>5</v>
      </c>
      <c r="E854" s="123">
        <v>47724.66</v>
      </c>
      <c r="F854">
        <v>4</v>
      </c>
    </row>
    <row r="855" spans="1:6" x14ac:dyDescent="0.25">
      <c r="A855" t="s">
        <v>2005</v>
      </c>
      <c r="B855" t="s">
        <v>17</v>
      </c>
      <c r="C855" t="s">
        <v>68</v>
      </c>
      <c r="D855">
        <v>5</v>
      </c>
      <c r="E855" s="123">
        <v>10481.67</v>
      </c>
      <c r="F855">
        <v>5</v>
      </c>
    </row>
    <row r="856" spans="1:6" x14ac:dyDescent="0.25">
      <c r="A856" t="s">
        <v>2003</v>
      </c>
      <c r="B856" t="s">
        <v>17</v>
      </c>
      <c r="C856" t="s">
        <v>187</v>
      </c>
      <c r="D856">
        <v>5</v>
      </c>
      <c r="E856" s="123">
        <v>12210.84</v>
      </c>
      <c r="F856">
        <v>2</v>
      </c>
    </row>
    <row r="857" spans="1:6" x14ac:dyDescent="0.25">
      <c r="A857" t="s">
        <v>2001</v>
      </c>
      <c r="B857" t="s">
        <v>17</v>
      </c>
      <c r="C857" t="s">
        <v>1900</v>
      </c>
      <c r="D857">
        <v>1</v>
      </c>
      <c r="E857" s="123">
        <v>5036</v>
      </c>
      <c r="F857">
        <v>1</v>
      </c>
    </row>
    <row r="858" spans="1:6" hidden="1" x14ac:dyDescent="0.25">
      <c r="A858" t="s">
        <v>2001</v>
      </c>
      <c r="B858" t="s">
        <v>10</v>
      </c>
      <c r="C858" t="s">
        <v>1840</v>
      </c>
      <c r="D858">
        <v>1</v>
      </c>
      <c r="E858" s="123">
        <v>5100</v>
      </c>
      <c r="F858">
        <v>1</v>
      </c>
    </row>
    <row r="859" spans="1:6" x14ac:dyDescent="0.25">
      <c r="A859" t="s">
        <v>2002</v>
      </c>
      <c r="B859" t="s">
        <v>17</v>
      </c>
      <c r="C859" t="s">
        <v>187</v>
      </c>
      <c r="D859">
        <v>5</v>
      </c>
      <c r="E859" s="123">
        <v>7094</v>
      </c>
      <c r="F859">
        <v>1</v>
      </c>
    </row>
    <row r="860" spans="1:6" hidden="1" x14ac:dyDescent="0.25">
      <c r="A860" t="s">
        <v>2001</v>
      </c>
      <c r="B860" t="s">
        <v>47</v>
      </c>
      <c r="C860" t="s">
        <v>183</v>
      </c>
      <c r="D860">
        <v>1</v>
      </c>
      <c r="E860" s="123">
        <v>5121.83</v>
      </c>
      <c r="F860">
        <v>1</v>
      </c>
    </row>
    <row r="861" spans="1:6" hidden="1" x14ac:dyDescent="0.25">
      <c r="A861" t="s">
        <v>2001</v>
      </c>
      <c r="B861" t="s">
        <v>10</v>
      </c>
      <c r="C861" t="s">
        <v>1917</v>
      </c>
      <c r="D861">
        <v>1</v>
      </c>
      <c r="E861" s="123">
        <v>5129</v>
      </c>
      <c r="F861">
        <v>1</v>
      </c>
    </row>
    <row r="862" spans="1:6" hidden="1" x14ac:dyDescent="0.25">
      <c r="A862" t="s">
        <v>2001</v>
      </c>
      <c r="B862" t="s">
        <v>47</v>
      </c>
      <c r="C862" t="s">
        <v>816</v>
      </c>
      <c r="D862">
        <v>1</v>
      </c>
      <c r="E862" s="123">
        <v>5138</v>
      </c>
      <c r="F862">
        <v>1</v>
      </c>
    </row>
    <row r="863" spans="1:6" x14ac:dyDescent="0.25">
      <c r="A863" t="s">
        <v>2001</v>
      </c>
      <c r="B863" t="s">
        <v>17</v>
      </c>
      <c r="C863" t="s">
        <v>1379</v>
      </c>
      <c r="D863">
        <v>1</v>
      </c>
      <c r="E863" s="123">
        <v>5251.19</v>
      </c>
      <c r="F863">
        <v>1</v>
      </c>
    </row>
    <row r="864" spans="1:6" hidden="1" x14ac:dyDescent="0.25">
      <c r="A864" t="s">
        <v>2001</v>
      </c>
      <c r="B864" t="s">
        <v>10</v>
      </c>
      <c r="C864" t="s">
        <v>1853</v>
      </c>
      <c r="D864">
        <v>1</v>
      </c>
      <c r="E864" s="123">
        <v>5480.84</v>
      </c>
      <c r="F864">
        <v>1</v>
      </c>
    </row>
    <row r="865" spans="1:6" x14ac:dyDescent="0.25">
      <c r="A865" t="s">
        <v>2001</v>
      </c>
      <c r="B865" t="s">
        <v>890</v>
      </c>
      <c r="C865" t="s">
        <v>1959</v>
      </c>
      <c r="D865">
        <v>1</v>
      </c>
      <c r="E865" s="123">
        <v>5779</v>
      </c>
      <c r="F865">
        <v>1</v>
      </c>
    </row>
    <row r="866" spans="1:6" x14ac:dyDescent="0.25">
      <c r="A866" t="s">
        <v>2001</v>
      </c>
      <c r="B866" t="s">
        <v>890</v>
      </c>
      <c r="C866" t="s">
        <v>1933</v>
      </c>
      <c r="D866">
        <v>1</v>
      </c>
      <c r="E866" s="123">
        <v>5839</v>
      </c>
      <c r="F866">
        <v>1</v>
      </c>
    </row>
    <row r="867" spans="1:6" x14ac:dyDescent="0.25">
      <c r="A867" t="s">
        <v>2002</v>
      </c>
      <c r="B867" t="s">
        <v>17</v>
      </c>
      <c r="C867" t="s">
        <v>276</v>
      </c>
      <c r="D867">
        <v>5</v>
      </c>
      <c r="E867" s="123">
        <v>26186.639999999999</v>
      </c>
      <c r="F867">
        <v>2</v>
      </c>
    </row>
    <row r="868" spans="1:6" x14ac:dyDescent="0.25">
      <c r="A868" t="s">
        <v>2004</v>
      </c>
      <c r="B868" t="s">
        <v>17</v>
      </c>
      <c r="C868" t="s">
        <v>159</v>
      </c>
      <c r="D868">
        <v>6</v>
      </c>
      <c r="E868" s="123">
        <v>56496.73</v>
      </c>
      <c r="F868">
        <v>4</v>
      </c>
    </row>
    <row r="869" spans="1:6" hidden="1" x14ac:dyDescent="0.25">
      <c r="A869" t="s">
        <v>2001</v>
      </c>
      <c r="B869" t="s">
        <v>10</v>
      </c>
      <c r="C869" t="s">
        <v>1880</v>
      </c>
      <c r="D869">
        <v>1</v>
      </c>
      <c r="E869" s="123">
        <v>6263</v>
      </c>
      <c r="F869">
        <v>1</v>
      </c>
    </row>
    <row r="870" spans="1:6" hidden="1" x14ac:dyDescent="0.25">
      <c r="A870" t="s">
        <v>2001</v>
      </c>
      <c r="B870" t="s">
        <v>10</v>
      </c>
      <c r="C870" t="s">
        <v>1872</v>
      </c>
      <c r="D870">
        <v>1</v>
      </c>
      <c r="E870" s="123">
        <v>6300</v>
      </c>
      <c r="F870">
        <v>1</v>
      </c>
    </row>
    <row r="871" spans="1:6" x14ac:dyDescent="0.25">
      <c r="A871" t="s">
        <v>2003</v>
      </c>
      <c r="B871" t="s">
        <v>17</v>
      </c>
      <c r="C871" t="s">
        <v>113</v>
      </c>
      <c r="D871">
        <v>6</v>
      </c>
      <c r="E871" s="123">
        <v>22416.03</v>
      </c>
      <c r="F871">
        <v>5</v>
      </c>
    </row>
    <row r="872" spans="1:6" hidden="1" x14ac:dyDescent="0.25">
      <c r="A872" t="s">
        <v>2001</v>
      </c>
      <c r="B872" t="s">
        <v>10</v>
      </c>
      <c r="C872" t="s">
        <v>225</v>
      </c>
      <c r="D872">
        <v>1</v>
      </c>
      <c r="E872" s="123">
        <v>6369.91</v>
      </c>
      <c r="F872">
        <v>1</v>
      </c>
    </row>
    <row r="873" spans="1:6" x14ac:dyDescent="0.25">
      <c r="A873" t="s">
        <v>2003</v>
      </c>
      <c r="B873" t="s">
        <v>17</v>
      </c>
      <c r="C873" t="s">
        <v>204</v>
      </c>
      <c r="D873">
        <v>7</v>
      </c>
      <c r="E873" s="123">
        <v>34948</v>
      </c>
      <c r="F873">
        <v>3</v>
      </c>
    </row>
    <row r="874" spans="1:6" x14ac:dyDescent="0.25">
      <c r="A874" t="s">
        <v>2002</v>
      </c>
      <c r="B874" t="s">
        <v>17</v>
      </c>
      <c r="C874" t="s">
        <v>159</v>
      </c>
      <c r="D874">
        <v>7</v>
      </c>
      <c r="E874" s="123">
        <v>33648.79</v>
      </c>
      <c r="F874">
        <v>2</v>
      </c>
    </row>
    <row r="875" spans="1:6" x14ac:dyDescent="0.25">
      <c r="A875" t="s">
        <v>2001</v>
      </c>
      <c r="B875" t="s">
        <v>17</v>
      </c>
      <c r="C875" t="s">
        <v>354</v>
      </c>
      <c r="D875">
        <v>1</v>
      </c>
      <c r="E875" s="123">
        <v>6562.71</v>
      </c>
      <c r="F875">
        <v>1</v>
      </c>
    </row>
    <row r="876" spans="1:6" x14ac:dyDescent="0.25">
      <c r="A876" t="s">
        <v>2003</v>
      </c>
      <c r="B876" t="s">
        <v>17</v>
      </c>
      <c r="C876" t="s">
        <v>159</v>
      </c>
      <c r="D876">
        <v>8</v>
      </c>
      <c r="E876" s="123">
        <v>73939.259999999995</v>
      </c>
      <c r="F876">
        <v>2</v>
      </c>
    </row>
    <row r="877" spans="1:6" x14ac:dyDescent="0.25">
      <c r="A877" t="s">
        <v>2003</v>
      </c>
      <c r="B877" t="s">
        <v>17</v>
      </c>
      <c r="C877" t="s">
        <v>68</v>
      </c>
      <c r="D877">
        <v>9</v>
      </c>
      <c r="E877" s="123">
        <v>36324.959999999999</v>
      </c>
      <c r="F877">
        <v>6</v>
      </c>
    </row>
    <row r="878" spans="1:6" x14ac:dyDescent="0.25">
      <c r="A878" t="s">
        <v>2001</v>
      </c>
      <c r="B878" t="s">
        <v>890</v>
      </c>
      <c r="C878" t="s">
        <v>279</v>
      </c>
      <c r="D878">
        <v>1</v>
      </c>
      <c r="E878" s="123">
        <v>6894</v>
      </c>
      <c r="F878">
        <v>1</v>
      </c>
    </row>
    <row r="879" spans="1:6" x14ac:dyDescent="0.25">
      <c r="A879" t="s">
        <v>2002</v>
      </c>
      <c r="B879" t="s">
        <v>17</v>
      </c>
      <c r="C879" t="s">
        <v>204</v>
      </c>
      <c r="D879">
        <v>10</v>
      </c>
      <c r="E879" s="123">
        <v>65115.23</v>
      </c>
      <c r="F879">
        <v>5</v>
      </c>
    </row>
    <row r="880" spans="1:6" hidden="1" x14ac:dyDescent="0.25">
      <c r="A880" t="s">
        <v>2001</v>
      </c>
      <c r="B880" t="s">
        <v>10</v>
      </c>
      <c r="C880" t="s">
        <v>1961</v>
      </c>
      <c r="D880">
        <v>1</v>
      </c>
      <c r="E880" s="123">
        <v>7350</v>
      </c>
      <c r="F880">
        <v>1</v>
      </c>
    </row>
    <row r="881" spans="1:6" x14ac:dyDescent="0.25">
      <c r="A881" t="s">
        <v>2001</v>
      </c>
      <c r="B881" t="s">
        <v>17</v>
      </c>
      <c r="C881" t="s">
        <v>973</v>
      </c>
      <c r="D881">
        <v>1</v>
      </c>
      <c r="E881" s="123">
        <v>7438.19</v>
      </c>
      <c r="F881">
        <v>1</v>
      </c>
    </row>
    <row r="882" spans="1:6" x14ac:dyDescent="0.25">
      <c r="A882" t="s">
        <v>2001</v>
      </c>
      <c r="B882" t="s">
        <v>17</v>
      </c>
      <c r="C882" t="s">
        <v>115</v>
      </c>
      <c r="D882">
        <v>10</v>
      </c>
      <c r="E882" s="123">
        <v>24450.99</v>
      </c>
      <c r="F882">
        <v>2</v>
      </c>
    </row>
    <row r="883" spans="1:6" x14ac:dyDescent="0.25">
      <c r="A883" t="s">
        <v>2001</v>
      </c>
      <c r="B883" t="s">
        <v>17</v>
      </c>
      <c r="C883" t="s">
        <v>68</v>
      </c>
      <c r="D883">
        <v>11</v>
      </c>
      <c r="E883" s="123">
        <v>35403.03</v>
      </c>
      <c r="F883">
        <v>4</v>
      </c>
    </row>
    <row r="884" spans="1:6" x14ac:dyDescent="0.25">
      <c r="A884" t="s">
        <v>2004</v>
      </c>
      <c r="B884" t="s">
        <v>890</v>
      </c>
      <c r="C884" t="s">
        <v>6</v>
      </c>
      <c r="D884">
        <v>1</v>
      </c>
      <c r="E884" s="123">
        <v>1725</v>
      </c>
      <c r="F884">
        <v>1</v>
      </c>
    </row>
    <row r="885" spans="1:6" hidden="1" x14ac:dyDescent="0.25">
      <c r="A885" t="s">
        <v>2001</v>
      </c>
      <c r="B885" t="s">
        <v>10</v>
      </c>
      <c r="C885" t="s">
        <v>1929</v>
      </c>
      <c r="D885">
        <v>1</v>
      </c>
      <c r="E885" s="123">
        <v>8303</v>
      </c>
      <c r="F885">
        <v>1</v>
      </c>
    </row>
    <row r="886" spans="1:6" hidden="1" x14ac:dyDescent="0.25">
      <c r="A886" t="s">
        <v>2001</v>
      </c>
      <c r="B886" t="s">
        <v>10</v>
      </c>
      <c r="C886" t="s">
        <v>1920</v>
      </c>
      <c r="D886">
        <v>1</v>
      </c>
      <c r="E886" s="123">
        <v>8703</v>
      </c>
      <c r="F886">
        <v>1</v>
      </c>
    </row>
    <row r="887" spans="1:6" x14ac:dyDescent="0.25">
      <c r="A887" t="s">
        <v>2001</v>
      </c>
      <c r="B887" t="s">
        <v>890</v>
      </c>
      <c r="C887" t="s">
        <v>555</v>
      </c>
      <c r="D887">
        <v>1</v>
      </c>
      <c r="E887" s="123">
        <v>9285</v>
      </c>
      <c r="F887">
        <v>1</v>
      </c>
    </row>
    <row r="888" spans="1:6" x14ac:dyDescent="0.25">
      <c r="A888" t="s">
        <v>2004</v>
      </c>
      <c r="B888" t="s">
        <v>890</v>
      </c>
      <c r="C888" t="s">
        <v>356</v>
      </c>
      <c r="D888">
        <v>1</v>
      </c>
      <c r="E888" s="123">
        <v>4623</v>
      </c>
      <c r="F888">
        <v>1</v>
      </c>
    </row>
    <row r="889" spans="1:6" x14ac:dyDescent="0.25">
      <c r="A889" t="s">
        <v>2004</v>
      </c>
      <c r="B889" t="s">
        <v>890</v>
      </c>
      <c r="C889" t="s">
        <v>144</v>
      </c>
      <c r="D889">
        <v>1</v>
      </c>
      <c r="E889" s="123">
        <v>6860</v>
      </c>
      <c r="F889">
        <v>1</v>
      </c>
    </row>
    <row r="890" spans="1:6" x14ac:dyDescent="0.25">
      <c r="A890" t="s">
        <v>2001</v>
      </c>
      <c r="B890" t="s">
        <v>17</v>
      </c>
      <c r="C890" t="s">
        <v>820</v>
      </c>
      <c r="D890">
        <v>1</v>
      </c>
      <c r="E890" s="123">
        <v>9799</v>
      </c>
      <c r="F890">
        <v>1</v>
      </c>
    </row>
    <row r="891" spans="1:6" hidden="1" x14ac:dyDescent="0.25">
      <c r="A891" t="s">
        <v>2001</v>
      </c>
      <c r="B891" t="s">
        <v>10</v>
      </c>
      <c r="C891" t="s">
        <v>1789</v>
      </c>
      <c r="D891">
        <v>1</v>
      </c>
      <c r="E891" s="123">
        <v>9866.48</v>
      </c>
      <c r="F891">
        <v>1</v>
      </c>
    </row>
    <row r="892" spans="1:6" hidden="1" x14ac:dyDescent="0.25">
      <c r="A892" t="s">
        <v>2001</v>
      </c>
      <c r="B892" t="s">
        <v>47</v>
      </c>
      <c r="C892" t="s">
        <v>125</v>
      </c>
      <c r="D892">
        <v>1</v>
      </c>
      <c r="E892" s="123">
        <v>10101.870000000001</v>
      </c>
      <c r="F892">
        <v>1</v>
      </c>
    </row>
    <row r="893" spans="1:6" hidden="1" x14ac:dyDescent="0.25">
      <c r="A893" t="s">
        <v>2001</v>
      </c>
      <c r="B893" t="s">
        <v>47</v>
      </c>
      <c r="C893" t="s">
        <v>1910</v>
      </c>
      <c r="D893">
        <v>1</v>
      </c>
      <c r="E893" s="123">
        <v>10145</v>
      </c>
      <c r="F893">
        <v>1</v>
      </c>
    </row>
    <row r="894" spans="1:6" x14ac:dyDescent="0.25">
      <c r="A894" t="s">
        <v>2001</v>
      </c>
      <c r="B894" t="s">
        <v>17</v>
      </c>
      <c r="C894" t="s">
        <v>1836</v>
      </c>
      <c r="D894">
        <v>1</v>
      </c>
      <c r="E894" s="123">
        <v>10575.2</v>
      </c>
      <c r="F894">
        <v>1</v>
      </c>
    </row>
    <row r="895" spans="1:6" x14ac:dyDescent="0.25">
      <c r="A895" t="s">
        <v>2004</v>
      </c>
      <c r="B895" t="s">
        <v>890</v>
      </c>
      <c r="C895" t="s">
        <v>41</v>
      </c>
      <c r="D895">
        <v>1</v>
      </c>
      <c r="E895" s="123">
        <v>8927.44</v>
      </c>
      <c r="F895">
        <v>1</v>
      </c>
    </row>
    <row r="896" spans="1:6" x14ac:dyDescent="0.25">
      <c r="A896" t="s">
        <v>2004</v>
      </c>
      <c r="B896" t="s">
        <v>890</v>
      </c>
      <c r="C896" t="s">
        <v>123</v>
      </c>
      <c r="D896">
        <v>1</v>
      </c>
      <c r="E896" s="123">
        <v>9349.41</v>
      </c>
      <c r="F896">
        <v>1</v>
      </c>
    </row>
    <row r="897" spans="1:6" x14ac:dyDescent="0.25">
      <c r="A897" t="s">
        <v>2001</v>
      </c>
      <c r="B897" t="s">
        <v>890</v>
      </c>
      <c r="C897" t="s">
        <v>1860</v>
      </c>
      <c r="D897">
        <v>1</v>
      </c>
      <c r="E897" s="123">
        <v>4786</v>
      </c>
      <c r="F897">
        <v>1</v>
      </c>
    </row>
    <row r="898" spans="1:6" x14ac:dyDescent="0.25">
      <c r="A898" t="s">
        <v>2001</v>
      </c>
      <c r="B898" t="s">
        <v>890</v>
      </c>
      <c r="C898" t="s">
        <v>1994</v>
      </c>
      <c r="D898">
        <v>1</v>
      </c>
      <c r="E898" s="123">
        <v>6354</v>
      </c>
      <c r="F898">
        <v>1</v>
      </c>
    </row>
    <row r="899" spans="1:6" hidden="1" x14ac:dyDescent="0.25">
      <c r="A899" t="s">
        <v>2001</v>
      </c>
      <c r="B899" t="s">
        <v>47</v>
      </c>
      <c r="C899" t="s">
        <v>1908</v>
      </c>
      <c r="D899">
        <v>1</v>
      </c>
      <c r="E899" s="123">
        <v>12999</v>
      </c>
      <c r="F899">
        <v>1</v>
      </c>
    </row>
    <row r="900" spans="1:6" x14ac:dyDescent="0.25">
      <c r="A900" t="s">
        <v>2004</v>
      </c>
      <c r="B900" t="s">
        <v>890</v>
      </c>
      <c r="C900" t="s">
        <v>46</v>
      </c>
      <c r="D900">
        <v>2</v>
      </c>
      <c r="E900" s="123">
        <v>7486</v>
      </c>
      <c r="F900">
        <v>2</v>
      </c>
    </row>
    <row r="901" spans="1:6" hidden="1" x14ac:dyDescent="0.25">
      <c r="A901" t="s">
        <v>2004</v>
      </c>
      <c r="B901" t="s">
        <v>1077</v>
      </c>
      <c r="C901" t="s">
        <v>923</v>
      </c>
      <c r="D901">
        <v>4</v>
      </c>
      <c r="E901" s="123">
        <v>382711.36</v>
      </c>
      <c r="F901">
        <v>1</v>
      </c>
    </row>
    <row r="902" spans="1:6" hidden="1" x14ac:dyDescent="0.25">
      <c r="A902" t="s">
        <v>2003</v>
      </c>
      <c r="B902" t="s">
        <v>1322</v>
      </c>
      <c r="C902" t="s">
        <v>923</v>
      </c>
      <c r="D902">
        <v>1</v>
      </c>
      <c r="E902" s="123">
        <v>0</v>
      </c>
      <c r="F902">
        <v>1</v>
      </c>
    </row>
    <row r="903" spans="1:6" hidden="1" x14ac:dyDescent="0.25">
      <c r="A903" t="s">
        <v>2001</v>
      </c>
      <c r="B903" t="s">
        <v>10</v>
      </c>
      <c r="C903" t="s">
        <v>1020</v>
      </c>
      <c r="D903">
        <v>1</v>
      </c>
      <c r="E903" s="123">
        <v>16853.63</v>
      </c>
      <c r="F903">
        <v>1</v>
      </c>
    </row>
    <row r="904" spans="1:6" hidden="1" x14ac:dyDescent="0.25">
      <c r="A904" t="s">
        <v>2001</v>
      </c>
      <c r="B904" t="s">
        <v>47</v>
      </c>
      <c r="C904" t="s">
        <v>1943</v>
      </c>
      <c r="D904">
        <v>1</v>
      </c>
      <c r="E904" s="123">
        <v>16958</v>
      </c>
      <c r="F904">
        <v>1</v>
      </c>
    </row>
    <row r="905" spans="1:6" hidden="1" x14ac:dyDescent="0.25">
      <c r="A905" t="s">
        <v>2002</v>
      </c>
      <c r="B905" t="s">
        <v>1322</v>
      </c>
      <c r="C905" t="s">
        <v>1998</v>
      </c>
      <c r="D905">
        <v>3</v>
      </c>
      <c r="E905" s="123">
        <v>103600.01</v>
      </c>
      <c r="F905">
        <v>1</v>
      </c>
    </row>
    <row r="906" spans="1:6" hidden="1" x14ac:dyDescent="0.25">
      <c r="A906" t="s">
        <v>2006</v>
      </c>
      <c r="B906" t="s">
        <v>11</v>
      </c>
      <c r="C906" t="s">
        <v>82</v>
      </c>
      <c r="D906">
        <v>1</v>
      </c>
      <c r="E906" s="123">
        <v>543.20000000000005</v>
      </c>
      <c r="F906">
        <v>1</v>
      </c>
    </row>
    <row r="907" spans="1:6" hidden="1" x14ac:dyDescent="0.25">
      <c r="A907" t="s">
        <v>2006</v>
      </c>
      <c r="B907" t="s">
        <v>11</v>
      </c>
      <c r="C907" t="s">
        <v>32</v>
      </c>
      <c r="D907">
        <v>1</v>
      </c>
      <c r="E907" s="123">
        <v>595</v>
      </c>
      <c r="F907">
        <v>1</v>
      </c>
    </row>
    <row r="908" spans="1:6" hidden="1" x14ac:dyDescent="0.25">
      <c r="A908" t="s">
        <v>2001</v>
      </c>
      <c r="B908" t="s">
        <v>10</v>
      </c>
      <c r="C908" t="s">
        <v>1479</v>
      </c>
      <c r="D908">
        <v>1</v>
      </c>
      <c r="E908" s="123">
        <v>21908</v>
      </c>
      <c r="F908">
        <v>1</v>
      </c>
    </row>
    <row r="909" spans="1:6" hidden="1" x14ac:dyDescent="0.25">
      <c r="A909" t="s">
        <v>2006</v>
      </c>
      <c r="B909" t="s">
        <v>11</v>
      </c>
      <c r="C909" t="s">
        <v>90</v>
      </c>
      <c r="D909">
        <v>1</v>
      </c>
      <c r="E909" s="123">
        <v>633</v>
      </c>
      <c r="F909">
        <v>1</v>
      </c>
    </row>
    <row r="910" spans="1:6" hidden="1" x14ac:dyDescent="0.25">
      <c r="A910" t="s">
        <v>2006</v>
      </c>
      <c r="B910" t="s">
        <v>11</v>
      </c>
      <c r="C910" t="s">
        <v>63</v>
      </c>
      <c r="D910">
        <v>1</v>
      </c>
      <c r="E910" s="123">
        <v>1004</v>
      </c>
      <c r="F910">
        <v>1</v>
      </c>
    </row>
    <row r="911" spans="1:6" hidden="1" x14ac:dyDescent="0.25">
      <c r="A911" t="s">
        <v>2001</v>
      </c>
      <c r="B911" t="s">
        <v>47</v>
      </c>
      <c r="C911" t="s">
        <v>1762</v>
      </c>
      <c r="D911">
        <v>1</v>
      </c>
      <c r="E911" s="123">
        <v>189024</v>
      </c>
      <c r="F911">
        <v>1</v>
      </c>
    </row>
    <row r="912" spans="1:6" hidden="1" x14ac:dyDescent="0.25">
      <c r="A912" t="s">
        <v>2006</v>
      </c>
      <c r="B912" t="s">
        <v>11</v>
      </c>
      <c r="C912" t="s">
        <v>14</v>
      </c>
      <c r="D912">
        <v>1</v>
      </c>
      <c r="E912" s="123">
        <v>1533.88</v>
      </c>
      <c r="F912">
        <v>1</v>
      </c>
    </row>
    <row r="913" spans="1:6" hidden="1" x14ac:dyDescent="0.25">
      <c r="A913" t="s">
        <v>2006</v>
      </c>
      <c r="B913" t="s">
        <v>11</v>
      </c>
      <c r="C913" t="s">
        <v>107</v>
      </c>
      <c r="D913">
        <v>1</v>
      </c>
      <c r="E913" s="123">
        <v>1788</v>
      </c>
      <c r="F913">
        <v>1</v>
      </c>
    </row>
    <row r="914" spans="1:6" hidden="1" x14ac:dyDescent="0.25">
      <c r="A914" t="s">
        <v>2000</v>
      </c>
      <c r="B914" t="s">
        <v>47</v>
      </c>
      <c r="C914" t="s">
        <v>518</v>
      </c>
      <c r="D914">
        <v>1</v>
      </c>
      <c r="E914" s="123">
        <v>11626.08</v>
      </c>
      <c r="F914">
        <v>1</v>
      </c>
    </row>
    <row r="915" spans="1:6" hidden="1" x14ac:dyDescent="0.25">
      <c r="A915" t="s">
        <v>2005</v>
      </c>
      <c r="B915" t="s">
        <v>47</v>
      </c>
      <c r="C915" t="s">
        <v>514</v>
      </c>
      <c r="D915">
        <v>2</v>
      </c>
      <c r="E915" s="123">
        <v>1800</v>
      </c>
      <c r="F915">
        <v>1</v>
      </c>
    </row>
    <row r="916" spans="1:6" x14ac:dyDescent="0.25">
      <c r="A916" t="s">
        <v>2005</v>
      </c>
      <c r="B916" t="s">
        <v>17</v>
      </c>
      <c r="C916" t="s">
        <v>493</v>
      </c>
      <c r="D916">
        <v>2</v>
      </c>
      <c r="E916" s="123">
        <v>2620</v>
      </c>
      <c r="F916">
        <v>1</v>
      </c>
    </row>
    <row r="917" spans="1:6" hidden="1" x14ac:dyDescent="0.25">
      <c r="A917" t="s">
        <v>2005</v>
      </c>
      <c r="B917" t="s">
        <v>47</v>
      </c>
      <c r="C917" t="s">
        <v>153</v>
      </c>
      <c r="D917">
        <v>2</v>
      </c>
      <c r="E917" s="123">
        <v>3152</v>
      </c>
      <c r="F917">
        <v>1</v>
      </c>
    </row>
    <row r="918" spans="1:6" hidden="1" x14ac:dyDescent="0.25">
      <c r="A918" t="s">
        <v>2006</v>
      </c>
      <c r="B918" t="s">
        <v>11</v>
      </c>
      <c r="C918" t="s">
        <v>416</v>
      </c>
      <c r="D918">
        <v>1</v>
      </c>
      <c r="E918" s="123">
        <v>1950</v>
      </c>
      <c r="F918">
        <v>1</v>
      </c>
    </row>
    <row r="919" spans="1:6" hidden="1" x14ac:dyDescent="0.25">
      <c r="A919" t="s">
        <v>2006</v>
      </c>
      <c r="B919" t="s">
        <v>11</v>
      </c>
      <c r="C919" t="s">
        <v>21</v>
      </c>
      <c r="D919">
        <v>1</v>
      </c>
      <c r="E919" s="123">
        <v>2090</v>
      </c>
      <c r="F919">
        <v>1</v>
      </c>
    </row>
    <row r="920" spans="1:6" hidden="1" x14ac:dyDescent="0.25">
      <c r="A920" t="s">
        <v>2005</v>
      </c>
      <c r="B920" t="s">
        <v>47</v>
      </c>
      <c r="C920" t="s">
        <v>844</v>
      </c>
      <c r="D920">
        <v>2</v>
      </c>
      <c r="E920" s="123">
        <v>5056</v>
      </c>
      <c r="F920">
        <v>1</v>
      </c>
    </row>
    <row r="921" spans="1:6" hidden="1" x14ac:dyDescent="0.25">
      <c r="A921" t="s">
        <v>2005</v>
      </c>
      <c r="B921" t="s">
        <v>10</v>
      </c>
      <c r="C921" t="s">
        <v>9</v>
      </c>
      <c r="D921">
        <v>2</v>
      </c>
      <c r="E921" s="123">
        <v>5830</v>
      </c>
      <c r="F921">
        <v>1</v>
      </c>
    </row>
    <row r="922" spans="1:6" hidden="1" x14ac:dyDescent="0.25">
      <c r="A922" t="s">
        <v>2005</v>
      </c>
      <c r="B922" t="s">
        <v>47</v>
      </c>
      <c r="C922" t="s">
        <v>511</v>
      </c>
      <c r="D922">
        <v>2</v>
      </c>
      <c r="E922" s="123">
        <v>6334.04</v>
      </c>
      <c r="F922">
        <v>1</v>
      </c>
    </row>
    <row r="923" spans="1:6" hidden="1" x14ac:dyDescent="0.25">
      <c r="A923" t="s">
        <v>2005</v>
      </c>
      <c r="B923" t="s">
        <v>47</v>
      </c>
      <c r="C923" t="s">
        <v>702</v>
      </c>
      <c r="D923">
        <v>2</v>
      </c>
      <c r="E923" s="123">
        <v>6344.3600000000006</v>
      </c>
      <c r="F923">
        <v>1</v>
      </c>
    </row>
    <row r="924" spans="1:6" hidden="1" x14ac:dyDescent="0.25">
      <c r="A924" t="s">
        <v>2005</v>
      </c>
      <c r="B924" t="s">
        <v>47</v>
      </c>
      <c r="C924" t="s">
        <v>484</v>
      </c>
      <c r="D924">
        <v>2</v>
      </c>
      <c r="E924" s="123">
        <v>6387.99</v>
      </c>
      <c r="F924">
        <v>1</v>
      </c>
    </row>
    <row r="925" spans="1:6" hidden="1" x14ac:dyDescent="0.25">
      <c r="A925" t="s">
        <v>2005</v>
      </c>
      <c r="B925" t="s">
        <v>47</v>
      </c>
      <c r="C925" t="s">
        <v>503</v>
      </c>
      <c r="D925">
        <v>2</v>
      </c>
      <c r="E925" s="123">
        <v>6624.6</v>
      </c>
      <c r="F925">
        <v>1</v>
      </c>
    </row>
    <row r="926" spans="1:6" hidden="1" x14ac:dyDescent="0.25">
      <c r="A926" t="s">
        <v>2006</v>
      </c>
      <c r="B926" t="s">
        <v>11</v>
      </c>
      <c r="C926" t="s">
        <v>368</v>
      </c>
      <c r="D926">
        <v>1</v>
      </c>
      <c r="E926" s="123">
        <v>2250</v>
      </c>
      <c r="F926">
        <v>1</v>
      </c>
    </row>
    <row r="927" spans="1:6" hidden="1" x14ac:dyDescent="0.25">
      <c r="A927" t="s">
        <v>2006</v>
      </c>
      <c r="B927" t="s">
        <v>11</v>
      </c>
      <c r="C927" t="s">
        <v>88</v>
      </c>
      <c r="D927">
        <v>1</v>
      </c>
      <c r="E927" s="123">
        <v>2342</v>
      </c>
      <c r="F927">
        <v>1</v>
      </c>
    </row>
    <row r="928" spans="1:6" hidden="1" x14ac:dyDescent="0.25">
      <c r="A928" t="s">
        <v>2006</v>
      </c>
      <c r="B928" t="s">
        <v>11</v>
      </c>
      <c r="C928" t="s">
        <v>414</v>
      </c>
      <c r="D928">
        <v>1</v>
      </c>
      <c r="E928" s="123">
        <v>2600</v>
      </c>
      <c r="F928">
        <v>1</v>
      </c>
    </row>
    <row r="929" spans="1:6" hidden="1" x14ac:dyDescent="0.25">
      <c r="A929" t="s">
        <v>2006</v>
      </c>
      <c r="B929" t="s">
        <v>11</v>
      </c>
      <c r="C929" t="s">
        <v>320</v>
      </c>
      <c r="D929">
        <v>1</v>
      </c>
      <c r="E929" s="123">
        <v>3855.43</v>
      </c>
      <c r="F929">
        <v>1</v>
      </c>
    </row>
    <row r="930" spans="1:6" hidden="1" x14ac:dyDescent="0.25">
      <c r="A930" t="s">
        <v>2006</v>
      </c>
      <c r="B930" t="s">
        <v>11</v>
      </c>
      <c r="C930" t="s">
        <v>46</v>
      </c>
      <c r="D930">
        <v>1</v>
      </c>
      <c r="E930" s="123">
        <v>4151.16</v>
      </c>
      <c r="F930">
        <v>1</v>
      </c>
    </row>
    <row r="931" spans="1:6" hidden="1" x14ac:dyDescent="0.25">
      <c r="A931" t="s">
        <v>2006</v>
      </c>
      <c r="B931" t="s">
        <v>11</v>
      </c>
      <c r="C931" t="s">
        <v>366</v>
      </c>
      <c r="D931">
        <v>2</v>
      </c>
      <c r="E931" s="123">
        <v>4596</v>
      </c>
      <c r="F931">
        <v>1</v>
      </c>
    </row>
    <row r="932" spans="1:6" hidden="1" x14ac:dyDescent="0.25">
      <c r="A932" t="s">
        <v>2006</v>
      </c>
      <c r="B932" t="s">
        <v>11</v>
      </c>
      <c r="C932" t="s">
        <v>86</v>
      </c>
      <c r="D932">
        <v>1</v>
      </c>
      <c r="E932" s="123">
        <v>4735.6000000000004</v>
      </c>
      <c r="F932">
        <v>1</v>
      </c>
    </row>
    <row r="933" spans="1:6" hidden="1" x14ac:dyDescent="0.25">
      <c r="A933" t="s">
        <v>2006</v>
      </c>
      <c r="B933" t="s">
        <v>11</v>
      </c>
      <c r="C933" t="s">
        <v>147</v>
      </c>
      <c r="D933">
        <v>1</v>
      </c>
      <c r="E933" s="123">
        <v>6263.96</v>
      </c>
      <c r="F933">
        <v>1</v>
      </c>
    </row>
    <row r="934" spans="1:6" hidden="1" x14ac:dyDescent="0.25">
      <c r="A934" t="s">
        <v>2006</v>
      </c>
      <c r="B934" t="s">
        <v>11</v>
      </c>
      <c r="C934" t="s">
        <v>54</v>
      </c>
      <c r="D934">
        <v>1</v>
      </c>
      <c r="E934" s="123">
        <v>7817</v>
      </c>
      <c r="F934">
        <v>1</v>
      </c>
    </row>
    <row r="935" spans="1:6" x14ac:dyDescent="0.25">
      <c r="A935" t="s">
        <v>2005</v>
      </c>
      <c r="B935" t="s">
        <v>17</v>
      </c>
      <c r="C935" t="s">
        <v>550</v>
      </c>
      <c r="D935">
        <v>2</v>
      </c>
      <c r="E935" s="123">
        <v>11260.63</v>
      </c>
      <c r="F935">
        <v>1</v>
      </c>
    </row>
    <row r="936" spans="1:6" hidden="1" x14ac:dyDescent="0.25">
      <c r="A936" t="s">
        <v>2006</v>
      </c>
      <c r="B936" t="s">
        <v>11</v>
      </c>
      <c r="C936" t="s">
        <v>93</v>
      </c>
      <c r="D936">
        <v>4</v>
      </c>
      <c r="E936" s="123">
        <v>8104.9</v>
      </c>
      <c r="F936">
        <v>1</v>
      </c>
    </row>
    <row r="937" spans="1:6" x14ac:dyDescent="0.25">
      <c r="A937" t="s">
        <v>2005</v>
      </c>
      <c r="B937" t="s">
        <v>17</v>
      </c>
      <c r="C937" t="s">
        <v>649</v>
      </c>
      <c r="D937">
        <v>2</v>
      </c>
      <c r="E937" s="123">
        <v>24730.74</v>
      </c>
      <c r="F937">
        <v>1</v>
      </c>
    </row>
    <row r="938" spans="1:6" hidden="1" x14ac:dyDescent="0.25">
      <c r="A938" t="s">
        <v>2006</v>
      </c>
      <c r="B938" t="s">
        <v>11</v>
      </c>
      <c r="C938" t="s">
        <v>30</v>
      </c>
      <c r="D938">
        <v>1</v>
      </c>
      <c r="E938" s="123">
        <v>10188.879999999999</v>
      </c>
      <c r="F938">
        <v>1</v>
      </c>
    </row>
    <row r="939" spans="1:6" x14ac:dyDescent="0.25">
      <c r="A939" t="s">
        <v>2005</v>
      </c>
      <c r="B939" t="s">
        <v>17</v>
      </c>
      <c r="C939" t="s">
        <v>324</v>
      </c>
      <c r="D939">
        <v>2</v>
      </c>
      <c r="E939" s="123">
        <v>2274</v>
      </c>
      <c r="F939">
        <v>2</v>
      </c>
    </row>
    <row r="940" spans="1:6" hidden="1" x14ac:dyDescent="0.25">
      <c r="A940" t="s">
        <v>2006</v>
      </c>
      <c r="B940" t="s">
        <v>11</v>
      </c>
      <c r="C940" t="s">
        <v>6</v>
      </c>
      <c r="D940">
        <v>1</v>
      </c>
      <c r="E940" s="123">
        <v>11209.74</v>
      </c>
      <c r="F940">
        <v>1</v>
      </c>
    </row>
    <row r="941" spans="1:6" x14ac:dyDescent="0.25">
      <c r="A941" t="s">
        <v>2005</v>
      </c>
      <c r="B941" t="s">
        <v>17</v>
      </c>
      <c r="C941" t="s">
        <v>674</v>
      </c>
      <c r="D941">
        <v>2</v>
      </c>
      <c r="E941" s="123">
        <v>4419.99</v>
      </c>
      <c r="F941">
        <v>2</v>
      </c>
    </row>
    <row r="942" spans="1:6" hidden="1" x14ac:dyDescent="0.25">
      <c r="A942" t="s">
        <v>2005</v>
      </c>
      <c r="B942" t="s">
        <v>47</v>
      </c>
      <c r="C942" t="s">
        <v>28</v>
      </c>
      <c r="D942">
        <v>2</v>
      </c>
      <c r="E942" s="123">
        <v>4504</v>
      </c>
      <c r="F942">
        <v>2</v>
      </c>
    </row>
    <row r="943" spans="1:6" hidden="1" x14ac:dyDescent="0.25">
      <c r="A943" t="s">
        <v>2006</v>
      </c>
      <c r="B943" t="s">
        <v>11</v>
      </c>
      <c r="C943" t="s">
        <v>80</v>
      </c>
      <c r="D943">
        <v>1</v>
      </c>
      <c r="E943" s="123">
        <v>11758.4</v>
      </c>
      <c r="F943">
        <v>1</v>
      </c>
    </row>
    <row r="944" spans="1:6" x14ac:dyDescent="0.25">
      <c r="A944" t="s">
        <v>2005</v>
      </c>
      <c r="B944" t="s">
        <v>17</v>
      </c>
      <c r="C944" t="s">
        <v>28</v>
      </c>
      <c r="D944">
        <v>2</v>
      </c>
      <c r="E944" s="123">
        <v>6685</v>
      </c>
      <c r="F944">
        <v>2</v>
      </c>
    </row>
    <row r="945" spans="1:6" hidden="1" x14ac:dyDescent="0.25">
      <c r="A945" t="s">
        <v>2006</v>
      </c>
      <c r="B945" t="s">
        <v>11</v>
      </c>
      <c r="C945" t="s">
        <v>199</v>
      </c>
      <c r="D945">
        <v>1</v>
      </c>
      <c r="E945" s="123">
        <v>12650</v>
      </c>
      <c r="F945">
        <v>1</v>
      </c>
    </row>
    <row r="946" spans="1:6" x14ac:dyDescent="0.25">
      <c r="A946" t="s">
        <v>2005</v>
      </c>
      <c r="B946" t="s">
        <v>17</v>
      </c>
      <c r="C946" t="s">
        <v>65</v>
      </c>
      <c r="D946">
        <v>2</v>
      </c>
      <c r="E946" s="123">
        <v>7546</v>
      </c>
      <c r="F946">
        <v>2</v>
      </c>
    </row>
    <row r="947" spans="1:6" hidden="1" x14ac:dyDescent="0.25">
      <c r="A947" t="s">
        <v>2006</v>
      </c>
      <c r="B947" t="s">
        <v>11</v>
      </c>
      <c r="C947" t="s">
        <v>218</v>
      </c>
      <c r="D947">
        <v>1</v>
      </c>
      <c r="E947" s="123">
        <v>17410</v>
      </c>
      <c r="F947">
        <v>1</v>
      </c>
    </row>
    <row r="948" spans="1:6" hidden="1" x14ac:dyDescent="0.25">
      <c r="A948" t="s">
        <v>2006</v>
      </c>
      <c r="B948" t="s">
        <v>11</v>
      </c>
      <c r="C948" t="s">
        <v>41</v>
      </c>
      <c r="D948">
        <v>1</v>
      </c>
      <c r="E948" s="123">
        <v>17995.23</v>
      </c>
      <c r="F948">
        <v>1</v>
      </c>
    </row>
    <row r="949" spans="1:6" hidden="1" x14ac:dyDescent="0.25">
      <c r="A949" t="s">
        <v>2005</v>
      </c>
      <c r="B949" t="s">
        <v>10</v>
      </c>
      <c r="C949" t="s">
        <v>152</v>
      </c>
      <c r="D949">
        <v>2</v>
      </c>
      <c r="E949" s="123">
        <v>9740</v>
      </c>
      <c r="F949">
        <v>2</v>
      </c>
    </row>
    <row r="950" spans="1:6" hidden="1" x14ac:dyDescent="0.25">
      <c r="A950" t="s">
        <v>2006</v>
      </c>
      <c r="B950" t="s">
        <v>11</v>
      </c>
      <c r="C950" t="s">
        <v>248</v>
      </c>
      <c r="D950">
        <v>1</v>
      </c>
      <c r="E950" s="123">
        <v>19207.939999999999</v>
      </c>
      <c r="F950">
        <v>1</v>
      </c>
    </row>
    <row r="951" spans="1:6" x14ac:dyDescent="0.25">
      <c r="A951" t="s">
        <v>2005</v>
      </c>
      <c r="B951" t="s">
        <v>17</v>
      </c>
      <c r="C951" t="s">
        <v>490</v>
      </c>
      <c r="D951">
        <v>2</v>
      </c>
      <c r="E951" s="123">
        <v>10605.98</v>
      </c>
      <c r="F951">
        <v>2</v>
      </c>
    </row>
    <row r="952" spans="1:6" x14ac:dyDescent="0.25">
      <c r="A952" t="s">
        <v>2005</v>
      </c>
      <c r="B952" t="s">
        <v>17</v>
      </c>
      <c r="C952" t="s">
        <v>201</v>
      </c>
      <c r="D952">
        <v>2</v>
      </c>
      <c r="E952" s="123">
        <v>11161</v>
      </c>
      <c r="F952">
        <v>2</v>
      </c>
    </row>
    <row r="953" spans="1:6" hidden="1" x14ac:dyDescent="0.25">
      <c r="A953" t="s">
        <v>2006</v>
      </c>
      <c r="B953" t="s">
        <v>11</v>
      </c>
      <c r="C953" t="s">
        <v>244</v>
      </c>
      <c r="D953">
        <v>1</v>
      </c>
      <c r="E953" s="123">
        <v>20769.34</v>
      </c>
      <c r="F953">
        <v>1</v>
      </c>
    </row>
    <row r="954" spans="1:6" hidden="1" x14ac:dyDescent="0.25">
      <c r="A954" t="s">
        <v>2006</v>
      </c>
      <c r="B954" t="s">
        <v>11</v>
      </c>
      <c r="C954" t="s">
        <v>76</v>
      </c>
      <c r="D954">
        <v>1</v>
      </c>
      <c r="E954" s="123">
        <v>23125.99</v>
      </c>
      <c r="F954">
        <v>1</v>
      </c>
    </row>
    <row r="955" spans="1:6" hidden="1" x14ac:dyDescent="0.25">
      <c r="A955" t="s">
        <v>2006</v>
      </c>
      <c r="B955" t="s">
        <v>11</v>
      </c>
      <c r="C955" t="s">
        <v>319</v>
      </c>
      <c r="D955">
        <v>1</v>
      </c>
      <c r="E955" s="123">
        <v>23496.26</v>
      </c>
      <c r="F955">
        <v>1</v>
      </c>
    </row>
    <row r="956" spans="1:6" hidden="1" x14ac:dyDescent="0.25">
      <c r="A956" t="s">
        <v>2006</v>
      </c>
      <c r="B956" t="s">
        <v>11</v>
      </c>
      <c r="C956" t="s">
        <v>383</v>
      </c>
      <c r="D956">
        <v>1</v>
      </c>
      <c r="E956" s="123">
        <v>30659</v>
      </c>
      <c r="F956">
        <v>1</v>
      </c>
    </row>
    <row r="957" spans="1:6" hidden="1" x14ac:dyDescent="0.25">
      <c r="A957" t="s">
        <v>2005</v>
      </c>
      <c r="B957" t="s">
        <v>10</v>
      </c>
      <c r="C957" t="s">
        <v>208</v>
      </c>
      <c r="D957">
        <v>2</v>
      </c>
      <c r="E957" s="123">
        <v>16815.759999999998</v>
      </c>
      <c r="F957">
        <v>2</v>
      </c>
    </row>
    <row r="958" spans="1:6" hidden="1" x14ac:dyDescent="0.25">
      <c r="A958" t="s">
        <v>2006</v>
      </c>
      <c r="B958" t="s">
        <v>11</v>
      </c>
      <c r="C958" t="s">
        <v>58</v>
      </c>
      <c r="D958">
        <v>2</v>
      </c>
      <c r="E958" s="123">
        <v>47424.94</v>
      </c>
      <c r="F958">
        <v>1</v>
      </c>
    </row>
    <row r="959" spans="1:6" hidden="1" x14ac:dyDescent="0.25">
      <c r="A959" t="s">
        <v>2006</v>
      </c>
      <c r="B959" t="s">
        <v>11</v>
      </c>
      <c r="C959" t="s">
        <v>0</v>
      </c>
      <c r="D959">
        <v>2</v>
      </c>
      <c r="E959" s="123">
        <v>49825.53</v>
      </c>
      <c r="F959">
        <v>1</v>
      </c>
    </row>
    <row r="960" spans="1:6" hidden="1" x14ac:dyDescent="0.25">
      <c r="A960" t="s">
        <v>2005</v>
      </c>
      <c r="B960" t="s">
        <v>10</v>
      </c>
      <c r="C960" t="s">
        <v>297</v>
      </c>
      <c r="D960">
        <v>2</v>
      </c>
      <c r="E960" s="123">
        <v>28868</v>
      </c>
      <c r="F960">
        <v>2</v>
      </c>
    </row>
    <row r="961" spans="1:6" hidden="1" x14ac:dyDescent="0.25">
      <c r="A961" t="s">
        <v>2004</v>
      </c>
      <c r="B961" t="s">
        <v>10</v>
      </c>
      <c r="C961" t="s">
        <v>153</v>
      </c>
      <c r="D961">
        <v>2</v>
      </c>
      <c r="E961" s="123">
        <v>782</v>
      </c>
      <c r="F961">
        <v>1</v>
      </c>
    </row>
    <row r="962" spans="1:6" x14ac:dyDescent="0.25">
      <c r="A962" t="s">
        <v>2004</v>
      </c>
      <c r="B962" t="s">
        <v>17</v>
      </c>
      <c r="C962" t="s">
        <v>913</v>
      </c>
      <c r="D962">
        <v>2</v>
      </c>
      <c r="E962" s="123">
        <v>1636.36</v>
      </c>
      <c r="F962">
        <v>1</v>
      </c>
    </row>
    <row r="963" spans="1:6" hidden="1" x14ac:dyDescent="0.25">
      <c r="A963" t="s">
        <v>2006</v>
      </c>
      <c r="B963" t="s">
        <v>11</v>
      </c>
      <c r="C963" t="s">
        <v>180</v>
      </c>
      <c r="D963">
        <v>1</v>
      </c>
      <c r="E963" s="123">
        <v>64202.91</v>
      </c>
      <c r="F963">
        <v>1</v>
      </c>
    </row>
    <row r="964" spans="1:6" hidden="1" x14ac:dyDescent="0.25">
      <c r="A964" t="s">
        <v>2006</v>
      </c>
      <c r="B964" t="s">
        <v>11</v>
      </c>
      <c r="C964" t="s">
        <v>144</v>
      </c>
      <c r="D964">
        <v>2</v>
      </c>
      <c r="E964" s="123">
        <v>70330.900000000009</v>
      </c>
      <c r="F964">
        <v>1</v>
      </c>
    </row>
    <row r="965" spans="1:6" hidden="1" x14ac:dyDescent="0.25">
      <c r="A965" t="s">
        <v>2004</v>
      </c>
      <c r="B965" t="s">
        <v>47</v>
      </c>
      <c r="C965" t="s">
        <v>280</v>
      </c>
      <c r="D965">
        <v>2</v>
      </c>
      <c r="E965" s="123">
        <v>3826</v>
      </c>
      <c r="F965">
        <v>1</v>
      </c>
    </row>
    <row r="966" spans="1:6" hidden="1" x14ac:dyDescent="0.25">
      <c r="A966" t="s">
        <v>2004</v>
      </c>
      <c r="B966" t="s">
        <v>10</v>
      </c>
      <c r="C966" t="s">
        <v>1007</v>
      </c>
      <c r="D966">
        <v>2</v>
      </c>
      <c r="E966" s="123">
        <v>4120.01</v>
      </c>
      <c r="F966">
        <v>1</v>
      </c>
    </row>
    <row r="967" spans="1:6" hidden="1" x14ac:dyDescent="0.25">
      <c r="A967" t="s">
        <v>2004</v>
      </c>
      <c r="B967" t="s">
        <v>10</v>
      </c>
      <c r="C967" t="s">
        <v>9</v>
      </c>
      <c r="D967">
        <v>2</v>
      </c>
      <c r="E967" s="123">
        <v>4401.99</v>
      </c>
      <c r="F967">
        <v>1</v>
      </c>
    </row>
    <row r="968" spans="1:6" x14ac:dyDescent="0.25">
      <c r="A968" t="s">
        <v>2004</v>
      </c>
      <c r="B968" t="s">
        <v>17</v>
      </c>
      <c r="C968" t="s">
        <v>354</v>
      </c>
      <c r="D968">
        <v>2</v>
      </c>
      <c r="E968" s="123">
        <v>5008.2299999999996</v>
      </c>
      <c r="F968">
        <v>1</v>
      </c>
    </row>
    <row r="969" spans="1:6" hidden="1" x14ac:dyDescent="0.25">
      <c r="A969" t="s">
        <v>2006</v>
      </c>
      <c r="B969" t="s">
        <v>11</v>
      </c>
      <c r="C969" t="s">
        <v>181</v>
      </c>
      <c r="D969">
        <v>4</v>
      </c>
      <c r="E969" s="123">
        <v>198046.49</v>
      </c>
      <c r="F969">
        <v>1</v>
      </c>
    </row>
    <row r="970" spans="1:6" hidden="1" x14ac:dyDescent="0.25">
      <c r="A970" t="s">
        <v>2006</v>
      </c>
      <c r="B970" t="s">
        <v>11</v>
      </c>
      <c r="C970" t="s">
        <v>119</v>
      </c>
      <c r="D970">
        <v>2</v>
      </c>
      <c r="E970" s="123">
        <v>7171</v>
      </c>
      <c r="F970">
        <v>2</v>
      </c>
    </row>
    <row r="971" spans="1:6" hidden="1" x14ac:dyDescent="0.25">
      <c r="A971" t="s">
        <v>2006</v>
      </c>
      <c r="B971" t="s">
        <v>11</v>
      </c>
      <c r="C971" t="s">
        <v>56</v>
      </c>
      <c r="D971">
        <v>2</v>
      </c>
      <c r="E971" s="123">
        <v>17932.990000000002</v>
      </c>
      <c r="F971">
        <v>2</v>
      </c>
    </row>
    <row r="972" spans="1:6" hidden="1" x14ac:dyDescent="0.25">
      <c r="A972" t="s">
        <v>2004</v>
      </c>
      <c r="B972" t="s">
        <v>47</v>
      </c>
      <c r="C972" t="s">
        <v>550</v>
      </c>
      <c r="D972">
        <v>2</v>
      </c>
      <c r="E972" s="123">
        <v>6980.77</v>
      </c>
      <c r="F972">
        <v>1</v>
      </c>
    </row>
    <row r="973" spans="1:6" hidden="1" x14ac:dyDescent="0.25">
      <c r="A973" t="s">
        <v>2004</v>
      </c>
      <c r="B973" t="s">
        <v>47</v>
      </c>
      <c r="C973" t="s">
        <v>878</v>
      </c>
      <c r="D973">
        <v>2</v>
      </c>
      <c r="E973" s="123">
        <v>7293.99</v>
      </c>
      <c r="F973">
        <v>1</v>
      </c>
    </row>
    <row r="974" spans="1:6" hidden="1" x14ac:dyDescent="0.25">
      <c r="A974" t="s">
        <v>2004</v>
      </c>
      <c r="B974" t="s">
        <v>10</v>
      </c>
      <c r="C974" t="s">
        <v>480</v>
      </c>
      <c r="D974">
        <v>2</v>
      </c>
      <c r="E974" s="123">
        <v>8356.31</v>
      </c>
      <c r="F974">
        <v>1</v>
      </c>
    </row>
    <row r="975" spans="1:6" hidden="1" x14ac:dyDescent="0.25">
      <c r="A975" t="s">
        <v>2006</v>
      </c>
      <c r="B975" t="s">
        <v>11</v>
      </c>
      <c r="C975" t="s">
        <v>292</v>
      </c>
      <c r="D975">
        <v>4</v>
      </c>
      <c r="E975" s="123">
        <v>41187.22</v>
      </c>
      <c r="F975">
        <v>2</v>
      </c>
    </row>
    <row r="976" spans="1:6" hidden="1" x14ac:dyDescent="0.25">
      <c r="A976" t="s">
        <v>2004</v>
      </c>
      <c r="B976" t="s">
        <v>10</v>
      </c>
      <c r="C976" t="s">
        <v>698</v>
      </c>
      <c r="D976">
        <v>2</v>
      </c>
      <c r="E976" s="123">
        <v>8919</v>
      </c>
      <c r="F976">
        <v>1</v>
      </c>
    </row>
    <row r="977" spans="1:6" hidden="1" x14ac:dyDescent="0.25">
      <c r="A977" t="s">
        <v>2004</v>
      </c>
      <c r="B977" t="s">
        <v>47</v>
      </c>
      <c r="C977" t="s">
        <v>65</v>
      </c>
      <c r="D977">
        <v>2</v>
      </c>
      <c r="E977" s="123">
        <v>11602</v>
      </c>
      <c r="F977">
        <v>1</v>
      </c>
    </row>
    <row r="978" spans="1:6" hidden="1" x14ac:dyDescent="0.25">
      <c r="A978" t="s">
        <v>2004</v>
      </c>
      <c r="B978" t="s">
        <v>10</v>
      </c>
      <c r="C978" t="s">
        <v>965</v>
      </c>
      <c r="D978">
        <v>2</v>
      </c>
      <c r="E978" s="123">
        <v>11661.34</v>
      </c>
      <c r="F978">
        <v>1</v>
      </c>
    </row>
    <row r="979" spans="1:6" hidden="1" x14ac:dyDescent="0.25">
      <c r="A979" t="s">
        <v>2004</v>
      </c>
      <c r="B979" t="s">
        <v>47</v>
      </c>
      <c r="C979" t="s">
        <v>456</v>
      </c>
      <c r="D979">
        <v>2</v>
      </c>
      <c r="E979" s="123">
        <v>15770.99</v>
      </c>
      <c r="F979">
        <v>1</v>
      </c>
    </row>
    <row r="980" spans="1:6" hidden="1" x14ac:dyDescent="0.25">
      <c r="A980" t="s">
        <v>2006</v>
      </c>
      <c r="B980" t="s">
        <v>11</v>
      </c>
      <c r="C980" t="s">
        <v>16</v>
      </c>
      <c r="D980">
        <v>3</v>
      </c>
      <c r="E980" s="123">
        <v>27393.78</v>
      </c>
      <c r="F980">
        <v>3</v>
      </c>
    </row>
    <row r="981" spans="1:6" hidden="1" x14ac:dyDescent="0.25">
      <c r="A981" t="s">
        <v>2006</v>
      </c>
      <c r="B981" t="s">
        <v>11</v>
      </c>
      <c r="C981" t="s">
        <v>84</v>
      </c>
      <c r="D981">
        <v>4</v>
      </c>
      <c r="E981" s="123">
        <v>7174.24</v>
      </c>
      <c r="F981">
        <v>4</v>
      </c>
    </row>
    <row r="982" spans="1:6" hidden="1" x14ac:dyDescent="0.25">
      <c r="A982" t="s">
        <v>2004</v>
      </c>
      <c r="B982" t="s">
        <v>10</v>
      </c>
      <c r="C982" t="s">
        <v>74</v>
      </c>
      <c r="D982">
        <v>2</v>
      </c>
      <c r="E982" s="123">
        <v>18530</v>
      </c>
      <c r="F982">
        <v>1</v>
      </c>
    </row>
    <row r="983" spans="1:6" hidden="1" x14ac:dyDescent="0.25">
      <c r="A983" t="s">
        <v>2005</v>
      </c>
      <c r="B983" t="s">
        <v>11</v>
      </c>
      <c r="C983" t="s">
        <v>336</v>
      </c>
      <c r="D983">
        <v>1</v>
      </c>
      <c r="E983" s="123">
        <v>0</v>
      </c>
      <c r="F983">
        <v>1</v>
      </c>
    </row>
    <row r="984" spans="1:6" hidden="1" x14ac:dyDescent="0.25">
      <c r="A984" t="s">
        <v>2005</v>
      </c>
      <c r="B984" t="s">
        <v>11</v>
      </c>
      <c r="C984" t="s">
        <v>63</v>
      </c>
      <c r="D984">
        <v>1</v>
      </c>
      <c r="E984" s="123">
        <v>1300</v>
      </c>
      <c r="F984">
        <v>1</v>
      </c>
    </row>
    <row r="985" spans="1:6" hidden="1" x14ac:dyDescent="0.25">
      <c r="A985" t="s">
        <v>2004</v>
      </c>
      <c r="B985" t="s">
        <v>47</v>
      </c>
      <c r="C985" t="s">
        <v>1017</v>
      </c>
      <c r="D985">
        <v>2</v>
      </c>
      <c r="E985" s="123">
        <v>34235.990000000013</v>
      </c>
      <c r="F985">
        <v>1</v>
      </c>
    </row>
    <row r="986" spans="1:6" hidden="1" x14ac:dyDescent="0.25">
      <c r="A986" t="s">
        <v>2005</v>
      </c>
      <c r="B986" t="s">
        <v>11</v>
      </c>
      <c r="C986" t="s">
        <v>68</v>
      </c>
      <c r="D986">
        <v>1</v>
      </c>
      <c r="E986" s="123">
        <v>1300</v>
      </c>
      <c r="F986">
        <v>1</v>
      </c>
    </row>
    <row r="987" spans="1:6" hidden="1" x14ac:dyDescent="0.25">
      <c r="A987" t="s">
        <v>2005</v>
      </c>
      <c r="B987" t="s">
        <v>11</v>
      </c>
      <c r="C987" t="s">
        <v>54</v>
      </c>
      <c r="D987">
        <v>1</v>
      </c>
      <c r="E987" s="123">
        <v>1300</v>
      </c>
      <c r="F987">
        <v>1</v>
      </c>
    </row>
    <row r="988" spans="1:6" hidden="1" x14ac:dyDescent="0.25">
      <c r="A988" t="s">
        <v>2005</v>
      </c>
      <c r="B988" t="s">
        <v>11</v>
      </c>
      <c r="C988" t="s">
        <v>446</v>
      </c>
      <c r="D988">
        <v>1</v>
      </c>
      <c r="E988" s="123">
        <v>1584</v>
      </c>
      <c r="F988">
        <v>1</v>
      </c>
    </row>
    <row r="989" spans="1:6" hidden="1" x14ac:dyDescent="0.25">
      <c r="A989" t="s">
        <v>2005</v>
      </c>
      <c r="B989" t="s">
        <v>11</v>
      </c>
      <c r="C989" t="s">
        <v>592</v>
      </c>
      <c r="D989">
        <v>1</v>
      </c>
      <c r="E989" s="123">
        <v>1882</v>
      </c>
      <c r="F989">
        <v>1</v>
      </c>
    </row>
    <row r="990" spans="1:6" hidden="1" x14ac:dyDescent="0.25">
      <c r="A990" t="s">
        <v>2004</v>
      </c>
      <c r="B990" t="s">
        <v>10</v>
      </c>
      <c r="C990" t="s">
        <v>895</v>
      </c>
      <c r="D990">
        <v>2</v>
      </c>
      <c r="E990" s="123">
        <v>3721.76</v>
      </c>
      <c r="F990">
        <v>2</v>
      </c>
    </row>
    <row r="991" spans="1:6" hidden="1" x14ac:dyDescent="0.25">
      <c r="A991" t="s">
        <v>2005</v>
      </c>
      <c r="B991" t="s">
        <v>11</v>
      </c>
      <c r="C991" t="s">
        <v>43</v>
      </c>
      <c r="D991">
        <v>1</v>
      </c>
      <c r="E991" s="123">
        <v>1938</v>
      </c>
      <c r="F991">
        <v>1</v>
      </c>
    </row>
    <row r="992" spans="1:6" x14ac:dyDescent="0.25">
      <c r="A992" t="s">
        <v>2004</v>
      </c>
      <c r="B992" t="s">
        <v>17</v>
      </c>
      <c r="C992" t="s">
        <v>572</v>
      </c>
      <c r="D992">
        <v>2</v>
      </c>
      <c r="E992" s="123">
        <v>5850</v>
      </c>
      <c r="F992">
        <v>2</v>
      </c>
    </row>
    <row r="993" spans="1:6" x14ac:dyDescent="0.25">
      <c r="A993" t="s">
        <v>2004</v>
      </c>
      <c r="B993" t="s">
        <v>17</v>
      </c>
      <c r="C993" t="s">
        <v>28</v>
      </c>
      <c r="D993">
        <v>2</v>
      </c>
      <c r="E993" s="123">
        <v>6343.2</v>
      </c>
      <c r="F993">
        <v>2</v>
      </c>
    </row>
    <row r="994" spans="1:6" hidden="1" x14ac:dyDescent="0.25">
      <c r="A994" t="s">
        <v>2004</v>
      </c>
      <c r="B994" t="s">
        <v>10</v>
      </c>
      <c r="C994" t="s">
        <v>161</v>
      </c>
      <c r="D994">
        <v>2</v>
      </c>
      <c r="E994" s="123">
        <v>6702</v>
      </c>
      <c r="F994">
        <v>2</v>
      </c>
    </row>
    <row r="995" spans="1:6" hidden="1" x14ac:dyDescent="0.25">
      <c r="A995" t="s">
        <v>2005</v>
      </c>
      <c r="B995" t="s">
        <v>11</v>
      </c>
      <c r="C995" t="s">
        <v>721</v>
      </c>
      <c r="D995">
        <v>1</v>
      </c>
      <c r="E995" s="123">
        <v>2117.8000000000002</v>
      </c>
      <c r="F995">
        <v>1</v>
      </c>
    </row>
    <row r="996" spans="1:6" hidden="1" x14ac:dyDescent="0.25">
      <c r="A996" t="s">
        <v>2005</v>
      </c>
      <c r="B996" t="s">
        <v>11</v>
      </c>
      <c r="C996" t="s">
        <v>253</v>
      </c>
      <c r="D996">
        <v>1</v>
      </c>
      <c r="E996" s="123">
        <v>2126</v>
      </c>
      <c r="F996">
        <v>1</v>
      </c>
    </row>
    <row r="997" spans="1:6" x14ac:dyDescent="0.25">
      <c r="A997" t="s">
        <v>2004</v>
      </c>
      <c r="B997" t="s">
        <v>17</v>
      </c>
      <c r="C997" t="s">
        <v>74</v>
      </c>
      <c r="D997">
        <v>2</v>
      </c>
      <c r="E997" s="123">
        <v>10021</v>
      </c>
      <c r="F997">
        <v>2</v>
      </c>
    </row>
    <row r="998" spans="1:6" hidden="1" x14ac:dyDescent="0.25">
      <c r="A998" t="s">
        <v>2004</v>
      </c>
      <c r="B998" t="s">
        <v>10</v>
      </c>
      <c r="C998" t="s">
        <v>855</v>
      </c>
      <c r="D998">
        <v>2</v>
      </c>
      <c r="E998" s="123">
        <v>12044</v>
      </c>
      <c r="F998">
        <v>2</v>
      </c>
    </row>
    <row r="999" spans="1:6" hidden="1" x14ac:dyDescent="0.25">
      <c r="A999" t="s">
        <v>2005</v>
      </c>
      <c r="B999" t="s">
        <v>11</v>
      </c>
      <c r="C999" t="s">
        <v>431</v>
      </c>
      <c r="D999">
        <v>1</v>
      </c>
      <c r="E999" s="123">
        <v>2274</v>
      </c>
      <c r="F999">
        <v>1</v>
      </c>
    </row>
    <row r="1000" spans="1:6" x14ac:dyDescent="0.25">
      <c r="A1000" t="s">
        <v>2004</v>
      </c>
      <c r="B1000" t="s">
        <v>17</v>
      </c>
      <c r="C1000" t="s">
        <v>712</v>
      </c>
      <c r="D1000">
        <v>2</v>
      </c>
      <c r="E1000" s="123">
        <v>16234.35</v>
      </c>
      <c r="F1000">
        <v>2</v>
      </c>
    </row>
    <row r="1001" spans="1:6" hidden="1" x14ac:dyDescent="0.25">
      <c r="A1001" t="s">
        <v>2005</v>
      </c>
      <c r="B1001" t="s">
        <v>11</v>
      </c>
      <c r="C1001" t="s">
        <v>78</v>
      </c>
      <c r="D1001">
        <v>1</v>
      </c>
      <c r="E1001" s="123">
        <v>2629.68</v>
      </c>
      <c r="F1001">
        <v>1</v>
      </c>
    </row>
    <row r="1002" spans="1:6" hidden="1" x14ac:dyDescent="0.25">
      <c r="A1002" t="s">
        <v>2005</v>
      </c>
      <c r="B1002" t="s">
        <v>11</v>
      </c>
      <c r="C1002" t="s">
        <v>747</v>
      </c>
      <c r="D1002">
        <v>1</v>
      </c>
      <c r="E1002" s="123">
        <v>2760</v>
      </c>
      <c r="F1002">
        <v>1</v>
      </c>
    </row>
    <row r="1003" spans="1:6" hidden="1" x14ac:dyDescent="0.25">
      <c r="A1003" t="s">
        <v>2005</v>
      </c>
      <c r="B1003" t="s">
        <v>11</v>
      </c>
      <c r="C1003" t="s">
        <v>345</v>
      </c>
      <c r="D1003">
        <v>1</v>
      </c>
      <c r="E1003" s="123">
        <v>2760</v>
      </c>
      <c r="F1003">
        <v>1</v>
      </c>
    </row>
    <row r="1004" spans="1:6" hidden="1" x14ac:dyDescent="0.25">
      <c r="A1004" t="s">
        <v>2005</v>
      </c>
      <c r="B1004" t="s">
        <v>11</v>
      </c>
      <c r="C1004" t="s">
        <v>782</v>
      </c>
      <c r="D1004">
        <v>1</v>
      </c>
      <c r="E1004" s="123">
        <v>2790</v>
      </c>
      <c r="F1004">
        <v>1</v>
      </c>
    </row>
    <row r="1005" spans="1:6" hidden="1" x14ac:dyDescent="0.25">
      <c r="A1005" t="s">
        <v>2005</v>
      </c>
      <c r="B1005" t="s">
        <v>11</v>
      </c>
      <c r="C1005" t="s">
        <v>444</v>
      </c>
      <c r="D1005">
        <v>1</v>
      </c>
      <c r="E1005" s="123">
        <v>2936</v>
      </c>
      <c r="F1005">
        <v>1</v>
      </c>
    </row>
    <row r="1006" spans="1:6" hidden="1" x14ac:dyDescent="0.25">
      <c r="A1006" t="s">
        <v>2005</v>
      </c>
      <c r="B1006" t="s">
        <v>11</v>
      </c>
      <c r="C1006" t="s">
        <v>839</v>
      </c>
      <c r="D1006">
        <v>1</v>
      </c>
      <c r="E1006" s="123">
        <v>3183</v>
      </c>
      <c r="F1006">
        <v>1</v>
      </c>
    </row>
    <row r="1007" spans="1:6" x14ac:dyDescent="0.25">
      <c r="A1007" t="s">
        <v>2003</v>
      </c>
      <c r="B1007" t="s">
        <v>17</v>
      </c>
      <c r="C1007" t="s">
        <v>895</v>
      </c>
      <c r="D1007">
        <v>2</v>
      </c>
      <c r="E1007" s="123">
        <v>434</v>
      </c>
      <c r="F1007">
        <v>1</v>
      </c>
    </row>
    <row r="1008" spans="1:6" hidden="1" x14ac:dyDescent="0.25">
      <c r="A1008" t="s">
        <v>2005</v>
      </c>
      <c r="B1008" t="s">
        <v>11</v>
      </c>
      <c r="C1008" t="s">
        <v>90</v>
      </c>
      <c r="D1008">
        <v>1</v>
      </c>
      <c r="E1008" s="123">
        <v>3446</v>
      </c>
      <c r="F1008">
        <v>1</v>
      </c>
    </row>
    <row r="1009" spans="1:6" x14ac:dyDescent="0.25">
      <c r="A1009" t="s">
        <v>2003</v>
      </c>
      <c r="B1009" t="s">
        <v>17</v>
      </c>
      <c r="C1009" t="s">
        <v>1248</v>
      </c>
      <c r="D1009">
        <v>2</v>
      </c>
      <c r="E1009" s="123">
        <v>2736</v>
      </c>
      <c r="F1009">
        <v>1</v>
      </c>
    </row>
    <row r="1010" spans="1:6" hidden="1" x14ac:dyDescent="0.25">
      <c r="A1010" t="s">
        <v>2005</v>
      </c>
      <c r="B1010" t="s">
        <v>11</v>
      </c>
      <c r="C1010" t="s">
        <v>763</v>
      </c>
      <c r="D1010">
        <v>1</v>
      </c>
      <c r="E1010" s="123">
        <v>3577.99</v>
      </c>
      <c r="F1010">
        <v>1</v>
      </c>
    </row>
    <row r="1011" spans="1:6" x14ac:dyDescent="0.25">
      <c r="A1011" t="s">
        <v>2003</v>
      </c>
      <c r="B1011" t="s">
        <v>17</v>
      </c>
      <c r="C1011" t="s">
        <v>1374</v>
      </c>
      <c r="D1011">
        <v>2</v>
      </c>
      <c r="E1011" s="123">
        <v>3770.16</v>
      </c>
      <c r="F1011">
        <v>1</v>
      </c>
    </row>
    <row r="1012" spans="1:6" hidden="1" x14ac:dyDescent="0.25">
      <c r="A1012" t="s">
        <v>2003</v>
      </c>
      <c r="B1012" t="s">
        <v>47</v>
      </c>
      <c r="C1012" t="s">
        <v>1177</v>
      </c>
      <c r="D1012">
        <v>2</v>
      </c>
      <c r="E1012" s="123">
        <v>5355</v>
      </c>
      <c r="F1012">
        <v>1</v>
      </c>
    </row>
    <row r="1013" spans="1:6" x14ac:dyDescent="0.25">
      <c r="A1013" t="s">
        <v>2003</v>
      </c>
      <c r="B1013" t="s">
        <v>17</v>
      </c>
      <c r="C1013" t="s">
        <v>1209</v>
      </c>
      <c r="D1013">
        <v>2</v>
      </c>
      <c r="E1013" s="123">
        <v>5742.28</v>
      </c>
      <c r="F1013">
        <v>1</v>
      </c>
    </row>
    <row r="1014" spans="1:6" x14ac:dyDescent="0.25">
      <c r="A1014" t="s">
        <v>2003</v>
      </c>
      <c r="B1014" t="s">
        <v>17</v>
      </c>
      <c r="C1014" t="s">
        <v>274</v>
      </c>
      <c r="D1014">
        <v>2</v>
      </c>
      <c r="E1014" s="123">
        <v>5884</v>
      </c>
      <c r="F1014">
        <v>1</v>
      </c>
    </row>
    <row r="1015" spans="1:6" x14ac:dyDescent="0.25">
      <c r="A1015" t="s">
        <v>2003</v>
      </c>
      <c r="B1015" t="s">
        <v>17</v>
      </c>
      <c r="C1015" t="s">
        <v>1275</v>
      </c>
      <c r="D1015">
        <v>2</v>
      </c>
      <c r="E1015" s="123">
        <v>5932.12</v>
      </c>
      <c r="F1015">
        <v>1</v>
      </c>
    </row>
    <row r="1016" spans="1:6" x14ac:dyDescent="0.25">
      <c r="A1016" t="s">
        <v>2003</v>
      </c>
      <c r="B1016" t="s">
        <v>17</v>
      </c>
      <c r="C1016" t="s">
        <v>480</v>
      </c>
      <c r="D1016">
        <v>2</v>
      </c>
      <c r="E1016" s="123">
        <v>6322.23</v>
      </c>
      <c r="F1016">
        <v>1</v>
      </c>
    </row>
    <row r="1017" spans="1:6" hidden="1" x14ac:dyDescent="0.25">
      <c r="A1017" t="s">
        <v>2005</v>
      </c>
      <c r="B1017" t="s">
        <v>11</v>
      </c>
      <c r="C1017" t="s">
        <v>115</v>
      </c>
      <c r="D1017">
        <v>1</v>
      </c>
      <c r="E1017" s="123">
        <v>3708</v>
      </c>
      <c r="F1017">
        <v>1</v>
      </c>
    </row>
    <row r="1018" spans="1:6" x14ac:dyDescent="0.25">
      <c r="A1018" t="s">
        <v>2003</v>
      </c>
      <c r="B1018" t="s">
        <v>17</v>
      </c>
      <c r="C1018" t="s">
        <v>1369</v>
      </c>
      <c r="D1018">
        <v>2</v>
      </c>
      <c r="E1018" s="123">
        <v>6874</v>
      </c>
      <c r="F1018">
        <v>1</v>
      </c>
    </row>
    <row r="1019" spans="1:6" hidden="1" x14ac:dyDescent="0.25">
      <c r="A1019" t="s">
        <v>2003</v>
      </c>
      <c r="B1019" t="s">
        <v>10</v>
      </c>
      <c r="C1019" t="s">
        <v>480</v>
      </c>
      <c r="D1019">
        <v>2</v>
      </c>
      <c r="E1019" s="123">
        <v>7175.27</v>
      </c>
      <c r="F1019">
        <v>1</v>
      </c>
    </row>
    <row r="1020" spans="1:6" x14ac:dyDescent="0.25">
      <c r="A1020" t="s">
        <v>2003</v>
      </c>
      <c r="B1020" t="s">
        <v>17</v>
      </c>
      <c r="C1020" t="s">
        <v>514</v>
      </c>
      <c r="D1020">
        <v>2</v>
      </c>
      <c r="E1020" s="123">
        <v>8377.83</v>
      </c>
      <c r="F1020">
        <v>1</v>
      </c>
    </row>
    <row r="1021" spans="1:6" hidden="1" x14ac:dyDescent="0.25">
      <c r="A1021" t="s">
        <v>2005</v>
      </c>
      <c r="B1021" t="s">
        <v>11</v>
      </c>
      <c r="C1021" t="s">
        <v>58</v>
      </c>
      <c r="D1021">
        <v>1</v>
      </c>
      <c r="E1021" s="123">
        <v>4077.92</v>
      </c>
      <c r="F1021">
        <v>1</v>
      </c>
    </row>
    <row r="1022" spans="1:6" x14ac:dyDescent="0.25">
      <c r="A1022" t="s">
        <v>2003</v>
      </c>
      <c r="B1022" t="s">
        <v>17</v>
      </c>
      <c r="C1022" t="s">
        <v>798</v>
      </c>
      <c r="D1022">
        <v>2</v>
      </c>
      <c r="E1022" s="123">
        <v>9564</v>
      </c>
      <c r="F1022">
        <v>1</v>
      </c>
    </row>
    <row r="1023" spans="1:6" hidden="1" x14ac:dyDescent="0.25">
      <c r="A1023" t="s">
        <v>2003</v>
      </c>
      <c r="B1023" t="s">
        <v>10</v>
      </c>
      <c r="C1023" t="s">
        <v>105</v>
      </c>
      <c r="D1023">
        <v>2</v>
      </c>
      <c r="E1023" s="123">
        <v>9951.9699999999993</v>
      </c>
      <c r="F1023">
        <v>1</v>
      </c>
    </row>
    <row r="1024" spans="1:6" hidden="1" x14ac:dyDescent="0.25">
      <c r="A1024" t="s">
        <v>2003</v>
      </c>
      <c r="B1024" t="s">
        <v>10</v>
      </c>
      <c r="C1024" t="s">
        <v>1087</v>
      </c>
      <c r="D1024">
        <v>2</v>
      </c>
      <c r="E1024" s="123">
        <v>10080.86</v>
      </c>
      <c r="F1024">
        <v>1</v>
      </c>
    </row>
    <row r="1025" spans="1:6" hidden="1" x14ac:dyDescent="0.25">
      <c r="A1025" t="s">
        <v>2003</v>
      </c>
      <c r="B1025" t="s">
        <v>47</v>
      </c>
      <c r="C1025" t="s">
        <v>1411</v>
      </c>
      <c r="D1025">
        <v>2</v>
      </c>
      <c r="E1025" s="123">
        <v>10550</v>
      </c>
      <c r="F1025">
        <v>1</v>
      </c>
    </row>
    <row r="1026" spans="1:6" hidden="1" x14ac:dyDescent="0.25">
      <c r="A1026" t="s">
        <v>2003</v>
      </c>
      <c r="B1026" t="s">
        <v>47</v>
      </c>
      <c r="C1026" t="s">
        <v>1373</v>
      </c>
      <c r="D1026">
        <v>2</v>
      </c>
      <c r="E1026" s="123">
        <v>12232.99</v>
      </c>
      <c r="F1026">
        <v>1</v>
      </c>
    </row>
    <row r="1027" spans="1:6" hidden="1" x14ac:dyDescent="0.25">
      <c r="A1027" t="s">
        <v>2003</v>
      </c>
      <c r="B1027" t="s">
        <v>47</v>
      </c>
      <c r="C1027" t="s">
        <v>1233</v>
      </c>
      <c r="D1027">
        <v>2</v>
      </c>
      <c r="E1027" s="123">
        <v>12664.08</v>
      </c>
      <c r="F1027">
        <v>1</v>
      </c>
    </row>
    <row r="1028" spans="1:6" hidden="1" x14ac:dyDescent="0.25">
      <c r="A1028" t="s">
        <v>2003</v>
      </c>
      <c r="B1028" t="s">
        <v>47</v>
      </c>
      <c r="C1028" t="s">
        <v>1369</v>
      </c>
      <c r="D1028">
        <v>2</v>
      </c>
      <c r="E1028" s="123">
        <v>12702</v>
      </c>
      <c r="F1028">
        <v>1</v>
      </c>
    </row>
    <row r="1029" spans="1:6" hidden="1" x14ac:dyDescent="0.25">
      <c r="A1029" t="s">
        <v>2005</v>
      </c>
      <c r="B1029" t="s">
        <v>11</v>
      </c>
      <c r="C1029" t="s">
        <v>648</v>
      </c>
      <c r="D1029">
        <v>1</v>
      </c>
      <c r="E1029" s="123">
        <v>4506.2</v>
      </c>
      <c r="F1029">
        <v>1</v>
      </c>
    </row>
    <row r="1030" spans="1:6" hidden="1" x14ac:dyDescent="0.25">
      <c r="A1030" t="s">
        <v>2003</v>
      </c>
      <c r="B1030" t="s">
        <v>47</v>
      </c>
      <c r="C1030" t="s">
        <v>778</v>
      </c>
      <c r="D1030">
        <v>2</v>
      </c>
      <c r="E1030" s="123">
        <v>15313</v>
      </c>
      <c r="F1030">
        <v>1</v>
      </c>
    </row>
    <row r="1031" spans="1:6" hidden="1" x14ac:dyDescent="0.25">
      <c r="A1031" t="s">
        <v>2005</v>
      </c>
      <c r="B1031" t="s">
        <v>11</v>
      </c>
      <c r="C1031" t="s">
        <v>825</v>
      </c>
      <c r="D1031">
        <v>1</v>
      </c>
      <c r="E1031" s="123">
        <v>4590</v>
      </c>
      <c r="F1031">
        <v>1</v>
      </c>
    </row>
    <row r="1032" spans="1:6" hidden="1" x14ac:dyDescent="0.25">
      <c r="A1032" t="s">
        <v>2003</v>
      </c>
      <c r="B1032" t="s">
        <v>47</v>
      </c>
      <c r="C1032" t="s">
        <v>518</v>
      </c>
      <c r="D1032">
        <v>2</v>
      </c>
      <c r="E1032" s="123">
        <v>15624.82</v>
      </c>
      <c r="F1032">
        <v>1</v>
      </c>
    </row>
    <row r="1033" spans="1:6" hidden="1" x14ac:dyDescent="0.25">
      <c r="A1033" t="s">
        <v>2005</v>
      </c>
      <c r="B1033" t="s">
        <v>11</v>
      </c>
      <c r="C1033" t="s">
        <v>187</v>
      </c>
      <c r="D1033">
        <v>1</v>
      </c>
      <c r="E1033" s="123">
        <v>4784.3999999999996</v>
      </c>
      <c r="F1033">
        <v>1</v>
      </c>
    </row>
    <row r="1034" spans="1:6" hidden="1" x14ac:dyDescent="0.25">
      <c r="A1034" t="s">
        <v>2005</v>
      </c>
      <c r="B1034" t="s">
        <v>11</v>
      </c>
      <c r="C1034" t="s">
        <v>14</v>
      </c>
      <c r="D1034">
        <v>1</v>
      </c>
      <c r="E1034" s="123">
        <v>6263</v>
      </c>
      <c r="F1034">
        <v>1</v>
      </c>
    </row>
    <row r="1035" spans="1:6" hidden="1" x14ac:dyDescent="0.25">
      <c r="A1035" t="s">
        <v>2003</v>
      </c>
      <c r="B1035" t="s">
        <v>47</v>
      </c>
      <c r="C1035" t="s">
        <v>1433</v>
      </c>
      <c r="D1035">
        <v>2</v>
      </c>
      <c r="E1035" s="123">
        <v>18973</v>
      </c>
      <c r="F1035">
        <v>1</v>
      </c>
    </row>
    <row r="1036" spans="1:6" hidden="1" x14ac:dyDescent="0.25">
      <c r="A1036" t="s">
        <v>2005</v>
      </c>
      <c r="B1036" t="s">
        <v>11</v>
      </c>
      <c r="C1036" t="s">
        <v>753</v>
      </c>
      <c r="D1036">
        <v>1</v>
      </c>
      <c r="E1036" s="123">
        <v>6475.92</v>
      </c>
      <c r="F1036">
        <v>1</v>
      </c>
    </row>
    <row r="1037" spans="1:6" hidden="1" x14ac:dyDescent="0.25">
      <c r="A1037" t="s">
        <v>2003</v>
      </c>
      <c r="B1037" t="s">
        <v>47</v>
      </c>
      <c r="C1037" t="s">
        <v>624</v>
      </c>
      <c r="D1037">
        <v>2</v>
      </c>
      <c r="E1037" s="123">
        <v>29163.47</v>
      </c>
      <c r="F1037">
        <v>1</v>
      </c>
    </row>
    <row r="1038" spans="1:6" hidden="1" x14ac:dyDescent="0.25">
      <c r="A1038" t="s">
        <v>2005</v>
      </c>
      <c r="B1038" t="s">
        <v>11</v>
      </c>
      <c r="C1038" t="s">
        <v>117</v>
      </c>
      <c r="D1038">
        <v>1</v>
      </c>
      <c r="E1038" s="123">
        <v>6960</v>
      </c>
      <c r="F1038">
        <v>1</v>
      </c>
    </row>
    <row r="1039" spans="1:6" hidden="1" x14ac:dyDescent="0.25">
      <c r="A1039" t="s">
        <v>2005</v>
      </c>
      <c r="B1039" t="s">
        <v>11</v>
      </c>
      <c r="C1039" t="s">
        <v>637</v>
      </c>
      <c r="D1039">
        <v>1</v>
      </c>
      <c r="E1039" s="123">
        <v>9323.32</v>
      </c>
      <c r="F1039">
        <v>1</v>
      </c>
    </row>
    <row r="1040" spans="1:6" hidden="1" x14ac:dyDescent="0.25">
      <c r="A1040" t="s">
        <v>2005</v>
      </c>
      <c r="B1040" t="s">
        <v>11</v>
      </c>
      <c r="C1040" t="s">
        <v>635</v>
      </c>
      <c r="D1040">
        <v>1</v>
      </c>
      <c r="E1040" s="123">
        <v>9677</v>
      </c>
      <c r="F1040">
        <v>1</v>
      </c>
    </row>
    <row r="1041" spans="1:6" hidden="1" x14ac:dyDescent="0.25">
      <c r="A1041" t="s">
        <v>2005</v>
      </c>
      <c r="B1041" t="s">
        <v>11</v>
      </c>
      <c r="C1041" t="s">
        <v>578</v>
      </c>
      <c r="D1041">
        <v>1</v>
      </c>
      <c r="E1041" s="123">
        <v>14107.63</v>
      </c>
      <c r="F1041">
        <v>1</v>
      </c>
    </row>
    <row r="1042" spans="1:6" hidden="1" x14ac:dyDescent="0.25">
      <c r="A1042" t="s">
        <v>2003</v>
      </c>
      <c r="B1042" t="s">
        <v>47</v>
      </c>
      <c r="C1042" t="s">
        <v>208</v>
      </c>
      <c r="D1042">
        <v>2</v>
      </c>
      <c r="E1042" s="123">
        <v>4896.32</v>
      </c>
      <c r="F1042">
        <v>2</v>
      </c>
    </row>
    <row r="1043" spans="1:6" hidden="1" x14ac:dyDescent="0.25">
      <c r="A1043" t="s">
        <v>2003</v>
      </c>
      <c r="B1043" t="s">
        <v>10</v>
      </c>
      <c r="C1043" t="s">
        <v>161</v>
      </c>
      <c r="D1043">
        <v>2</v>
      </c>
      <c r="E1043" s="123">
        <v>5200</v>
      </c>
      <c r="F1043">
        <v>2</v>
      </c>
    </row>
    <row r="1044" spans="1:6" hidden="1" x14ac:dyDescent="0.25">
      <c r="A1044" t="s">
        <v>2005</v>
      </c>
      <c r="B1044" t="s">
        <v>11</v>
      </c>
      <c r="C1044" t="s">
        <v>379</v>
      </c>
      <c r="D1044">
        <v>1</v>
      </c>
      <c r="E1044" s="123">
        <v>14928.99</v>
      </c>
      <c r="F1044">
        <v>1</v>
      </c>
    </row>
    <row r="1045" spans="1:6" hidden="1" x14ac:dyDescent="0.25">
      <c r="A1045" t="s">
        <v>2005</v>
      </c>
      <c r="B1045" t="s">
        <v>11</v>
      </c>
      <c r="C1045" t="s">
        <v>536</v>
      </c>
      <c r="D1045">
        <v>1</v>
      </c>
      <c r="E1045" s="123">
        <v>22950</v>
      </c>
      <c r="F1045">
        <v>1</v>
      </c>
    </row>
    <row r="1046" spans="1:6" hidden="1" x14ac:dyDescent="0.25">
      <c r="A1046" t="s">
        <v>2005</v>
      </c>
      <c r="B1046" t="s">
        <v>11</v>
      </c>
      <c r="C1046" t="s">
        <v>292</v>
      </c>
      <c r="D1046">
        <v>1</v>
      </c>
      <c r="E1046" s="123">
        <v>26783.41</v>
      </c>
      <c r="F1046">
        <v>1</v>
      </c>
    </row>
    <row r="1047" spans="1:6" hidden="1" x14ac:dyDescent="0.25">
      <c r="A1047" t="s">
        <v>2005</v>
      </c>
      <c r="B1047" t="s">
        <v>11</v>
      </c>
      <c r="C1047" t="s">
        <v>652</v>
      </c>
      <c r="D1047">
        <v>1</v>
      </c>
      <c r="E1047" s="123">
        <v>31202</v>
      </c>
      <c r="F1047">
        <v>1</v>
      </c>
    </row>
    <row r="1048" spans="1:6" hidden="1" x14ac:dyDescent="0.25">
      <c r="A1048" t="s">
        <v>2003</v>
      </c>
      <c r="B1048" t="s">
        <v>47</v>
      </c>
      <c r="C1048" t="s">
        <v>1413</v>
      </c>
      <c r="D1048">
        <v>2</v>
      </c>
      <c r="E1048" s="123">
        <v>9435</v>
      </c>
      <c r="F1048">
        <v>2</v>
      </c>
    </row>
    <row r="1049" spans="1:6" hidden="1" x14ac:dyDescent="0.25">
      <c r="A1049" t="s">
        <v>2005</v>
      </c>
      <c r="B1049" t="s">
        <v>11</v>
      </c>
      <c r="C1049" t="s">
        <v>143</v>
      </c>
      <c r="D1049">
        <v>1</v>
      </c>
      <c r="E1049" s="123">
        <v>32688.41</v>
      </c>
      <c r="F1049">
        <v>1</v>
      </c>
    </row>
    <row r="1050" spans="1:6" hidden="1" x14ac:dyDescent="0.25">
      <c r="A1050" t="s">
        <v>2005</v>
      </c>
      <c r="B1050" t="s">
        <v>11</v>
      </c>
      <c r="C1050" t="s">
        <v>506</v>
      </c>
      <c r="D1050">
        <v>1</v>
      </c>
      <c r="E1050" s="123">
        <v>34869.19</v>
      </c>
      <c r="F1050">
        <v>1</v>
      </c>
    </row>
    <row r="1051" spans="1:6" hidden="1" x14ac:dyDescent="0.25">
      <c r="A1051" t="s">
        <v>2004</v>
      </c>
      <c r="B1051" t="s">
        <v>11</v>
      </c>
      <c r="C1051" t="s">
        <v>465</v>
      </c>
      <c r="D1051">
        <v>1</v>
      </c>
      <c r="E1051" s="123">
        <v>964</v>
      </c>
      <c r="F1051">
        <v>1</v>
      </c>
    </row>
    <row r="1052" spans="1:6" x14ac:dyDescent="0.25">
      <c r="A1052" t="s">
        <v>2003</v>
      </c>
      <c r="B1052" t="s">
        <v>17</v>
      </c>
      <c r="C1052" t="s">
        <v>72</v>
      </c>
      <c r="D1052">
        <v>2</v>
      </c>
      <c r="E1052" s="123">
        <v>11155</v>
      </c>
      <c r="F1052">
        <v>2</v>
      </c>
    </row>
    <row r="1053" spans="1:6" hidden="1" x14ac:dyDescent="0.25">
      <c r="A1053" t="s">
        <v>2004</v>
      </c>
      <c r="B1053" t="s">
        <v>11</v>
      </c>
      <c r="C1053" t="s">
        <v>287</v>
      </c>
      <c r="D1053">
        <v>1</v>
      </c>
      <c r="E1053" s="123">
        <v>994.92</v>
      </c>
      <c r="F1053">
        <v>1</v>
      </c>
    </row>
    <row r="1054" spans="1:6" hidden="1" x14ac:dyDescent="0.25">
      <c r="A1054" t="s">
        <v>2004</v>
      </c>
      <c r="B1054" t="s">
        <v>11</v>
      </c>
      <c r="C1054" t="s">
        <v>458</v>
      </c>
      <c r="D1054">
        <v>1</v>
      </c>
      <c r="E1054" s="123">
        <v>1591.64</v>
      </c>
      <c r="F1054">
        <v>1</v>
      </c>
    </row>
    <row r="1055" spans="1:6" hidden="1" x14ac:dyDescent="0.25">
      <c r="A1055" t="s">
        <v>2004</v>
      </c>
      <c r="B1055" t="s">
        <v>11</v>
      </c>
      <c r="C1055" t="s">
        <v>163</v>
      </c>
      <c r="D1055">
        <v>1</v>
      </c>
      <c r="E1055" s="123">
        <v>1840</v>
      </c>
      <c r="F1055">
        <v>1</v>
      </c>
    </row>
    <row r="1056" spans="1:6" hidden="1" x14ac:dyDescent="0.25">
      <c r="A1056" t="s">
        <v>2003</v>
      </c>
      <c r="B1056" t="s">
        <v>10</v>
      </c>
      <c r="C1056" t="s">
        <v>688</v>
      </c>
      <c r="D1056">
        <v>2</v>
      </c>
      <c r="E1056" s="123">
        <v>14748</v>
      </c>
      <c r="F1056">
        <v>2</v>
      </c>
    </row>
    <row r="1057" spans="1:6" hidden="1" x14ac:dyDescent="0.25">
      <c r="A1057" t="s">
        <v>2003</v>
      </c>
      <c r="B1057" t="s">
        <v>10</v>
      </c>
      <c r="C1057" t="s">
        <v>1174</v>
      </c>
      <c r="D1057">
        <v>2</v>
      </c>
      <c r="E1057" s="123">
        <v>18377.919999999998</v>
      </c>
      <c r="F1057">
        <v>2</v>
      </c>
    </row>
    <row r="1058" spans="1:6" hidden="1" x14ac:dyDescent="0.25">
      <c r="A1058" t="s">
        <v>2004</v>
      </c>
      <c r="B1058" t="s">
        <v>11</v>
      </c>
      <c r="C1058" t="s">
        <v>1100</v>
      </c>
      <c r="D1058">
        <v>1</v>
      </c>
      <c r="E1058" s="123">
        <v>2020</v>
      </c>
      <c r="F1058">
        <v>1</v>
      </c>
    </row>
    <row r="1059" spans="1:6" hidden="1" x14ac:dyDescent="0.25">
      <c r="A1059" t="s">
        <v>2004</v>
      </c>
      <c r="B1059" t="s">
        <v>11</v>
      </c>
      <c r="C1059" t="s">
        <v>902</v>
      </c>
      <c r="D1059">
        <v>1</v>
      </c>
      <c r="E1059" s="123">
        <v>2070</v>
      </c>
      <c r="F1059">
        <v>1</v>
      </c>
    </row>
    <row r="1060" spans="1:6" hidden="1" x14ac:dyDescent="0.25">
      <c r="A1060" t="s">
        <v>2003</v>
      </c>
      <c r="B1060" t="s">
        <v>47</v>
      </c>
      <c r="C1060" t="s">
        <v>74</v>
      </c>
      <c r="D1060">
        <v>2</v>
      </c>
      <c r="E1060" s="123">
        <v>19780</v>
      </c>
      <c r="F1060">
        <v>2</v>
      </c>
    </row>
    <row r="1061" spans="1:6" hidden="1" x14ac:dyDescent="0.25">
      <c r="A1061" t="s">
        <v>2003</v>
      </c>
      <c r="B1061" t="s">
        <v>10</v>
      </c>
      <c r="C1061" t="s">
        <v>9</v>
      </c>
      <c r="D1061">
        <v>2</v>
      </c>
      <c r="E1061" s="123">
        <v>23953.97</v>
      </c>
      <c r="F1061">
        <v>2</v>
      </c>
    </row>
    <row r="1062" spans="1:6" hidden="1" x14ac:dyDescent="0.25">
      <c r="A1062" t="s">
        <v>2002</v>
      </c>
      <c r="B1062" t="s">
        <v>10</v>
      </c>
      <c r="C1062" t="s">
        <v>1486</v>
      </c>
      <c r="D1062">
        <v>2</v>
      </c>
      <c r="E1062" s="123">
        <v>658</v>
      </c>
      <c r="F1062">
        <v>1</v>
      </c>
    </row>
    <row r="1063" spans="1:6" hidden="1" x14ac:dyDescent="0.25">
      <c r="A1063" t="s">
        <v>2004</v>
      </c>
      <c r="B1063" t="s">
        <v>11</v>
      </c>
      <c r="C1063" t="s">
        <v>429</v>
      </c>
      <c r="D1063">
        <v>1</v>
      </c>
      <c r="E1063" s="123">
        <v>2251</v>
      </c>
      <c r="F1063">
        <v>1</v>
      </c>
    </row>
    <row r="1064" spans="1:6" x14ac:dyDescent="0.25">
      <c r="A1064" t="s">
        <v>2002</v>
      </c>
      <c r="B1064" t="s">
        <v>17</v>
      </c>
      <c r="C1064" t="s">
        <v>1260</v>
      </c>
      <c r="D1064">
        <v>2</v>
      </c>
      <c r="E1064" s="123">
        <v>958</v>
      </c>
      <c r="F1064">
        <v>1</v>
      </c>
    </row>
    <row r="1065" spans="1:6" hidden="1" x14ac:dyDescent="0.25">
      <c r="A1065" t="s">
        <v>2004</v>
      </c>
      <c r="B1065" t="s">
        <v>11</v>
      </c>
      <c r="C1065" t="s">
        <v>531</v>
      </c>
      <c r="D1065">
        <v>1</v>
      </c>
      <c r="E1065" s="123">
        <v>2326</v>
      </c>
      <c r="F1065">
        <v>1</v>
      </c>
    </row>
    <row r="1066" spans="1:6" hidden="1" x14ac:dyDescent="0.25">
      <c r="A1066" t="s">
        <v>2002</v>
      </c>
      <c r="B1066" t="s">
        <v>47</v>
      </c>
      <c r="C1066" t="s">
        <v>806</v>
      </c>
      <c r="D1066">
        <v>2</v>
      </c>
      <c r="E1066" s="123">
        <v>1547</v>
      </c>
      <c r="F1066">
        <v>1</v>
      </c>
    </row>
    <row r="1067" spans="1:6" hidden="1" x14ac:dyDescent="0.25">
      <c r="A1067" t="s">
        <v>2002</v>
      </c>
      <c r="B1067" t="s">
        <v>47</v>
      </c>
      <c r="C1067" t="s">
        <v>640</v>
      </c>
      <c r="D1067">
        <v>2</v>
      </c>
      <c r="E1067" s="123">
        <v>1576</v>
      </c>
      <c r="F1067">
        <v>1</v>
      </c>
    </row>
    <row r="1068" spans="1:6" hidden="1" x14ac:dyDescent="0.25">
      <c r="A1068" t="s">
        <v>2004</v>
      </c>
      <c r="B1068" t="s">
        <v>11</v>
      </c>
      <c r="C1068" t="s">
        <v>952</v>
      </c>
      <c r="D1068">
        <v>1</v>
      </c>
      <c r="E1068" s="123">
        <v>2347</v>
      </c>
      <c r="F1068">
        <v>1</v>
      </c>
    </row>
    <row r="1069" spans="1:6" x14ac:dyDescent="0.25">
      <c r="A1069" t="s">
        <v>2002</v>
      </c>
      <c r="B1069" t="s">
        <v>17</v>
      </c>
      <c r="C1069" t="s">
        <v>733</v>
      </c>
      <c r="D1069">
        <v>2</v>
      </c>
      <c r="E1069" s="123">
        <v>1841</v>
      </c>
      <c r="F1069">
        <v>1</v>
      </c>
    </row>
    <row r="1070" spans="1:6" hidden="1" x14ac:dyDescent="0.25">
      <c r="A1070" t="s">
        <v>2004</v>
      </c>
      <c r="B1070" t="s">
        <v>11</v>
      </c>
      <c r="C1070" t="s">
        <v>860</v>
      </c>
      <c r="D1070">
        <v>1</v>
      </c>
      <c r="E1070" s="123">
        <v>2466</v>
      </c>
      <c r="F1070">
        <v>1</v>
      </c>
    </row>
    <row r="1071" spans="1:6" hidden="1" x14ac:dyDescent="0.25">
      <c r="A1071" t="s">
        <v>2004</v>
      </c>
      <c r="B1071" t="s">
        <v>11</v>
      </c>
      <c r="C1071" t="s">
        <v>543</v>
      </c>
      <c r="D1071">
        <v>1</v>
      </c>
      <c r="E1071" s="123">
        <v>2770.16</v>
      </c>
      <c r="F1071">
        <v>1</v>
      </c>
    </row>
    <row r="1072" spans="1:6" hidden="1" x14ac:dyDescent="0.25">
      <c r="A1072" t="s">
        <v>2002</v>
      </c>
      <c r="B1072" t="s">
        <v>10</v>
      </c>
      <c r="C1072" t="s">
        <v>1669</v>
      </c>
      <c r="D1072">
        <v>2</v>
      </c>
      <c r="E1072" s="123">
        <v>2588</v>
      </c>
      <c r="F1072">
        <v>1</v>
      </c>
    </row>
    <row r="1073" spans="1:6" hidden="1" x14ac:dyDescent="0.25">
      <c r="A1073" t="s">
        <v>2002</v>
      </c>
      <c r="B1073" t="s">
        <v>47</v>
      </c>
      <c r="C1073" t="s">
        <v>702</v>
      </c>
      <c r="D1073">
        <v>2</v>
      </c>
      <c r="E1073" s="123">
        <v>2924.6</v>
      </c>
      <c r="F1073">
        <v>1</v>
      </c>
    </row>
    <row r="1074" spans="1:6" x14ac:dyDescent="0.25">
      <c r="A1074" t="s">
        <v>2002</v>
      </c>
      <c r="B1074" t="s">
        <v>17</v>
      </c>
      <c r="C1074" t="s">
        <v>1071</v>
      </c>
      <c r="D1074">
        <v>2</v>
      </c>
      <c r="E1074" s="123">
        <v>3148.6</v>
      </c>
      <c r="F1074">
        <v>1</v>
      </c>
    </row>
    <row r="1075" spans="1:6" hidden="1" x14ac:dyDescent="0.25">
      <c r="A1075" t="s">
        <v>2004</v>
      </c>
      <c r="B1075" t="s">
        <v>11</v>
      </c>
      <c r="C1075" t="s">
        <v>580</v>
      </c>
      <c r="D1075">
        <v>1</v>
      </c>
      <c r="E1075" s="123">
        <v>2811</v>
      </c>
      <c r="F1075">
        <v>1</v>
      </c>
    </row>
    <row r="1076" spans="1:6" hidden="1" x14ac:dyDescent="0.25">
      <c r="A1076" t="s">
        <v>2002</v>
      </c>
      <c r="B1076" t="s">
        <v>10</v>
      </c>
      <c r="C1076" t="s">
        <v>771</v>
      </c>
      <c r="D1076">
        <v>2</v>
      </c>
      <c r="E1076" s="123">
        <v>3382.91</v>
      </c>
      <c r="F1076">
        <v>1</v>
      </c>
    </row>
    <row r="1077" spans="1:6" hidden="1" x14ac:dyDescent="0.25">
      <c r="A1077" t="s">
        <v>2004</v>
      </c>
      <c r="B1077" t="s">
        <v>11</v>
      </c>
      <c r="C1077" t="s">
        <v>37</v>
      </c>
      <c r="D1077">
        <v>1</v>
      </c>
      <c r="E1077" s="123">
        <v>3085.44</v>
      </c>
      <c r="F1077">
        <v>1</v>
      </c>
    </row>
    <row r="1078" spans="1:6" hidden="1" x14ac:dyDescent="0.25">
      <c r="A1078" t="s">
        <v>2004</v>
      </c>
      <c r="B1078" t="s">
        <v>11</v>
      </c>
      <c r="C1078" t="s">
        <v>1120</v>
      </c>
      <c r="D1078">
        <v>1</v>
      </c>
      <c r="E1078" s="123">
        <v>3167</v>
      </c>
      <c r="F1078">
        <v>1</v>
      </c>
    </row>
    <row r="1079" spans="1:6" x14ac:dyDescent="0.25">
      <c r="A1079" t="s">
        <v>2002</v>
      </c>
      <c r="B1079" t="s">
        <v>17</v>
      </c>
      <c r="C1079" t="s">
        <v>1553</v>
      </c>
      <c r="D1079">
        <v>2</v>
      </c>
      <c r="E1079" s="123">
        <v>3584</v>
      </c>
      <c r="F1079">
        <v>1</v>
      </c>
    </row>
    <row r="1080" spans="1:6" hidden="1" x14ac:dyDescent="0.25">
      <c r="A1080" t="s">
        <v>2004</v>
      </c>
      <c r="B1080" t="s">
        <v>11</v>
      </c>
      <c r="C1080" t="s">
        <v>1082</v>
      </c>
      <c r="D1080">
        <v>1</v>
      </c>
      <c r="E1080" s="123">
        <v>3354</v>
      </c>
      <c r="F1080">
        <v>1</v>
      </c>
    </row>
    <row r="1081" spans="1:6" hidden="1" x14ac:dyDescent="0.25">
      <c r="A1081" t="s">
        <v>2002</v>
      </c>
      <c r="B1081" t="s">
        <v>10</v>
      </c>
      <c r="C1081" t="s">
        <v>514</v>
      </c>
      <c r="D1081">
        <v>2</v>
      </c>
      <c r="E1081" s="123">
        <v>3626</v>
      </c>
      <c r="F1081">
        <v>1</v>
      </c>
    </row>
    <row r="1082" spans="1:6" hidden="1" x14ac:dyDescent="0.25">
      <c r="A1082" t="s">
        <v>2004</v>
      </c>
      <c r="B1082" t="s">
        <v>11</v>
      </c>
      <c r="C1082" t="s">
        <v>1101</v>
      </c>
      <c r="D1082">
        <v>1</v>
      </c>
      <c r="E1082" s="123">
        <v>4530</v>
      </c>
      <c r="F1082">
        <v>1</v>
      </c>
    </row>
    <row r="1083" spans="1:6" hidden="1" x14ac:dyDescent="0.25">
      <c r="A1083" t="s">
        <v>2004</v>
      </c>
      <c r="B1083" t="s">
        <v>11</v>
      </c>
      <c r="C1083" t="s">
        <v>858</v>
      </c>
      <c r="D1083">
        <v>1</v>
      </c>
      <c r="E1083" s="123">
        <v>5035.32</v>
      </c>
      <c r="F1083">
        <v>1</v>
      </c>
    </row>
    <row r="1084" spans="1:6" hidden="1" x14ac:dyDescent="0.25">
      <c r="A1084" t="s">
        <v>2004</v>
      </c>
      <c r="B1084" t="s">
        <v>11</v>
      </c>
      <c r="C1084" t="s">
        <v>107</v>
      </c>
      <c r="D1084">
        <v>1</v>
      </c>
      <c r="E1084" s="123">
        <v>6452.02</v>
      </c>
      <c r="F1084">
        <v>1</v>
      </c>
    </row>
    <row r="1085" spans="1:6" hidden="1" x14ac:dyDescent="0.25">
      <c r="A1085" t="s">
        <v>2004</v>
      </c>
      <c r="B1085" t="s">
        <v>11</v>
      </c>
      <c r="C1085" t="s">
        <v>907</v>
      </c>
      <c r="D1085">
        <v>1</v>
      </c>
      <c r="E1085" s="123">
        <v>7024</v>
      </c>
      <c r="F1085">
        <v>1</v>
      </c>
    </row>
    <row r="1086" spans="1:6" hidden="1" x14ac:dyDescent="0.25">
      <c r="A1086" t="s">
        <v>2004</v>
      </c>
      <c r="B1086" t="s">
        <v>11</v>
      </c>
      <c r="C1086" t="s">
        <v>975</v>
      </c>
      <c r="D1086">
        <v>1</v>
      </c>
      <c r="E1086" s="123">
        <v>7266.55</v>
      </c>
      <c r="F1086">
        <v>1</v>
      </c>
    </row>
    <row r="1087" spans="1:6" hidden="1" x14ac:dyDescent="0.25">
      <c r="A1087" t="s">
        <v>2004</v>
      </c>
      <c r="B1087" t="s">
        <v>11</v>
      </c>
      <c r="C1087" t="s">
        <v>253</v>
      </c>
      <c r="D1087">
        <v>1</v>
      </c>
      <c r="E1087" s="123">
        <v>9002.24</v>
      </c>
      <c r="F1087">
        <v>1</v>
      </c>
    </row>
    <row r="1088" spans="1:6" hidden="1" x14ac:dyDescent="0.25">
      <c r="A1088" t="s">
        <v>2004</v>
      </c>
      <c r="B1088" t="s">
        <v>11</v>
      </c>
      <c r="C1088" t="s">
        <v>46</v>
      </c>
      <c r="D1088">
        <v>1</v>
      </c>
      <c r="E1088" s="123">
        <v>10219</v>
      </c>
      <c r="F1088">
        <v>1</v>
      </c>
    </row>
    <row r="1089" spans="1:6" hidden="1" x14ac:dyDescent="0.25">
      <c r="A1089" t="s">
        <v>2004</v>
      </c>
      <c r="B1089" t="s">
        <v>11</v>
      </c>
      <c r="C1089" t="s">
        <v>864</v>
      </c>
      <c r="D1089">
        <v>1</v>
      </c>
      <c r="E1089" s="123">
        <v>10446.98</v>
      </c>
      <c r="F1089">
        <v>1</v>
      </c>
    </row>
    <row r="1090" spans="1:6" hidden="1" x14ac:dyDescent="0.25">
      <c r="A1090" t="s">
        <v>2004</v>
      </c>
      <c r="B1090" t="s">
        <v>11</v>
      </c>
      <c r="C1090" t="s">
        <v>648</v>
      </c>
      <c r="D1090">
        <v>1</v>
      </c>
      <c r="E1090" s="123">
        <v>12089</v>
      </c>
      <c r="F1090">
        <v>1</v>
      </c>
    </row>
    <row r="1091" spans="1:6" hidden="1" x14ac:dyDescent="0.25">
      <c r="A1091" t="s">
        <v>2004</v>
      </c>
      <c r="B1091" t="s">
        <v>11</v>
      </c>
      <c r="C1091" t="s">
        <v>635</v>
      </c>
      <c r="D1091">
        <v>1</v>
      </c>
      <c r="E1091" s="123">
        <v>16348</v>
      </c>
      <c r="F1091">
        <v>1</v>
      </c>
    </row>
    <row r="1092" spans="1:6" hidden="1" x14ac:dyDescent="0.25">
      <c r="A1092" t="s">
        <v>2004</v>
      </c>
      <c r="B1092" t="s">
        <v>11</v>
      </c>
      <c r="C1092" t="s">
        <v>174</v>
      </c>
      <c r="D1092">
        <v>1</v>
      </c>
      <c r="E1092" s="123">
        <v>18125.990000000002</v>
      </c>
      <c r="F1092">
        <v>1</v>
      </c>
    </row>
    <row r="1093" spans="1:6" hidden="1" x14ac:dyDescent="0.25">
      <c r="A1093" t="s">
        <v>2004</v>
      </c>
      <c r="B1093" t="s">
        <v>11</v>
      </c>
      <c r="C1093" t="s">
        <v>1047</v>
      </c>
      <c r="D1093">
        <v>1</v>
      </c>
      <c r="E1093" s="123">
        <v>18833</v>
      </c>
      <c r="F1093">
        <v>1</v>
      </c>
    </row>
    <row r="1094" spans="1:6" hidden="1" x14ac:dyDescent="0.25">
      <c r="A1094" t="s">
        <v>2004</v>
      </c>
      <c r="B1094" t="s">
        <v>11</v>
      </c>
      <c r="C1094" t="s">
        <v>593</v>
      </c>
      <c r="D1094">
        <v>1</v>
      </c>
      <c r="E1094" s="123">
        <v>23735.11</v>
      </c>
      <c r="F1094">
        <v>1</v>
      </c>
    </row>
    <row r="1095" spans="1:6" hidden="1" x14ac:dyDescent="0.25">
      <c r="A1095" t="s">
        <v>2004</v>
      </c>
      <c r="B1095" t="s">
        <v>11</v>
      </c>
      <c r="C1095" t="s">
        <v>1044</v>
      </c>
      <c r="D1095">
        <v>1</v>
      </c>
      <c r="E1095" s="123">
        <v>29550</v>
      </c>
      <c r="F1095">
        <v>1</v>
      </c>
    </row>
    <row r="1096" spans="1:6" hidden="1" x14ac:dyDescent="0.25">
      <c r="A1096" t="s">
        <v>2004</v>
      </c>
      <c r="B1096" t="s">
        <v>11</v>
      </c>
      <c r="C1096" t="s">
        <v>1030</v>
      </c>
      <c r="D1096">
        <v>1</v>
      </c>
      <c r="E1096" s="123">
        <v>42603.11</v>
      </c>
      <c r="F1096">
        <v>1</v>
      </c>
    </row>
    <row r="1097" spans="1:6" x14ac:dyDescent="0.25">
      <c r="A1097" t="s">
        <v>2002</v>
      </c>
      <c r="B1097" t="s">
        <v>17</v>
      </c>
      <c r="C1097" t="s">
        <v>490</v>
      </c>
      <c r="D1097">
        <v>2</v>
      </c>
      <c r="E1097" s="123">
        <v>9443</v>
      </c>
      <c r="F1097">
        <v>1</v>
      </c>
    </row>
    <row r="1098" spans="1:6" hidden="1" x14ac:dyDescent="0.25">
      <c r="A1098" t="s">
        <v>2004</v>
      </c>
      <c r="B1098" t="s">
        <v>11</v>
      </c>
      <c r="C1098" t="s">
        <v>248</v>
      </c>
      <c r="D1098">
        <v>1</v>
      </c>
      <c r="E1098" s="123">
        <v>63156.82</v>
      </c>
      <c r="F1098">
        <v>1</v>
      </c>
    </row>
    <row r="1099" spans="1:6" hidden="1" x14ac:dyDescent="0.25">
      <c r="A1099" t="s">
        <v>2004</v>
      </c>
      <c r="B1099" t="s">
        <v>11</v>
      </c>
      <c r="C1099" t="s">
        <v>548</v>
      </c>
      <c r="D1099">
        <v>1</v>
      </c>
      <c r="E1099" s="123">
        <v>95140.71</v>
      </c>
      <c r="F1099">
        <v>1</v>
      </c>
    </row>
    <row r="1100" spans="1:6" hidden="1" x14ac:dyDescent="0.25">
      <c r="A1100" t="s">
        <v>2002</v>
      </c>
      <c r="B1100" t="s">
        <v>10</v>
      </c>
      <c r="C1100" t="s">
        <v>225</v>
      </c>
      <c r="D1100">
        <v>2</v>
      </c>
      <c r="E1100" s="123">
        <v>10605.51</v>
      </c>
      <c r="F1100">
        <v>1</v>
      </c>
    </row>
    <row r="1101" spans="1:6" hidden="1" x14ac:dyDescent="0.25">
      <c r="A1101" t="s">
        <v>2004</v>
      </c>
      <c r="B1101" t="s">
        <v>11</v>
      </c>
      <c r="C1101" t="s">
        <v>915</v>
      </c>
      <c r="D1101">
        <v>1</v>
      </c>
      <c r="E1101" s="123">
        <v>184285</v>
      </c>
      <c r="F1101">
        <v>1</v>
      </c>
    </row>
    <row r="1102" spans="1:6" hidden="1" x14ac:dyDescent="0.25">
      <c r="A1102" t="s">
        <v>2003</v>
      </c>
      <c r="B1102" t="s">
        <v>11</v>
      </c>
      <c r="C1102" t="s">
        <v>923</v>
      </c>
      <c r="D1102">
        <v>1</v>
      </c>
      <c r="E1102" s="123">
        <v>0</v>
      </c>
      <c r="F1102">
        <v>1</v>
      </c>
    </row>
    <row r="1103" spans="1:6" hidden="1" x14ac:dyDescent="0.25">
      <c r="A1103" t="s">
        <v>2003</v>
      </c>
      <c r="B1103" t="s">
        <v>11</v>
      </c>
      <c r="C1103" t="s">
        <v>167</v>
      </c>
      <c r="D1103">
        <v>1</v>
      </c>
      <c r="E1103" s="123">
        <v>821.96</v>
      </c>
      <c r="F1103">
        <v>1</v>
      </c>
    </row>
    <row r="1104" spans="1:6" hidden="1" x14ac:dyDescent="0.25">
      <c r="A1104" t="s">
        <v>2002</v>
      </c>
      <c r="B1104" t="s">
        <v>47</v>
      </c>
      <c r="C1104" t="s">
        <v>1731</v>
      </c>
      <c r="D1104">
        <v>2</v>
      </c>
      <c r="E1104" s="123">
        <v>11655</v>
      </c>
      <c r="F1104">
        <v>1</v>
      </c>
    </row>
    <row r="1105" spans="1:6" hidden="1" x14ac:dyDescent="0.25">
      <c r="A1105" t="s">
        <v>2003</v>
      </c>
      <c r="B1105" t="s">
        <v>11</v>
      </c>
      <c r="C1105" t="s">
        <v>747</v>
      </c>
      <c r="D1105">
        <v>1</v>
      </c>
      <c r="E1105" s="123">
        <v>1300</v>
      </c>
      <c r="F1105">
        <v>1</v>
      </c>
    </row>
    <row r="1106" spans="1:6" hidden="1" x14ac:dyDescent="0.25">
      <c r="A1106" t="s">
        <v>2003</v>
      </c>
      <c r="B1106" t="s">
        <v>11</v>
      </c>
      <c r="C1106" t="s">
        <v>1267</v>
      </c>
      <c r="D1106">
        <v>1</v>
      </c>
      <c r="E1106" s="123">
        <v>1404</v>
      </c>
      <c r="F1106">
        <v>1</v>
      </c>
    </row>
    <row r="1107" spans="1:6" hidden="1" x14ac:dyDescent="0.25">
      <c r="A1107" t="s">
        <v>2003</v>
      </c>
      <c r="B1107" t="s">
        <v>11</v>
      </c>
      <c r="C1107" t="s">
        <v>631</v>
      </c>
      <c r="D1107">
        <v>1</v>
      </c>
      <c r="E1107" s="123">
        <v>1882</v>
      </c>
      <c r="F1107">
        <v>1</v>
      </c>
    </row>
    <row r="1108" spans="1:6" hidden="1" x14ac:dyDescent="0.25">
      <c r="A1108" t="s">
        <v>2003</v>
      </c>
      <c r="B1108" t="s">
        <v>11</v>
      </c>
      <c r="C1108" t="s">
        <v>63</v>
      </c>
      <c r="D1108">
        <v>1</v>
      </c>
      <c r="E1108" s="123">
        <v>2575</v>
      </c>
      <c r="F1108">
        <v>1</v>
      </c>
    </row>
    <row r="1109" spans="1:6" hidden="1" x14ac:dyDescent="0.25">
      <c r="A1109" t="s">
        <v>2003</v>
      </c>
      <c r="B1109" t="s">
        <v>11</v>
      </c>
      <c r="C1109" t="s">
        <v>1344</v>
      </c>
      <c r="D1109">
        <v>1</v>
      </c>
      <c r="E1109" s="123">
        <v>3036.02</v>
      </c>
      <c r="F1109">
        <v>1</v>
      </c>
    </row>
    <row r="1110" spans="1:6" hidden="1" x14ac:dyDescent="0.25">
      <c r="A1110" t="s">
        <v>2003</v>
      </c>
      <c r="B1110" t="s">
        <v>11</v>
      </c>
      <c r="C1110" t="s">
        <v>1292</v>
      </c>
      <c r="D1110">
        <v>1</v>
      </c>
      <c r="E1110" s="123">
        <v>3268.24</v>
      </c>
      <c r="F1110">
        <v>1</v>
      </c>
    </row>
    <row r="1111" spans="1:6" hidden="1" x14ac:dyDescent="0.25">
      <c r="A1111" t="s">
        <v>2003</v>
      </c>
      <c r="B1111" t="s">
        <v>11</v>
      </c>
      <c r="C1111" t="s">
        <v>276</v>
      </c>
      <c r="D1111">
        <v>1</v>
      </c>
      <c r="E1111" s="123">
        <v>3930</v>
      </c>
      <c r="F1111">
        <v>1</v>
      </c>
    </row>
    <row r="1112" spans="1:6" hidden="1" x14ac:dyDescent="0.25">
      <c r="A1112" t="s">
        <v>2002</v>
      </c>
      <c r="B1112" t="s">
        <v>10</v>
      </c>
      <c r="C1112" t="s">
        <v>23</v>
      </c>
      <c r="D1112">
        <v>2</v>
      </c>
      <c r="E1112" s="123">
        <v>18720</v>
      </c>
      <c r="F1112">
        <v>1</v>
      </c>
    </row>
    <row r="1113" spans="1:6" hidden="1" x14ac:dyDescent="0.25">
      <c r="A1113" t="s">
        <v>2003</v>
      </c>
      <c r="B1113" t="s">
        <v>11</v>
      </c>
      <c r="C1113" t="s">
        <v>6</v>
      </c>
      <c r="D1113">
        <v>1</v>
      </c>
      <c r="E1113" s="123">
        <v>4694</v>
      </c>
      <c r="F1113">
        <v>1</v>
      </c>
    </row>
    <row r="1114" spans="1:6" hidden="1" x14ac:dyDescent="0.25">
      <c r="A1114" t="s">
        <v>2002</v>
      </c>
      <c r="B1114" t="s">
        <v>47</v>
      </c>
      <c r="C1114" t="s">
        <v>1681</v>
      </c>
      <c r="D1114">
        <v>2</v>
      </c>
      <c r="E1114" s="123">
        <v>21650.13</v>
      </c>
      <c r="F1114">
        <v>1</v>
      </c>
    </row>
    <row r="1115" spans="1:6" hidden="1" x14ac:dyDescent="0.25">
      <c r="A1115" t="s">
        <v>2003</v>
      </c>
      <c r="B1115" t="s">
        <v>11</v>
      </c>
      <c r="C1115" t="s">
        <v>293</v>
      </c>
      <c r="D1115">
        <v>1</v>
      </c>
      <c r="E1115" s="123">
        <v>5850</v>
      </c>
      <c r="F1115">
        <v>1</v>
      </c>
    </row>
    <row r="1116" spans="1:6" hidden="1" x14ac:dyDescent="0.25">
      <c r="A1116" t="s">
        <v>2003</v>
      </c>
      <c r="B1116" t="s">
        <v>11</v>
      </c>
      <c r="C1116" t="s">
        <v>635</v>
      </c>
      <c r="D1116">
        <v>1</v>
      </c>
      <c r="E1116" s="123">
        <v>6700</v>
      </c>
      <c r="F1116">
        <v>1</v>
      </c>
    </row>
    <row r="1117" spans="1:6" hidden="1" x14ac:dyDescent="0.25">
      <c r="A1117" t="s">
        <v>2003</v>
      </c>
      <c r="B1117" t="s">
        <v>11</v>
      </c>
      <c r="C1117" t="s">
        <v>1165</v>
      </c>
      <c r="D1117">
        <v>1</v>
      </c>
      <c r="E1117" s="123">
        <v>8550</v>
      </c>
      <c r="F1117">
        <v>1</v>
      </c>
    </row>
    <row r="1118" spans="1:6" hidden="1" x14ac:dyDescent="0.25">
      <c r="A1118" t="s">
        <v>2003</v>
      </c>
      <c r="B1118" t="s">
        <v>11</v>
      </c>
      <c r="C1118" t="s">
        <v>163</v>
      </c>
      <c r="D1118">
        <v>1</v>
      </c>
      <c r="E1118" s="123">
        <v>8818</v>
      </c>
      <c r="F1118">
        <v>1</v>
      </c>
    </row>
    <row r="1119" spans="1:6" x14ac:dyDescent="0.25">
      <c r="A1119" t="s">
        <v>2002</v>
      </c>
      <c r="B1119" t="s">
        <v>17</v>
      </c>
      <c r="C1119" t="s">
        <v>1532</v>
      </c>
      <c r="D1119">
        <v>2</v>
      </c>
      <c r="E1119" s="123">
        <v>28999</v>
      </c>
      <c r="F1119">
        <v>1</v>
      </c>
    </row>
    <row r="1120" spans="1:6" hidden="1" x14ac:dyDescent="0.25">
      <c r="A1120" t="s">
        <v>2003</v>
      </c>
      <c r="B1120" t="s">
        <v>11</v>
      </c>
      <c r="C1120" t="s">
        <v>252</v>
      </c>
      <c r="D1120">
        <v>1</v>
      </c>
      <c r="E1120" s="123">
        <v>9473.99</v>
      </c>
      <c r="F1120">
        <v>1</v>
      </c>
    </row>
    <row r="1121" spans="1:6" hidden="1" x14ac:dyDescent="0.25">
      <c r="A1121" t="s">
        <v>2002</v>
      </c>
      <c r="B1121" t="s">
        <v>47</v>
      </c>
      <c r="C1121" t="s">
        <v>1495</v>
      </c>
      <c r="D1121">
        <v>2</v>
      </c>
      <c r="E1121" s="123">
        <v>52949.760000000002</v>
      </c>
      <c r="F1121">
        <v>1</v>
      </c>
    </row>
    <row r="1122" spans="1:6" hidden="1" x14ac:dyDescent="0.25">
      <c r="A1122" t="s">
        <v>2003</v>
      </c>
      <c r="B1122" t="s">
        <v>11</v>
      </c>
      <c r="C1122" t="s">
        <v>93</v>
      </c>
      <c r="D1122">
        <v>1</v>
      </c>
      <c r="E1122" s="123">
        <v>11029</v>
      </c>
      <c r="F1122">
        <v>1</v>
      </c>
    </row>
    <row r="1123" spans="1:6" hidden="1" x14ac:dyDescent="0.25">
      <c r="A1123" t="s">
        <v>2003</v>
      </c>
      <c r="B1123" t="s">
        <v>11</v>
      </c>
      <c r="C1123" t="s">
        <v>1164</v>
      </c>
      <c r="D1123">
        <v>1</v>
      </c>
      <c r="E1123" s="123">
        <v>11821.41</v>
      </c>
      <c r="F1123">
        <v>1</v>
      </c>
    </row>
    <row r="1124" spans="1:6" hidden="1" x14ac:dyDescent="0.25">
      <c r="A1124" t="s">
        <v>2002</v>
      </c>
      <c r="B1124" t="s">
        <v>10</v>
      </c>
      <c r="C1124" t="s">
        <v>1630</v>
      </c>
      <c r="D1124">
        <v>2</v>
      </c>
      <c r="E1124" s="123">
        <v>2932</v>
      </c>
      <c r="F1124">
        <v>2</v>
      </c>
    </row>
    <row r="1125" spans="1:6" x14ac:dyDescent="0.25">
      <c r="A1125" t="s">
        <v>2002</v>
      </c>
      <c r="B1125" t="s">
        <v>17</v>
      </c>
      <c r="C1125" t="s">
        <v>895</v>
      </c>
      <c r="D1125">
        <v>2</v>
      </c>
      <c r="E1125" s="123">
        <v>4039</v>
      </c>
      <c r="F1125">
        <v>2</v>
      </c>
    </row>
    <row r="1126" spans="1:6" hidden="1" x14ac:dyDescent="0.25">
      <c r="A1126" t="s">
        <v>2003</v>
      </c>
      <c r="B1126" t="s">
        <v>11</v>
      </c>
      <c r="C1126" t="s">
        <v>1445</v>
      </c>
      <c r="D1126">
        <v>1</v>
      </c>
      <c r="E1126" s="123">
        <v>13236.79</v>
      </c>
      <c r="F1126">
        <v>1</v>
      </c>
    </row>
    <row r="1127" spans="1:6" hidden="1" x14ac:dyDescent="0.25">
      <c r="A1127" t="s">
        <v>2003</v>
      </c>
      <c r="B1127" t="s">
        <v>11</v>
      </c>
      <c r="C1127" t="s">
        <v>763</v>
      </c>
      <c r="D1127">
        <v>1</v>
      </c>
      <c r="E1127" s="123">
        <v>13560.48</v>
      </c>
      <c r="F1127">
        <v>1</v>
      </c>
    </row>
    <row r="1128" spans="1:6" hidden="1" x14ac:dyDescent="0.25">
      <c r="A1128" t="s">
        <v>2003</v>
      </c>
      <c r="B1128" t="s">
        <v>11</v>
      </c>
      <c r="C1128" t="s">
        <v>1443</v>
      </c>
      <c r="D1128">
        <v>1</v>
      </c>
      <c r="E1128" s="123">
        <v>14708</v>
      </c>
      <c r="F1128">
        <v>1</v>
      </c>
    </row>
    <row r="1129" spans="1:6" x14ac:dyDescent="0.25">
      <c r="A1129" t="s">
        <v>2002</v>
      </c>
      <c r="B1129" t="s">
        <v>17</v>
      </c>
      <c r="C1129" t="s">
        <v>1692</v>
      </c>
      <c r="D1129">
        <v>2</v>
      </c>
      <c r="E1129" s="123">
        <v>9882.4</v>
      </c>
      <c r="F1129">
        <v>2</v>
      </c>
    </row>
    <row r="1130" spans="1:6" hidden="1" x14ac:dyDescent="0.25">
      <c r="A1130" t="s">
        <v>2002</v>
      </c>
      <c r="B1130" t="s">
        <v>10</v>
      </c>
      <c r="C1130" t="s">
        <v>816</v>
      </c>
      <c r="D1130">
        <v>2</v>
      </c>
      <c r="E1130" s="123">
        <v>10342.99</v>
      </c>
      <c r="F1130">
        <v>2</v>
      </c>
    </row>
    <row r="1131" spans="1:6" hidden="1" x14ac:dyDescent="0.25">
      <c r="A1131" t="s">
        <v>2003</v>
      </c>
      <c r="B1131" t="s">
        <v>11</v>
      </c>
      <c r="C1131" t="s">
        <v>383</v>
      </c>
      <c r="D1131">
        <v>1</v>
      </c>
      <c r="E1131" s="123">
        <v>19664.98</v>
      </c>
      <c r="F1131">
        <v>1</v>
      </c>
    </row>
    <row r="1132" spans="1:6" hidden="1" x14ac:dyDescent="0.25">
      <c r="A1132" t="s">
        <v>2003</v>
      </c>
      <c r="B1132" t="s">
        <v>11</v>
      </c>
      <c r="C1132" t="s">
        <v>1214</v>
      </c>
      <c r="D1132">
        <v>1</v>
      </c>
      <c r="E1132" s="123">
        <v>20778.240000000002</v>
      </c>
      <c r="F1132">
        <v>1</v>
      </c>
    </row>
    <row r="1133" spans="1:6" hidden="1" x14ac:dyDescent="0.25">
      <c r="A1133" t="s">
        <v>2001</v>
      </c>
      <c r="B1133" t="s">
        <v>47</v>
      </c>
      <c r="C1133" t="s">
        <v>1893</v>
      </c>
      <c r="D1133">
        <v>2</v>
      </c>
      <c r="E1133" s="123">
        <v>1471</v>
      </c>
      <c r="F1133">
        <v>1</v>
      </c>
    </row>
    <row r="1134" spans="1:6" hidden="1" x14ac:dyDescent="0.25">
      <c r="A1134" t="s">
        <v>2003</v>
      </c>
      <c r="B1134" t="s">
        <v>11</v>
      </c>
      <c r="C1134" t="s">
        <v>1324</v>
      </c>
      <c r="D1134">
        <v>1</v>
      </c>
      <c r="E1134" s="123">
        <v>22335</v>
      </c>
      <c r="F1134">
        <v>1</v>
      </c>
    </row>
    <row r="1135" spans="1:6" x14ac:dyDescent="0.25">
      <c r="A1135" t="s">
        <v>2001</v>
      </c>
      <c r="B1135" t="s">
        <v>17</v>
      </c>
      <c r="C1135" t="s">
        <v>1767</v>
      </c>
      <c r="D1135">
        <v>2</v>
      </c>
      <c r="E1135" s="123">
        <v>1664</v>
      </c>
      <c r="F1135">
        <v>1</v>
      </c>
    </row>
    <row r="1136" spans="1:6" x14ac:dyDescent="0.25">
      <c r="A1136" t="s">
        <v>2001</v>
      </c>
      <c r="B1136" t="s">
        <v>17</v>
      </c>
      <c r="C1136" t="s">
        <v>65</v>
      </c>
      <c r="D1136">
        <v>2</v>
      </c>
      <c r="E1136" s="123">
        <v>1702</v>
      </c>
      <c r="F1136">
        <v>1</v>
      </c>
    </row>
    <row r="1137" spans="1:6" hidden="1" x14ac:dyDescent="0.25">
      <c r="A1137" t="s">
        <v>2003</v>
      </c>
      <c r="B1137" t="s">
        <v>11</v>
      </c>
      <c r="C1137" t="s">
        <v>795</v>
      </c>
      <c r="D1137">
        <v>1</v>
      </c>
      <c r="E1137" s="123">
        <v>25968.04</v>
      </c>
      <c r="F1137">
        <v>1</v>
      </c>
    </row>
    <row r="1138" spans="1:6" hidden="1" x14ac:dyDescent="0.25">
      <c r="A1138" t="s">
        <v>2003</v>
      </c>
      <c r="B1138" t="s">
        <v>11</v>
      </c>
      <c r="C1138" t="s">
        <v>144</v>
      </c>
      <c r="D1138">
        <v>1</v>
      </c>
      <c r="E1138" s="123">
        <v>46760.22</v>
      </c>
      <c r="F1138">
        <v>1</v>
      </c>
    </row>
    <row r="1139" spans="1:6" hidden="1" x14ac:dyDescent="0.25">
      <c r="A1139" t="s">
        <v>2002</v>
      </c>
      <c r="B1139" t="s">
        <v>11</v>
      </c>
      <c r="C1139" t="s">
        <v>54</v>
      </c>
      <c r="D1139">
        <v>1</v>
      </c>
      <c r="E1139" s="123">
        <v>400</v>
      </c>
      <c r="F1139">
        <v>1</v>
      </c>
    </row>
    <row r="1140" spans="1:6" hidden="1" x14ac:dyDescent="0.25">
      <c r="A1140" t="s">
        <v>2002</v>
      </c>
      <c r="B1140" t="s">
        <v>11</v>
      </c>
      <c r="C1140" t="s">
        <v>1560</v>
      </c>
      <c r="D1140">
        <v>1</v>
      </c>
      <c r="E1140" s="123">
        <v>450</v>
      </c>
      <c r="F1140">
        <v>1</v>
      </c>
    </row>
    <row r="1141" spans="1:6" hidden="1" x14ac:dyDescent="0.25">
      <c r="A1141" t="s">
        <v>2002</v>
      </c>
      <c r="B1141" t="s">
        <v>11</v>
      </c>
      <c r="C1141" t="s">
        <v>336</v>
      </c>
      <c r="D1141">
        <v>1</v>
      </c>
      <c r="E1141" s="123">
        <v>520</v>
      </c>
      <c r="F1141">
        <v>1</v>
      </c>
    </row>
    <row r="1142" spans="1:6" hidden="1" x14ac:dyDescent="0.25">
      <c r="A1142" t="s">
        <v>2002</v>
      </c>
      <c r="B1142" t="s">
        <v>11</v>
      </c>
      <c r="C1142" t="s">
        <v>32</v>
      </c>
      <c r="D1142">
        <v>1</v>
      </c>
      <c r="E1142" s="123">
        <v>870</v>
      </c>
      <c r="F1142">
        <v>1</v>
      </c>
    </row>
    <row r="1143" spans="1:6" x14ac:dyDescent="0.25">
      <c r="A1143" t="s">
        <v>2001</v>
      </c>
      <c r="B1143" t="s">
        <v>17</v>
      </c>
      <c r="C1143" t="s">
        <v>208</v>
      </c>
      <c r="D1143">
        <v>2</v>
      </c>
      <c r="E1143" s="123">
        <v>4956</v>
      </c>
      <c r="F1143">
        <v>1</v>
      </c>
    </row>
    <row r="1144" spans="1:6" hidden="1" x14ac:dyDescent="0.25">
      <c r="A1144" t="s">
        <v>2002</v>
      </c>
      <c r="B1144" t="s">
        <v>11</v>
      </c>
      <c r="C1144" t="s">
        <v>478</v>
      </c>
      <c r="D1144">
        <v>1</v>
      </c>
      <c r="E1144" s="123">
        <v>990.96</v>
      </c>
      <c r="F1144">
        <v>1</v>
      </c>
    </row>
    <row r="1145" spans="1:6" hidden="1" x14ac:dyDescent="0.25">
      <c r="A1145" t="s">
        <v>2002</v>
      </c>
      <c r="B1145" t="s">
        <v>11</v>
      </c>
      <c r="C1145" t="s">
        <v>37</v>
      </c>
      <c r="D1145">
        <v>1</v>
      </c>
      <c r="E1145" s="123">
        <v>1010.64</v>
      </c>
      <c r="F1145">
        <v>1</v>
      </c>
    </row>
    <row r="1146" spans="1:6" x14ac:dyDescent="0.25">
      <c r="A1146" t="s">
        <v>2001</v>
      </c>
      <c r="B1146" t="s">
        <v>17</v>
      </c>
      <c r="C1146" t="s">
        <v>1309</v>
      </c>
      <c r="D1146">
        <v>2</v>
      </c>
      <c r="E1146" s="123">
        <v>5272</v>
      </c>
      <c r="F1146">
        <v>1</v>
      </c>
    </row>
    <row r="1147" spans="1:6" hidden="1" x14ac:dyDescent="0.25">
      <c r="A1147" t="s">
        <v>2002</v>
      </c>
      <c r="B1147" t="s">
        <v>11</v>
      </c>
      <c r="C1147" t="s">
        <v>897</v>
      </c>
      <c r="D1147">
        <v>1</v>
      </c>
      <c r="E1147" s="123">
        <v>1050</v>
      </c>
      <c r="F1147">
        <v>1</v>
      </c>
    </row>
    <row r="1148" spans="1:6" hidden="1" x14ac:dyDescent="0.25">
      <c r="A1148" t="s">
        <v>2002</v>
      </c>
      <c r="B1148" t="s">
        <v>11</v>
      </c>
      <c r="C1148" t="s">
        <v>1639</v>
      </c>
      <c r="D1148">
        <v>1</v>
      </c>
      <c r="E1148" s="123">
        <v>1300</v>
      </c>
      <c r="F1148">
        <v>1</v>
      </c>
    </row>
    <row r="1149" spans="1:6" hidden="1" x14ac:dyDescent="0.25">
      <c r="A1149" t="s">
        <v>2001</v>
      </c>
      <c r="B1149" t="s">
        <v>47</v>
      </c>
      <c r="C1149" t="s">
        <v>1889</v>
      </c>
      <c r="D1149">
        <v>2</v>
      </c>
      <c r="E1149" s="123">
        <v>6884</v>
      </c>
      <c r="F1149">
        <v>1</v>
      </c>
    </row>
    <row r="1150" spans="1:6" hidden="1" x14ac:dyDescent="0.25">
      <c r="A1150" t="s">
        <v>2001</v>
      </c>
      <c r="B1150" t="s">
        <v>10</v>
      </c>
      <c r="C1150" t="s">
        <v>1974</v>
      </c>
      <c r="D1150">
        <v>2</v>
      </c>
      <c r="E1150" s="123">
        <v>8674</v>
      </c>
      <c r="F1150">
        <v>1</v>
      </c>
    </row>
    <row r="1151" spans="1:6" hidden="1" x14ac:dyDescent="0.25">
      <c r="A1151" t="s">
        <v>2002</v>
      </c>
      <c r="B1151" t="s">
        <v>11</v>
      </c>
      <c r="C1151" t="s">
        <v>159</v>
      </c>
      <c r="D1151">
        <v>1</v>
      </c>
      <c r="E1151" s="123">
        <v>1500</v>
      </c>
      <c r="F1151">
        <v>1</v>
      </c>
    </row>
    <row r="1152" spans="1:6" hidden="1" x14ac:dyDescent="0.25">
      <c r="A1152" t="s">
        <v>2001</v>
      </c>
      <c r="B1152" t="s">
        <v>10</v>
      </c>
      <c r="C1152" t="s">
        <v>212</v>
      </c>
      <c r="D1152">
        <v>2</v>
      </c>
      <c r="E1152" s="123">
        <v>10301.99</v>
      </c>
      <c r="F1152">
        <v>1</v>
      </c>
    </row>
    <row r="1153" spans="1:6" hidden="1" x14ac:dyDescent="0.25">
      <c r="A1153" t="s">
        <v>2002</v>
      </c>
      <c r="B1153" t="s">
        <v>11</v>
      </c>
      <c r="C1153" t="s">
        <v>123</v>
      </c>
      <c r="D1153">
        <v>1</v>
      </c>
      <c r="E1153" s="123">
        <v>1833.6</v>
      </c>
      <c r="F1153">
        <v>1</v>
      </c>
    </row>
    <row r="1154" spans="1:6" hidden="1" x14ac:dyDescent="0.25">
      <c r="A1154" t="s">
        <v>2002</v>
      </c>
      <c r="B1154" t="s">
        <v>11</v>
      </c>
      <c r="C1154" t="s">
        <v>82</v>
      </c>
      <c r="D1154">
        <v>1</v>
      </c>
      <c r="E1154" s="123">
        <v>2151</v>
      </c>
      <c r="F1154">
        <v>1</v>
      </c>
    </row>
    <row r="1155" spans="1:6" hidden="1" x14ac:dyDescent="0.25">
      <c r="A1155" t="s">
        <v>2002</v>
      </c>
      <c r="B1155" t="s">
        <v>11</v>
      </c>
      <c r="C1155" t="s">
        <v>1699</v>
      </c>
      <c r="D1155">
        <v>1</v>
      </c>
      <c r="E1155" s="123">
        <v>2160</v>
      </c>
      <c r="F1155">
        <v>1</v>
      </c>
    </row>
    <row r="1156" spans="1:6" hidden="1" x14ac:dyDescent="0.25">
      <c r="A1156" t="s">
        <v>2001</v>
      </c>
      <c r="B1156" t="s">
        <v>47</v>
      </c>
      <c r="C1156" t="s">
        <v>456</v>
      </c>
      <c r="D1156">
        <v>2</v>
      </c>
      <c r="E1156" s="123">
        <v>18201.990000000002</v>
      </c>
      <c r="F1156">
        <v>1</v>
      </c>
    </row>
    <row r="1157" spans="1:6" hidden="1" x14ac:dyDescent="0.25">
      <c r="A1157" t="s">
        <v>2002</v>
      </c>
      <c r="B1157" t="s">
        <v>11</v>
      </c>
      <c r="C1157" t="s">
        <v>187</v>
      </c>
      <c r="D1157">
        <v>1</v>
      </c>
      <c r="E1157" s="123">
        <v>2600</v>
      </c>
      <c r="F1157">
        <v>1</v>
      </c>
    </row>
    <row r="1158" spans="1:6" hidden="1" x14ac:dyDescent="0.25">
      <c r="A1158" t="s">
        <v>2001</v>
      </c>
      <c r="B1158" t="s">
        <v>47</v>
      </c>
      <c r="C1158" t="s">
        <v>1876</v>
      </c>
      <c r="D1158">
        <v>2</v>
      </c>
      <c r="E1158" s="123">
        <v>19800</v>
      </c>
      <c r="F1158">
        <v>1</v>
      </c>
    </row>
    <row r="1159" spans="1:6" hidden="1" x14ac:dyDescent="0.25">
      <c r="A1159" t="s">
        <v>2001</v>
      </c>
      <c r="B1159" t="s">
        <v>47</v>
      </c>
      <c r="C1159" t="s">
        <v>1777</v>
      </c>
      <c r="D1159">
        <v>2</v>
      </c>
      <c r="E1159" s="123">
        <v>20062.990000000002</v>
      </c>
      <c r="F1159">
        <v>1</v>
      </c>
    </row>
    <row r="1160" spans="1:6" hidden="1" x14ac:dyDescent="0.25">
      <c r="A1160" t="s">
        <v>2002</v>
      </c>
      <c r="B1160" t="s">
        <v>11</v>
      </c>
      <c r="C1160" t="s">
        <v>1706</v>
      </c>
      <c r="D1160">
        <v>1</v>
      </c>
      <c r="E1160" s="123">
        <v>5231.96</v>
      </c>
      <c r="F1160">
        <v>1</v>
      </c>
    </row>
    <row r="1161" spans="1:6" hidden="1" x14ac:dyDescent="0.25">
      <c r="A1161" t="s">
        <v>2002</v>
      </c>
      <c r="B1161" t="s">
        <v>11</v>
      </c>
      <c r="C1161" t="s">
        <v>107</v>
      </c>
      <c r="D1161">
        <v>1</v>
      </c>
      <c r="E1161" s="123">
        <v>5364</v>
      </c>
      <c r="F1161">
        <v>1</v>
      </c>
    </row>
    <row r="1162" spans="1:6" hidden="1" x14ac:dyDescent="0.25">
      <c r="A1162" t="s">
        <v>2001</v>
      </c>
      <c r="B1162" t="s">
        <v>10</v>
      </c>
      <c r="C1162" t="s">
        <v>1807</v>
      </c>
      <c r="D1162">
        <v>2</v>
      </c>
      <c r="E1162" s="123">
        <v>22791</v>
      </c>
      <c r="F1162">
        <v>1</v>
      </c>
    </row>
    <row r="1163" spans="1:6" hidden="1" x14ac:dyDescent="0.25">
      <c r="A1163" t="s">
        <v>2001</v>
      </c>
      <c r="B1163" t="s">
        <v>10</v>
      </c>
      <c r="C1163" t="s">
        <v>1855</v>
      </c>
      <c r="D1163">
        <v>2</v>
      </c>
      <c r="E1163" s="123">
        <v>23542.97</v>
      </c>
      <c r="F1163">
        <v>1</v>
      </c>
    </row>
    <row r="1164" spans="1:6" hidden="1" x14ac:dyDescent="0.25">
      <c r="A1164" t="s">
        <v>2002</v>
      </c>
      <c r="B1164" t="s">
        <v>11</v>
      </c>
      <c r="C1164" t="s">
        <v>228</v>
      </c>
      <c r="D1164">
        <v>1</v>
      </c>
      <c r="E1164" s="123">
        <v>5664.96</v>
      </c>
      <c r="F1164">
        <v>1</v>
      </c>
    </row>
    <row r="1165" spans="1:6" hidden="1" x14ac:dyDescent="0.25">
      <c r="A1165" t="s">
        <v>2002</v>
      </c>
      <c r="B1165" t="s">
        <v>11</v>
      </c>
      <c r="C1165" t="s">
        <v>1522</v>
      </c>
      <c r="D1165">
        <v>1</v>
      </c>
      <c r="E1165" s="123">
        <v>5955.76</v>
      </c>
      <c r="F1165">
        <v>1</v>
      </c>
    </row>
    <row r="1166" spans="1:6" hidden="1" x14ac:dyDescent="0.25">
      <c r="A1166" t="s">
        <v>2002</v>
      </c>
      <c r="B1166" t="s">
        <v>11</v>
      </c>
      <c r="C1166" t="s">
        <v>90</v>
      </c>
      <c r="D1166">
        <v>1</v>
      </c>
      <c r="E1166" s="123">
        <v>6595</v>
      </c>
      <c r="F1166">
        <v>1</v>
      </c>
    </row>
    <row r="1167" spans="1:6" hidden="1" x14ac:dyDescent="0.25">
      <c r="A1167" t="s">
        <v>2001</v>
      </c>
      <c r="B1167" t="s">
        <v>47</v>
      </c>
      <c r="C1167" t="s">
        <v>152</v>
      </c>
      <c r="D1167">
        <v>2</v>
      </c>
      <c r="E1167" s="123">
        <v>6867</v>
      </c>
      <c r="F1167">
        <v>2</v>
      </c>
    </row>
    <row r="1168" spans="1:6" hidden="1" x14ac:dyDescent="0.25">
      <c r="A1168" t="s">
        <v>2002</v>
      </c>
      <c r="B1168" t="s">
        <v>11</v>
      </c>
      <c r="C1168" t="s">
        <v>631</v>
      </c>
      <c r="D1168">
        <v>1</v>
      </c>
      <c r="E1168" s="123">
        <v>8963.9500000000007</v>
      </c>
      <c r="F1168">
        <v>1</v>
      </c>
    </row>
    <row r="1169" spans="1:6" hidden="1" x14ac:dyDescent="0.25">
      <c r="A1169" t="s">
        <v>2001</v>
      </c>
      <c r="B1169" t="s">
        <v>10</v>
      </c>
      <c r="C1169" t="s">
        <v>480</v>
      </c>
      <c r="D1169">
        <v>2</v>
      </c>
      <c r="E1169" s="123">
        <v>11606</v>
      </c>
      <c r="F1169">
        <v>2</v>
      </c>
    </row>
    <row r="1170" spans="1:6" x14ac:dyDescent="0.25">
      <c r="A1170" t="s">
        <v>2001</v>
      </c>
      <c r="B1170" t="s">
        <v>17</v>
      </c>
      <c r="C1170" t="s">
        <v>545</v>
      </c>
      <c r="D1170">
        <v>2</v>
      </c>
      <c r="E1170" s="123">
        <v>11919.87</v>
      </c>
      <c r="F1170">
        <v>2</v>
      </c>
    </row>
    <row r="1171" spans="1:6" hidden="1" x14ac:dyDescent="0.25">
      <c r="A1171" t="s">
        <v>2002</v>
      </c>
      <c r="B1171" t="s">
        <v>11</v>
      </c>
      <c r="C1171" t="s">
        <v>580</v>
      </c>
      <c r="D1171">
        <v>1</v>
      </c>
      <c r="E1171" s="123">
        <v>10982.32</v>
      </c>
      <c r="F1171">
        <v>1</v>
      </c>
    </row>
    <row r="1172" spans="1:6" hidden="1" x14ac:dyDescent="0.25">
      <c r="A1172" t="s">
        <v>2001</v>
      </c>
      <c r="B1172" t="s">
        <v>10</v>
      </c>
      <c r="C1172" t="s">
        <v>1882</v>
      </c>
      <c r="D1172">
        <v>2</v>
      </c>
      <c r="E1172" s="123">
        <v>31260</v>
      </c>
      <c r="F1172">
        <v>2</v>
      </c>
    </row>
    <row r="1173" spans="1:6" hidden="1" x14ac:dyDescent="0.25">
      <c r="A1173" t="s">
        <v>2002</v>
      </c>
      <c r="B1173" t="s">
        <v>11</v>
      </c>
      <c r="C1173" t="s">
        <v>1672</v>
      </c>
      <c r="D1173">
        <v>1</v>
      </c>
      <c r="E1173" s="123">
        <v>12482.43</v>
      </c>
      <c r="F1173">
        <v>1</v>
      </c>
    </row>
    <row r="1174" spans="1:6" hidden="1" x14ac:dyDescent="0.25">
      <c r="A1174" t="s">
        <v>2002</v>
      </c>
      <c r="B1174" t="s">
        <v>11</v>
      </c>
      <c r="C1174" t="s">
        <v>248</v>
      </c>
      <c r="D1174">
        <v>1</v>
      </c>
      <c r="E1174" s="123">
        <v>12561.35</v>
      </c>
      <c r="F1174">
        <v>1</v>
      </c>
    </row>
    <row r="1175" spans="1:6" hidden="1" x14ac:dyDescent="0.25">
      <c r="A1175" t="s">
        <v>2005</v>
      </c>
      <c r="B1175" t="s">
        <v>47</v>
      </c>
      <c r="C1175" t="s">
        <v>480</v>
      </c>
      <c r="D1175">
        <v>3</v>
      </c>
      <c r="E1175" s="123">
        <v>17803.66</v>
      </c>
      <c r="F1175">
        <v>1</v>
      </c>
    </row>
    <row r="1176" spans="1:6" hidden="1" x14ac:dyDescent="0.25">
      <c r="A1176" t="s">
        <v>2002</v>
      </c>
      <c r="B1176" t="s">
        <v>11</v>
      </c>
      <c r="C1176" t="s">
        <v>1284</v>
      </c>
      <c r="D1176">
        <v>1</v>
      </c>
      <c r="E1176" s="123">
        <v>13112.8</v>
      </c>
      <c r="F1176">
        <v>1</v>
      </c>
    </row>
    <row r="1177" spans="1:6" hidden="1" x14ac:dyDescent="0.25">
      <c r="A1177" t="s">
        <v>2002</v>
      </c>
      <c r="B1177" t="s">
        <v>11</v>
      </c>
      <c r="C1177" t="s">
        <v>1496</v>
      </c>
      <c r="D1177">
        <v>1</v>
      </c>
      <c r="E1177" s="123">
        <v>14833.07</v>
      </c>
      <c r="F1177">
        <v>1</v>
      </c>
    </row>
    <row r="1178" spans="1:6" hidden="1" x14ac:dyDescent="0.25">
      <c r="A1178" t="s">
        <v>2002</v>
      </c>
      <c r="B1178" t="s">
        <v>11</v>
      </c>
      <c r="C1178" t="s">
        <v>190</v>
      </c>
      <c r="D1178">
        <v>1</v>
      </c>
      <c r="E1178" s="123">
        <v>15669.64</v>
      </c>
      <c r="F1178">
        <v>1</v>
      </c>
    </row>
    <row r="1179" spans="1:6" hidden="1" x14ac:dyDescent="0.25">
      <c r="A1179" t="s">
        <v>2005</v>
      </c>
      <c r="B1179" t="s">
        <v>47</v>
      </c>
      <c r="C1179" t="s">
        <v>712</v>
      </c>
      <c r="D1179">
        <v>3</v>
      </c>
      <c r="E1179" s="123">
        <v>4697</v>
      </c>
      <c r="F1179">
        <v>2</v>
      </c>
    </row>
    <row r="1180" spans="1:6" hidden="1" x14ac:dyDescent="0.25">
      <c r="A1180" t="s">
        <v>2002</v>
      </c>
      <c r="B1180" t="s">
        <v>11</v>
      </c>
      <c r="C1180" t="s">
        <v>1727</v>
      </c>
      <c r="D1180">
        <v>1</v>
      </c>
      <c r="E1180" s="123">
        <v>16900</v>
      </c>
      <c r="F1180">
        <v>1</v>
      </c>
    </row>
    <row r="1181" spans="1:6" x14ac:dyDescent="0.25">
      <c r="A1181" t="s">
        <v>2005</v>
      </c>
      <c r="B1181" t="s">
        <v>17</v>
      </c>
      <c r="C1181" t="s">
        <v>582</v>
      </c>
      <c r="D1181">
        <v>3</v>
      </c>
      <c r="E1181" s="123">
        <v>10345</v>
      </c>
      <c r="F1181">
        <v>2</v>
      </c>
    </row>
    <row r="1182" spans="1:6" x14ac:dyDescent="0.25">
      <c r="A1182" t="s">
        <v>2005</v>
      </c>
      <c r="B1182" t="s">
        <v>17</v>
      </c>
      <c r="C1182" t="s">
        <v>729</v>
      </c>
      <c r="D1182">
        <v>3</v>
      </c>
      <c r="E1182" s="123">
        <v>10939.51</v>
      </c>
      <c r="F1182">
        <v>2</v>
      </c>
    </row>
    <row r="1183" spans="1:6" hidden="1" x14ac:dyDescent="0.25">
      <c r="A1183" t="s">
        <v>2005</v>
      </c>
      <c r="B1183" t="s">
        <v>10</v>
      </c>
      <c r="C1183" t="s">
        <v>514</v>
      </c>
      <c r="D1183">
        <v>3</v>
      </c>
      <c r="E1183" s="123">
        <v>11222.99</v>
      </c>
      <c r="F1183">
        <v>2</v>
      </c>
    </row>
    <row r="1184" spans="1:6" hidden="1" x14ac:dyDescent="0.25">
      <c r="A1184" t="s">
        <v>2002</v>
      </c>
      <c r="B1184" t="s">
        <v>11</v>
      </c>
      <c r="C1184" t="s">
        <v>652</v>
      </c>
      <c r="D1184">
        <v>1</v>
      </c>
      <c r="E1184" s="123">
        <v>26467</v>
      </c>
      <c r="F1184">
        <v>1</v>
      </c>
    </row>
    <row r="1185" spans="1:6" x14ac:dyDescent="0.25">
      <c r="A1185" t="s">
        <v>2005</v>
      </c>
      <c r="B1185" t="s">
        <v>17</v>
      </c>
      <c r="C1185" t="s">
        <v>274</v>
      </c>
      <c r="D1185">
        <v>3</v>
      </c>
      <c r="E1185" s="123">
        <v>28928</v>
      </c>
      <c r="F1185">
        <v>2</v>
      </c>
    </row>
    <row r="1186" spans="1:6" hidden="1" x14ac:dyDescent="0.25">
      <c r="A1186" t="s">
        <v>2002</v>
      </c>
      <c r="B1186" t="s">
        <v>11</v>
      </c>
      <c r="C1186" t="s">
        <v>237</v>
      </c>
      <c r="D1186">
        <v>1</v>
      </c>
      <c r="E1186" s="123">
        <v>34425</v>
      </c>
      <c r="F1186">
        <v>1</v>
      </c>
    </row>
    <row r="1187" spans="1:6" x14ac:dyDescent="0.25">
      <c r="A1187" t="s">
        <v>2005</v>
      </c>
      <c r="B1187" t="s">
        <v>17</v>
      </c>
      <c r="C1187" t="s">
        <v>208</v>
      </c>
      <c r="D1187">
        <v>3</v>
      </c>
      <c r="E1187" s="123">
        <v>5215.78</v>
      </c>
      <c r="F1187">
        <v>3</v>
      </c>
    </row>
    <row r="1188" spans="1:6" hidden="1" x14ac:dyDescent="0.25">
      <c r="A1188" t="s">
        <v>2005</v>
      </c>
      <c r="B1188" t="s">
        <v>10</v>
      </c>
      <c r="C1188" t="s">
        <v>60</v>
      </c>
      <c r="D1188">
        <v>3</v>
      </c>
      <c r="E1188" s="123">
        <v>5518.92</v>
      </c>
      <c r="F1188">
        <v>3</v>
      </c>
    </row>
    <row r="1189" spans="1:6" hidden="1" x14ac:dyDescent="0.25">
      <c r="A1189" t="s">
        <v>2002</v>
      </c>
      <c r="B1189" t="s">
        <v>11</v>
      </c>
      <c r="C1189" t="s">
        <v>292</v>
      </c>
      <c r="D1189">
        <v>1</v>
      </c>
      <c r="E1189" s="123">
        <v>46419.99</v>
      </c>
      <c r="F1189">
        <v>1</v>
      </c>
    </row>
    <row r="1190" spans="1:6" hidden="1" x14ac:dyDescent="0.25">
      <c r="A1190" t="s">
        <v>2001</v>
      </c>
      <c r="B1190" t="s">
        <v>11</v>
      </c>
      <c r="C1190" t="s">
        <v>210</v>
      </c>
      <c r="D1190">
        <v>1</v>
      </c>
      <c r="E1190" s="123">
        <v>1222</v>
      </c>
      <c r="F1190">
        <v>1</v>
      </c>
    </row>
    <row r="1191" spans="1:6" hidden="1" x14ac:dyDescent="0.25">
      <c r="A1191" t="s">
        <v>2001</v>
      </c>
      <c r="B1191" t="s">
        <v>11</v>
      </c>
      <c r="C1191" t="s">
        <v>1947</v>
      </c>
      <c r="D1191">
        <v>1</v>
      </c>
      <c r="E1191" s="123">
        <v>2000</v>
      </c>
      <c r="F1191">
        <v>1</v>
      </c>
    </row>
    <row r="1192" spans="1:6" hidden="1" x14ac:dyDescent="0.25">
      <c r="A1192" t="s">
        <v>2001</v>
      </c>
      <c r="B1192" t="s">
        <v>11</v>
      </c>
      <c r="C1192" t="s">
        <v>1830</v>
      </c>
      <c r="D1192">
        <v>1</v>
      </c>
      <c r="E1192" s="123">
        <v>2009.72</v>
      </c>
      <c r="F1192">
        <v>1</v>
      </c>
    </row>
    <row r="1193" spans="1:6" hidden="1" x14ac:dyDescent="0.25">
      <c r="A1193" t="s">
        <v>2001</v>
      </c>
      <c r="B1193" t="s">
        <v>11</v>
      </c>
      <c r="C1193" t="s">
        <v>1476</v>
      </c>
      <c r="D1193">
        <v>1</v>
      </c>
      <c r="E1193" s="123">
        <v>2100</v>
      </c>
      <c r="F1193">
        <v>1</v>
      </c>
    </row>
    <row r="1194" spans="1:6" hidden="1" x14ac:dyDescent="0.25">
      <c r="A1194" t="s">
        <v>2001</v>
      </c>
      <c r="B1194" t="s">
        <v>11</v>
      </c>
      <c r="C1194" t="s">
        <v>425</v>
      </c>
      <c r="D1194">
        <v>1</v>
      </c>
      <c r="E1194" s="123">
        <v>2197</v>
      </c>
      <c r="F1194">
        <v>1</v>
      </c>
    </row>
    <row r="1195" spans="1:6" hidden="1" x14ac:dyDescent="0.25">
      <c r="A1195" t="s">
        <v>2001</v>
      </c>
      <c r="B1195" t="s">
        <v>11</v>
      </c>
      <c r="C1195" t="s">
        <v>1858</v>
      </c>
      <c r="D1195">
        <v>1</v>
      </c>
      <c r="E1195" s="123">
        <v>2347</v>
      </c>
      <c r="F1195">
        <v>1</v>
      </c>
    </row>
    <row r="1196" spans="1:6" hidden="1" x14ac:dyDescent="0.25">
      <c r="A1196" t="s">
        <v>2001</v>
      </c>
      <c r="B1196" t="s">
        <v>11</v>
      </c>
      <c r="C1196" t="s">
        <v>1902</v>
      </c>
      <c r="D1196">
        <v>1</v>
      </c>
      <c r="E1196" s="123">
        <v>2630</v>
      </c>
      <c r="F1196">
        <v>1</v>
      </c>
    </row>
    <row r="1197" spans="1:6" hidden="1" x14ac:dyDescent="0.25">
      <c r="A1197" t="s">
        <v>2001</v>
      </c>
      <c r="B1197" t="s">
        <v>11</v>
      </c>
      <c r="C1197" t="s">
        <v>1939</v>
      </c>
      <c r="D1197">
        <v>1</v>
      </c>
      <c r="E1197" s="123">
        <v>3458</v>
      </c>
      <c r="F1197">
        <v>1</v>
      </c>
    </row>
    <row r="1198" spans="1:6" hidden="1" x14ac:dyDescent="0.25">
      <c r="A1198" t="s">
        <v>2001</v>
      </c>
      <c r="B1198" t="s">
        <v>11</v>
      </c>
      <c r="C1198" t="s">
        <v>1948</v>
      </c>
      <c r="D1198">
        <v>1</v>
      </c>
      <c r="E1198" s="123">
        <v>3506</v>
      </c>
      <c r="F1198">
        <v>1</v>
      </c>
    </row>
    <row r="1199" spans="1:6" hidden="1" x14ac:dyDescent="0.25">
      <c r="A1199" t="s">
        <v>2001</v>
      </c>
      <c r="B1199" t="s">
        <v>11</v>
      </c>
      <c r="C1199" t="s">
        <v>285</v>
      </c>
      <c r="D1199">
        <v>1</v>
      </c>
      <c r="E1199" s="123">
        <v>3515</v>
      </c>
      <c r="F1199">
        <v>1</v>
      </c>
    </row>
    <row r="1200" spans="1:6" hidden="1" x14ac:dyDescent="0.25">
      <c r="A1200" t="s">
        <v>2001</v>
      </c>
      <c r="B1200" t="s">
        <v>11</v>
      </c>
      <c r="C1200" t="s">
        <v>1856</v>
      </c>
      <c r="D1200">
        <v>1</v>
      </c>
      <c r="E1200" s="123">
        <v>3756</v>
      </c>
      <c r="F1200">
        <v>1</v>
      </c>
    </row>
    <row r="1201" spans="1:6" hidden="1" x14ac:dyDescent="0.25">
      <c r="A1201" t="s">
        <v>2004</v>
      </c>
      <c r="B1201" t="s">
        <v>10</v>
      </c>
      <c r="C1201" t="s">
        <v>297</v>
      </c>
      <c r="D1201">
        <v>3</v>
      </c>
      <c r="E1201" s="123">
        <v>6761.76</v>
      </c>
      <c r="F1201">
        <v>2</v>
      </c>
    </row>
    <row r="1202" spans="1:6" hidden="1" x14ac:dyDescent="0.25">
      <c r="A1202" t="s">
        <v>2001</v>
      </c>
      <c r="B1202" t="s">
        <v>11</v>
      </c>
      <c r="C1202" t="s">
        <v>32</v>
      </c>
      <c r="D1202">
        <v>1</v>
      </c>
      <c r="E1202" s="123">
        <v>4438</v>
      </c>
      <c r="F1202">
        <v>1</v>
      </c>
    </row>
    <row r="1203" spans="1:6" hidden="1" x14ac:dyDescent="0.25">
      <c r="A1203" t="s">
        <v>2001</v>
      </c>
      <c r="B1203" t="s">
        <v>11</v>
      </c>
      <c r="C1203" t="s">
        <v>1906</v>
      </c>
      <c r="D1203">
        <v>1</v>
      </c>
      <c r="E1203" s="123">
        <v>4685</v>
      </c>
      <c r="F1203">
        <v>1</v>
      </c>
    </row>
    <row r="1204" spans="1:6" hidden="1" x14ac:dyDescent="0.25">
      <c r="A1204" t="s">
        <v>2001</v>
      </c>
      <c r="B1204" t="s">
        <v>11</v>
      </c>
      <c r="C1204" t="s">
        <v>1860</v>
      </c>
      <c r="D1204">
        <v>1</v>
      </c>
      <c r="E1204" s="123">
        <v>4825</v>
      </c>
      <c r="F1204">
        <v>1</v>
      </c>
    </row>
    <row r="1205" spans="1:6" hidden="1" x14ac:dyDescent="0.25">
      <c r="A1205" t="s">
        <v>2001</v>
      </c>
      <c r="B1205" t="s">
        <v>11</v>
      </c>
      <c r="C1205" t="s">
        <v>1905</v>
      </c>
      <c r="D1205">
        <v>1</v>
      </c>
      <c r="E1205" s="123">
        <v>5117</v>
      </c>
      <c r="F1205">
        <v>1</v>
      </c>
    </row>
    <row r="1206" spans="1:6" hidden="1" x14ac:dyDescent="0.25">
      <c r="A1206" t="s">
        <v>2004</v>
      </c>
      <c r="B1206" t="s">
        <v>10</v>
      </c>
      <c r="C1206" t="s">
        <v>1074</v>
      </c>
      <c r="D1206">
        <v>3</v>
      </c>
      <c r="E1206" s="123">
        <v>29790.6</v>
      </c>
      <c r="F1206">
        <v>2</v>
      </c>
    </row>
    <row r="1207" spans="1:6" hidden="1" x14ac:dyDescent="0.25">
      <c r="A1207" t="s">
        <v>2001</v>
      </c>
      <c r="B1207" t="s">
        <v>11</v>
      </c>
      <c r="C1207" t="s">
        <v>187</v>
      </c>
      <c r="D1207">
        <v>1</v>
      </c>
      <c r="E1207" s="123">
        <v>6002</v>
      </c>
      <c r="F1207">
        <v>1</v>
      </c>
    </row>
    <row r="1208" spans="1:6" hidden="1" x14ac:dyDescent="0.25">
      <c r="A1208" t="s">
        <v>2004</v>
      </c>
      <c r="B1208" t="s">
        <v>10</v>
      </c>
      <c r="C1208" t="s">
        <v>1020</v>
      </c>
      <c r="D1208">
        <v>3</v>
      </c>
      <c r="E1208" s="123">
        <v>70441.56</v>
      </c>
      <c r="F1208">
        <v>2</v>
      </c>
    </row>
    <row r="1209" spans="1:6" x14ac:dyDescent="0.25">
      <c r="A1209" t="s">
        <v>2004</v>
      </c>
      <c r="B1209" t="s">
        <v>17</v>
      </c>
      <c r="C1209" t="s">
        <v>798</v>
      </c>
      <c r="D1209">
        <v>3</v>
      </c>
      <c r="E1209" s="123">
        <v>21529.25</v>
      </c>
      <c r="F1209">
        <v>3</v>
      </c>
    </row>
    <row r="1210" spans="1:6" hidden="1" x14ac:dyDescent="0.25">
      <c r="A1210" t="s">
        <v>2001</v>
      </c>
      <c r="B1210" t="s">
        <v>11</v>
      </c>
      <c r="C1210" t="s">
        <v>1989</v>
      </c>
      <c r="D1210">
        <v>1</v>
      </c>
      <c r="E1210" s="123">
        <v>6844</v>
      </c>
      <c r="F1210">
        <v>1</v>
      </c>
    </row>
    <row r="1211" spans="1:6" hidden="1" x14ac:dyDescent="0.25">
      <c r="A1211" t="s">
        <v>2001</v>
      </c>
      <c r="B1211" t="s">
        <v>11</v>
      </c>
      <c r="C1211" t="s">
        <v>1821</v>
      </c>
      <c r="D1211">
        <v>1</v>
      </c>
      <c r="E1211" s="123">
        <v>7527.99</v>
      </c>
      <c r="F1211">
        <v>1</v>
      </c>
    </row>
    <row r="1212" spans="1:6" hidden="1" x14ac:dyDescent="0.25">
      <c r="A1212" t="s">
        <v>2001</v>
      </c>
      <c r="B1212" t="s">
        <v>11</v>
      </c>
      <c r="C1212" t="s">
        <v>1844</v>
      </c>
      <c r="D1212">
        <v>1</v>
      </c>
      <c r="E1212" s="123">
        <v>9600</v>
      </c>
      <c r="F1212">
        <v>1</v>
      </c>
    </row>
    <row r="1213" spans="1:6" hidden="1" x14ac:dyDescent="0.25">
      <c r="A1213" t="s">
        <v>2001</v>
      </c>
      <c r="B1213" t="s">
        <v>11</v>
      </c>
      <c r="C1213" t="s">
        <v>1950</v>
      </c>
      <c r="D1213">
        <v>1</v>
      </c>
      <c r="E1213" s="123">
        <v>10706</v>
      </c>
      <c r="F1213">
        <v>1</v>
      </c>
    </row>
    <row r="1214" spans="1:6" hidden="1" x14ac:dyDescent="0.25">
      <c r="A1214" t="s">
        <v>2001</v>
      </c>
      <c r="B1214" t="s">
        <v>11</v>
      </c>
      <c r="C1214" t="s">
        <v>1953</v>
      </c>
      <c r="D1214">
        <v>1</v>
      </c>
      <c r="E1214" s="123">
        <v>10748</v>
      </c>
      <c r="F1214">
        <v>1</v>
      </c>
    </row>
    <row r="1215" spans="1:6" hidden="1" x14ac:dyDescent="0.25">
      <c r="A1215" t="s">
        <v>2001</v>
      </c>
      <c r="B1215" t="s">
        <v>11</v>
      </c>
      <c r="C1215" t="s">
        <v>1815</v>
      </c>
      <c r="D1215">
        <v>1</v>
      </c>
      <c r="E1215" s="123">
        <v>12200</v>
      </c>
      <c r="F1215">
        <v>1</v>
      </c>
    </row>
    <row r="1216" spans="1:6" x14ac:dyDescent="0.25">
      <c r="A1216" t="s">
        <v>2003</v>
      </c>
      <c r="B1216" t="s">
        <v>17</v>
      </c>
      <c r="C1216" t="s">
        <v>490</v>
      </c>
      <c r="D1216">
        <v>3</v>
      </c>
      <c r="E1216" s="123">
        <v>13182</v>
      </c>
      <c r="F1216">
        <v>1</v>
      </c>
    </row>
    <row r="1217" spans="1:6" hidden="1" x14ac:dyDescent="0.25">
      <c r="A1217" t="s">
        <v>2001</v>
      </c>
      <c r="B1217" t="s">
        <v>11</v>
      </c>
      <c r="C1217" t="s">
        <v>1838</v>
      </c>
      <c r="D1217">
        <v>1</v>
      </c>
      <c r="E1217" s="123">
        <v>12213</v>
      </c>
      <c r="F1217">
        <v>1</v>
      </c>
    </row>
    <row r="1218" spans="1:6" hidden="1" x14ac:dyDescent="0.25">
      <c r="A1218" t="s">
        <v>2001</v>
      </c>
      <c r="B1218" t="s">
        <v>11</v>
      </c>
      <c r="C1218" t="s">
        <v>1888</v>
      </c>
      <c r="D1218">
        <v>1</v>
      </c>
      <c r="E1218" s="123">
        <v>15386</v>
      </c>
      <c r="F1218">
        <v>1</v>
      </c>
    </row>
    <row r="1219" spans="1:6" hidden="1" x14ac:dyDescent="0.25">
      <c r="A1219" t="s">
        <v>2001</v>
      </c>
      <c r="B1219" t="s">
        <v>11</v>
      </c>
      <c r="C1219" t="s">
        <v>1904</v>
      </c>
      <c r="D1219">
        <v>1</v>
      </c>
      <c r="E1219" s="123">
        <v>16727</v>
      </c>
      <c r="F1219">
        <v>1</v>
      </c>
    </row>
    <row r="1220" spans="1:6" hidden="1" x14ac:dyDescent="0.25">
      <c r="A1220" t="s">
        <v>2001</v>
      </c>
      <c r="B1220" t="s">
        <v>11</v>
      </c>
      <c r="C1220" t="s">
        <v>652</v>
      </c>
      <c r="D1220">
        <v>1</v>
      </c>
      <c r="E1220" s="123">
        <v>26529</v>
      </c>
      <c r="F1220">
        <v>1</v>
      </c>
    </row>
    <row r="1221" spans="1:6" x14ac:dyDescent="0.25">
      <c r="A1221" t="s">
        <v>2003</v>
      </c>
      <c r="B1221" t="s">
        <v>17</v>
      </c>
      <c r="C1221" t="s">
        <v>206</v>
      </c>
      <c r="D1221">
        <v>3</v>
      </c>
      <c r="E1221" s="123">
        <v>15948</v>
      </c>
      <c r="F1221">
        <v>2</v>
      </c>
    </row>
    <row r="1222" spans="1:6" x14ac:dyDescent="0.25">
      <c r="A1222" t="s">
        <v>2003</v>
      </c>
      <c r="B1222" t="s">
        <v>17</v>
      </c>
      <c r="C1222" t="s">
        <v>837</v>
      </c>
      <c r="D1222">
        <v>3</v>
      </c>
      <c r="E1222" s="123">
        <v>16958.240000000002</v>
      </c>
      <c r="F1222">
        <v>2</v>
      </c>
    </row>
    <row r="1223" spans="1:6" hidden="1" x14ac:dyDescent="0.25">
      <c r="A1223" t="s">
        <v>2001</v>
      </c>
      <c r="B1223" t="s">
        <v>11</v>
      </c>
      <c r="C1223" t="s">
        <v>41</v>
      </c>
      <c r="D1223">
        <v>1</v>
      </c>
      <c r="E1223" s="123">
        <v>38409.449999999997</v>
      </c>
      <c r="F1223">
        <v>1</v>
      </c>
    </row>
    <row r="1224" spans="1:6" hidden="1" x14ac:dyDescent="0.25">
      <c r="A1224" t="s">
        <v>2001</v>
      </c>
      <c r="B1224" t="s">
        <v>11</v>
      </c>
      <c r="C1224" t="s">
        <v>1804</v>
      </c>
      <c r="D1224">
        <v>1</v>
      </c>
      <c r="E1224" s="123">
        <v>216760.43</v>
      </c>
      <c r="F1224">
        <v>1</v>
      </c>
    </row>
    <row r="1225" spans="1:6" hidden="1" x14ac:dyDescent="0.25">
      <c r="A1225" t="s">
        <v>2003</v>
      </c>
      <c r="B1225" t="s">
        <v>10</v>
      </c>
      <c r="C1225" t="s">
        <v>152</v>
      </c>
      <c r="D1225">
        <v>3</v>
      </c>
      <c r="E1225" s="123">
        <v>10645.12</v>
      </c>
      <c r="F1225">
        <v>3</v>
      </c>
    </row>
    <row r="1226" spans="1:6" hidden="1" x14ac:dyDescent="0.25">
      <c r="A1226" t="s">
        <v>2001</v>
      </c>
      <c r="B1226" t="s">
        <v>11</v>
      </c>
      <c r="C1226" t="s">
        <v>1771</v>
      </c>
      <c r="D1226">
        <v>1</v>
      </c>
      <c r="E1226" s="123">
        <v>431300.1</v>
      </c>
      <c r="F1226">
        <v>1</v>
      </c>
    </row>
    <row r="1227" spans="1:6" x14ac:dyDescent="0.25">
      <c r="A1227" t="s">
        <v>2003</v>
      </c>
      <c r="B1227" t="s">
        <v>17</v>
      </c>
      <c r="C1227" t="s">
        <v>778</v>
      </c>
      <c r="D1227">
        <v>3</v>
      </c>
      <c r="E1227" s="123">
        <v>12973.99</v>
      </c>
      <c r="F1227">
        <v>3</v>
      </c>
    </row>
    <row r="1228" spans="1:6" hidden="1" x14ac:dyDescent="0.25">
      <c r="A1228" t="s">
        <v>2005</v>
      </c>
      <c r="B1228" t="s">
        <v>11</v>
      </c>
      <c r="C1228" t="s">
        <v>500</v>
      </c>
      <c r="D1228">
        <v>2</v>
      </c>
      <c r="E1228" s="123">
        <v>6859</v>
      </c>
      <c r="F1228">
        <v>1</v>
      </c>
    </row>
    <row r="1229" spans="1:6" hidden="1" x14ac:dyDescent="0.25">
      <c r="A1229" t="s">
        <v>2005</v>
      </c>
      <c r="B1229" t="s">
        <v>11</v>
      </c>
      <c r="C1229" t="s">
        <v>474</v>
      </c>
      <c r="D1229">
        <v>2</v>
      </c>
      <c r="E1229" s="123">
        <v>7012.28</v>
      </c>
      <c r="F1229">
        <v>1</v>
      </c>
    </row>
    <row r="1230" spans="1:6" hidden="1" x14ac:dyDescent="0.25">
      <c r="A1230" t="s">
        <v>2005</v>
      </c>
      <c r="B1230" t="s">
        <v>11</v>
      </c>
      <c r="C1230" t="s">
        <v>113</v>
      </c>
      <c r="D1230">
        <v>2</v>
      </c>
      <c r="E1230" s="123">
        <v>7445.97</v>
      </c>
      <c r="F1230">
        <v>1</v>
      </c>
    </row>
    <row r="1231" spans="1:6" x14ac:dyDescent="0.25">
      <c r="A1231" t="s">
        <v>2003</v>
      </c>
      <c r="B1231" t="s">
        <v>17</v>
      </c>
      <c r="C1231" t="s">
        <v>973</v>
      </c>
      <c r="D1231">
        <v>3</v>
      </c>
      <c r="E1231" s="123">
        <v>22950.27</v>
      </c>
      <c r="F1231">
        <v>3</v>
      </c>
    </row>
    <row r="1232" spans="1:6" hidden="1" x14ac:dyDescent="0.25">
      <c r="A1232" t="s">
        <v>2003</v>
      </c>
      <c r="B1232" t="s">
        <v>10</v>
      </c>
      <c r="C1232" t="s">
        <v>74</v>
      </c>
      <c r="D1232">
        <v>3</v>
      </c>
      <c r="E1232" s="123">
        <v>28453.55</v>
      </c>
      <c r="F1232">
        <v>3</v>
      </c>
    </row>
    <row r="1233" spans="1:6" hidden="1" x14ac:dyDescent="0.25">
      <c r="A1233" t="s">
        <v>2003</v>
      </c>
      <c r="B1233" t="s">
        <v>47</v>
      </c>
      <c r="C1233" t="s">
        <v>806</v>
      </c>
      <c r="D1233">
        <v>3</v>
      </c>
      <c r="E1233" s="123">
        <v>28502.62</v>
      </c>
      <c r="F1233">
        <v>3</v>
      </c>
    </row>
    <row r="1234" spans="1:6" hidden="1" x14ac:dyDescent="0.25">
      <c r="A1234" t="s">
        <v>2005</v>
      </c>
      <c r="B1234" t="s">
        <v>11</v>
      </c>
      <c r="C1234" t="s">
        <v>80</v>
      </c>
      <c r="D1234">
        <v>2</v>
      </c>
      <c r="E1234" s="123">
        <v>7838.9600000000009</v>
      </c>
      <c r="F1234">
        <v>1</v>
      </c>
    </row>
    <row r="1235" spans="1:6" hidden="1" x14ac:dyDescent="0.25">
      <c r="A1235" t="s">
        <v>2005</v>
      </c>
      <c r="B1235" t="s">
        <v>11</v>
      </c>
      <c r="C1235" t="s">
        <v>580</v>
      </c>
      <c r="D1235">
        <v>2</v>
      </c>
      <c r="E1235" s="123">
        <v>9156</v>
      </c>
      <c r="F1235">
        <v>1</v>
      </c>
    </row>
    <row r="1236" spans="1:6" hidden="1" x14ac:dyDescent="0.25">
      <c r="A1236" t="s">
        <v>2005</v>
      </c>
      <c r="B1236" t="s">
        <v>11</v>
      </c>
      <c r="C1236" t="s">
        <v>218</v>
      </c>
      <c r="D1236">
        <v>2</v>
      </c>
      <c r="E1236" s="123">
        <v>10137</v>
      </c>
      <c r="F1236">
        <v>1</v>
      </c>
    </row>
    <row r="1237" spans="1:6" hidden="1" x14ac:dyDescent="0.25">
      <c r="A1237" t="s">
        <v>2005</v>
      </c>
      <c r="B1237" t="s">
        <v>11</v>
      </c>
      <c r="C1237" t="s">
        <v>591</v>
      </c>
      <c r="D1237">
        <v>2</v>
      </c>
      <c r="E1237" s="123">
        <v>10578.3</v>
      </c>
      <c r="F1237">
        <v>1</v>
      </c>
    </row>
    <row r="1238" spans="1:6" hidden="1" x14ac:dyDescent="0.25">
      <c r="A1238" t="s">
        <v>2005</v>
      </c>
      <c r="B1238" t="s">
        <v>11</v>
      </c>
      <c r="C1238" t="s">
        <v>26</v>
      </c>
      <c r="D1238">
        <v>2</v>
      </c>
      <c r="E1238" s="123">
        <v>56235.95</v>
      </c>
      <c r="F1238">
        <v>1</v>
      </c>
    </row>
    <row r="1239" spans="1:6" hidden="1" x14ac:dyDescent="0.25">
      <c r="A1239" t="s">
        <v>2004</v>
      </c>
      <c r="B1239" t="s">
        <v>11</v>
      </c>
      <c r="C1239" t="s">
        <v>1102</v>
      </c>
      <c r="D1239">
        <v>2</v>
      </c>
      <c r="E1239" s="123">
        <v>5162</v>
      </c>
      <c r="F1239">
        <v>1</v>
      </c>
    </row>
    <row r="1240" spans="1:6" hidden="1" x14ac:dyDescent="0.25">
      <c r="A1240" t="s">
        <v>2004</v>
      </c>
      <c r="B1240" t="s">
        <v>11</v>
      </c>
      <c r="C1240" t="s">
        <v>1151</v>
      </c>
      <c r="D1240">
        <v>2</v>
      </c>
      <c r="E1240" s="123">
        <v>17836.03</v>
      </c>
      <c r="F1240">
        <v>1</v>
      </c>
    </row>
    <row r="1241" spans="1:6" hidden="1" x14ac:dyDescent="0.25">
      <c r="A1241" t="s">
        <v>2004</v>
      </c>
      <c r="B1241" t="s">
        <v>11</v>
      </c>
      <c r="C1241" t="s">
        <v>58</v>
      </c>
      <c r="D1241">
        <v>2</v>
      </c>
      <c r="E1241" s="123">
        <v>37699.75</v>
      </c>
      <c r="F1241">
        <v>1</v>
      </c>
    </row>
    <row r="1242" spans="1:6" hidden="1" x14ac:dyDescent="0.25">
      <c r="A1242" t="s">
        <v>2004</v>
      </c>
      <c r="B1242" t="s">
        <v>11</v>
      </c>
      <c r="C1242" t="s">
        <v>1104</v>
      </c>
      <c r="D1242">
        <v>2</v>
      </c>
      <c r="E1242" s="123">
        <v>101978.97</v>
      </c>
      <c r="F1242">
        <v>1</v>
      </c>
    </row>
    <row r="1243" spans="1:6" x14ac:dyDescent="0.25">
      <c r="A1243" t="s">
        <v>2002</v>
      </c>
      <c r="B1243" t="s">
        <v>17</v>
      </c>
      <c r="C1243" t="s">
        <v>1074</v>
      </c>
      <c r="D1243">
        <v>3</v>
      </c>
      <c r="E1243" s="123">
        <v>18843.63</v>
      </c>
      <c r="F1243">
        <v>1</v>
      </c>
    </row>
    <row r="1244" spans="1:6" x14ac:dyDescent="0.25">
      <c r="A1244" t="s">
        <v>2002</v>
      </c>
      <c r="B1244" t="s">
        <v>17</v>
      </c>
      <c r="C1244" t="s">
        <v>1525</v>
      </c>
      <c r="D1244">
        <v>3</v>
      </c>
      <c r="E1244" s="123">
        <v>53100.959999999999</v>
      </c>
      <c r="F1244">
        <v>1</v>
      </c>
    </row>
    <row r="1245" spans="1:6" hidden="1" x14ac:dyDescent="0.25">
      <c r="A1245" t="s">
        <v>2004</v>
      </c>
      <c r="B1245" t="s">
        <v>11</v>
      </c>
      <c r="C1245" t="s">
        <v>478</v>
      </c>
      <c r="D1245">
        <v>2</v>
      </c>
      <c r="E1245" s="123">
        <v>1660.28</v>
      </c>
      <c r="F1245">
        <v>2</v>
      </c>
    </row>
    <row r="1246" spans="1:6" hidden="1" x14ac:dyDescent="0.25">
      <c r="A1246" t="s">
        <v>2004</v>
      </c>
      <c r="B1246" t="s">
        <v>11</v>
      </c>
      <c r="C1246" t="s">
        <v>957</v>
      </c>
      <c r="D1246">
        <v>2</v>
      </c>
      <c r="E1246" s="123">
        <v>26925.439999999999</v>
      </c>
      <c r="F1246">
        <v>2</v>
      </c>
    </row>
    <row r="1247" spans="1:6" x14ac:dyDescent="0.25">
      <c r="A1247" t="s">
        <v>2002</v>
      </c>
      <c r="B1247" t="s">
        <v>17</v>
      </c>
      <c r="C1247" t="s">
        <v>1510</v>
      </c>
      <c r="D1247">
        <v>3</v>
      </c>
      <c r="E1247" s="123">
        <v>6020.72</v>
      </c>
      <c r="F1247">
        <v>2</v>
      </c>
    </row>
    <row r="1248" spans="1:6" hidden="1" x14ac:dyDescent="0.25">
      <c r="A1248" t="s">
        <v>2003</v>
      </c>
      <c r="B1248" t="s">
        <v>11</v>
      </c>
      <c r="C1248" t="s">
        <v>32</v>
      </c>
      <c r="D1248">
        <v>2</v>
      </c>
      <c r="E1248" s="123">
        <v>228</v>
      </c>
      <c r="F1248">
        <v>1</v>
      </c>
    </row>
    <row r="1249" spans="1:6" hidden="1" x14ac:dyDescent="0.25">
      <c r="A1249" t="s">
        <v>2003</v>
      </c>
      <c r="B1249" t="s">
        <v>11</v>
      </c>
      <c r="C1249" t="s">
        <v>1447</v>
      </c>
      <c r="D1249">
        <v>2</v>
      </c>
      <c r="E1249" s="123">
        <v>2996</v>
      </c>
      <c r="F1249">
        <v>1</v>
      </c>
    </row>
    <row r="1250" spans="1:6" hidden="1" x14ac:dyDescent="0.25">
      <c r="A1250" t="s">
        <v>2003</v>
      </c>
      <c r="B1250" t="s">
        <v>11</v>
      </c>
      <c r="C1250" t="s">
        <v>70</v>
      </c>
      <c r="D1250">
        <v>2</v>
      </c>
      <c r="E1250" s="123">
        <v>6555</v>
      </c>
      <c r="F1250">
        <v>1</v>
      </c>
    </row>
    <row r="1251" spans="1:6" hidden="1" x14ac:dyDescent="0.25">
      <c r="A1251" t="s">
        <v>2002</v>
      </c>
      <c r="B1251" t="s">
        <v>10</v>
      </c>
      <c r="C1251" t="s">
        <v>806</v>
      </c>
      <c r="D1251">
        <v>3</v>
      </c>
      <c r="E1251" s="123">
        <v>14208.35</v>
      </c>
      <c r="F1251">
        <v>2</v>
      </c>
    </row>
    <row r="1252" spans="1:6" hidden="1" x14ac:dyDescent="0.25">
      <c r="A1252" t="s">
        <v>2003</v>
      </c>
      <c r="B1252" t="s">
        <v>11</v>
      </c>
      <c r="C1252" t="s">
        <v>339</v>
      </c>
      <c r="D1252">
        <v>2</v>
      </c>
      <c r="E1252" s="123">
        <v>9489.98</v>
      </c>
      <c r="F1252">
        <v>1</v>
      </c>
    </row>
    <row r="1253" spans="1:6" x14ac:dyDescent="0.25">
      <c r="A1253" t="s">
        <v>2002</v>
      </c>
      <c r="B1253" t="s">
        <v>17</v>
      </c>
      <c r="C1253" t="s">
        <v>545</v>
      </c>
      <c r="D1253">
        <v>3</v>
      </c>
      <c r="E1253" s="123">
        <v>17266.599999999999</v>
      </c>
      <c r="F1253">
        <v>2</v>
      </c>
    </row>
    <row r="1254" spans="1:6" hidden="1" x14ac:dyDescent="0.25">
      <c r="A1254" t="s">
        <v>2003</v>
      </c>
      <c r="B1254" t="s">
        <v>11</v>
      </c>
      <c r="C1254" t="s">
        <v>130</v>
      </c>
      <c r="D1254">
        <v>2</v>
      </c>
      <c r="E1254" s="123">
        <v>15526.97</v>
      </c>
      <c r="F1254">
        <v>1</v>
      </c>
    </row>
    <row r="1255" spans="1:6" x14ac:dyDescent="0.25">
      <c r="A1255" t="s">
        <v>2002</v>
      </c>
      <c r="B1255" t="s">
        <v>17</v>
      </c>
      <c r="C1255" t="s">
        <v>74</v>
      </c>
      <c r="D1255">
        <v>3</v>
      </c>
      <c r="E1255" s="123">
        <v>4866</v>
      </c>
      <c r="F1255">
        <v>3</v>
      </c>
    </row>
    <row r="1256" spans="1:6" hidden="1" x14ac:dyDescent="0.25">
      <c r="A1256" t="s">
        <v>2003</v>
      </c>
      <c r="B1256" t="s">
        <v>11</v>
      </c>
      <c r="C1256" t="s">
        <v>1044</v>
      </c>
      <c r="D1256">
        <v>2</v>
      </c>
      <c r="E1256" s="123">
        <v>29020</v>
      </c>
      <c r="F1256">
        <v>1</v>
      </c>
    </row>
    <row r="1257" spans="1:6" hidden="1" x14ac:dyDescent="0.25">
      <c r="A1257" t="s">
        <v>2001</v>
      </c>
      <c r="B1257" t="s">
        <v>10</v>
      </c>
      <c r="C1257" t="s">
        <v>1927</v>
      </c>
      <c r="D1257">
        <v>3</v>
      </c>
      <c r="E1257" s="123">
        <v>2259</v>
      </c>
      <c r="F1257">
        <v>1</v>
      </c>
    </row>
    <row r="1258" spans="1:6" hidden="1" x14ac:dyDescent="0.25">
      <c r="A1258" t="s">
        <v>2003</v>
      </c>
      <c r="B1258" t="s">
        <v>11</v>
      </c>
      <c r="C1258" t="s">
        <v>43</v>
      </c>
      <c r="D1258">
        <v>2</v>
      </c>
      <c r="E1258" s="123">
        <v>8989</v>
      </c>
      <c r="F1258">
        <v>2</v>
      </c>
    </row>
    <row r="1259" spans="1:6" hidden="1" x14ac:dyDescent="0.25">
      <c r="A1259" t="s">
        <v>2001</v>
      </c>
      <c r="B1259" t="s">
        <v>10</v>
      </c>
      <c r="C1259" t="s">
        <v>1786</v>
      </c>
      <c r="D1259">
        <v>3</v>
      </c>
      <c r="E1259" s="123">
        <v>5579.99</v>
      </c>
      <c r="F1259">
        <v>1</v>
      </c>
    </row>
    <row r="1260" spans="1:6" hidden="1" x14ac:dyDescent="0.25">
      <c r="A1260" t="s">
        <v>2003</v>
      </c>
      <c r="B1260" t="s">
        <v>11</v>
      </c>
      <c r="C1260" t="s">
        <v>117</v>
      </c>
      <c r="D1260">
        <v>2</v>
      </c>
      <c r="E1260" s="123">
        <v>10523.36</v>
      </c>
      <c r="F1260">
        <v>2</v>
      </c>
    </row>
    <row r="1261" spans="1:6" hidden="1" x14ac:dyDescent="0.25">
      <c r="A1261" t="s">
        <v>2001</v>
      </c>
      <c r="B1261" t="s">
        <v>47</v>
      </c>
      <c r="C1261" t="s">
        <v>1846</v>
      </c>
      <c r="D1261">
        <v>3</v>
      </c>
      <c r="E1261" s="123">
        <v>7600</v>
      </c>
      <c r="F1261">
        <v>1</v>
      </c>
    </row>
    <row r="1262" spans="1:6" hidden="1" x14ac:dyDescent="0.25">
      <c r="A1262" t="s">
        <v>2001</v>
      </c>
      <c r="B1262" t="s">
        <v>10</v>
      </c>
      <c r="C1262" t="s">
        <v>306</v>
      </c>
      <c r="D1262">
        <v>3</v>
      </c>
      <c r="E1262" s="123">
        <v>7777.24</v>
      </c>
      <c r="F1262">
        <v>1</v>
      </c>
    </row>
    <row r="1263" spans="1:6" hidden="1" x14ac:dyDescent="0.25">
      <c r="A1263" t="s">
        <v>2002</v>
      </c>
      <c r="B1263" t="s">
        <v>11</v>
      </c>
      <c r="C1263" t="s">
        <v>721</v>
      </c>
      <c r="D1263">
        <v>2</v>
      </c>
      <c r="E1263" s="123">
        <v>1596</v>
      </c>
      <c r="F1263">
        <v>1</v>
      </c>
    </row>
    <row r="1264" spans="1:6" hidden="1" x14ac:dyDescent="0.25">
      <c r="A1264" t="s">
        <v>2001</v>
      </c>
      <c r="B1264" t="s">
        <v>47</v>
      </c>
      <c r="C1264" t="s">
        <v>538</v>
      </c>
      <c r="D1264">
        <v>3</v>
      </c>
      <c r="E1264" s="123">
        <v>8843.99</v>
      </c>
      <c r="F1264">
        <v>1</v>
      </c>
    </row>
    <row r="1265" spans="1:6" x14ac:dyDescent="0.25">
      <c r="A1265" t="s">
        <v>2001</v>
      </c>
      <c r="B1265" t="s">
        <v>17</v>
      </c>
      <c r="C1265" t="s">
        <v>848</v>
      </c>
      <c r="D1265">
        <v>3</v>
      </c>
      <c r="E1265" s="123">
        <v>9594</v>
      </c>
      <c r="F1265">
        <v>1</v>
      </c>
    </row>
    <row r="1266" spans="1:6" hidden="1" x14ac:dyDescent="0.25">
      <c r="A1266" t="s">
        <v>2001</v>
      </c>
      <c r="B1266" t="s">
        <v>10</v>
      </c>
      <c r="C1266" t="s">
        <v>1977</v>
      </c>
      <c r="D1266">
        <v>3</v>
      </c>
      <c r="E1266" s="123">
        <v>12778</v>
      </c>
      <c r="F1266">
        <v>1</v>
      </c>
    </row>
    <row r="1267" spans="1:6" hidden="1" x14ac:dyDescent="0.25">
      <c r="A1267" t="s">
        <v>2002</v>
      </c>
      <c r="B1267" t="s">
        <v>11</v>
      </c>
      <c r="C1267" t="s">
        <v>467</v>
      </c>
      <c r="D1267">
        <v>2</v>
      </c>
      <c r="E1267" s="123">
        <v>2018</v>
      </c>
      <c r="F1267">
        <v>1</v>
      </c>
    </row>
    <row r="1268" spans="1:6" hidden="1" x14ac:dyDescent="0.25">
      <c r="A1268" t="s">
        <v>2002</v>
      </c>
      <c r="B1268" t="s">
        <v>11</v>
      </c>
      <c r="C1268" t="s">
        <v>614</v>
      </c>
      <c r="D1268">
        <v>2</v>
      </c>
      <c r="E1268" s="123">
        <v>2331</v>
      </c>
      <c r="F1268">
        <v>1</v>
      </c>
    </row>
    <row r="1269" spans="1:6" hidden="1" x14ac:dyDescent="0.25">
      <c r="A1269" t="s">
        <v>2001</v>
      </c>
      <c r="B1269" t="s">
        <v>47</v>
      </c>
      <c r="C1269" t="s">
        <v>1897</v>
      </c>
      <c r="D1269">
        <v>3</v>
      </c>
      <c r="E1269" s="123">
        <v>39897</v>
      </c>
      <c r="F1269">
        <v>1</v>
      </c>
    </row>
    <row r="1270" spans="1:6" hidden="1" x14ac:dyDescent="0.25">
      <c r="A1270" t="s">
        <v>2002</v>
      </c>
      <c r="B1270" t="s">
        <v>11</v>
      </c>
      <c r="C1270" t="s">
        <v>30</v>
      </c>
      <c r="D1270">
        <v>2</v>
      </c>
      <c r="E1270" s="123">
        <v>3291</v>
      </c>
      <c r="F1270">
        <v>1</v>
      </c>
    </row>
    <row r="1271" spans="1:6" hidden="1" x14ac:dyDescent="0.25">
      <c r="A1271" t="s">
        <v>2002</v>
      </c>
      <c r="B1271" t="s">
        <v>11</v>
      </c>
      <c r="C1271" t="s">
        <v>113</v>
      </c>
      <c r="D1271">
        <v>2</v>
      </c>
      <c r="E1271" s="123">
        <v>3404.12</v>
      </c>
      <c r="F1271">
        <v>1</v>
      </c>
    </row>
    <row r="1272" spans="1:6" hidden="1" x14ac:dyDescent="0.25">
      <c r="A1272" t="s">
        <v>2002</v>
      </c>
      <c r="B1272" t="s">
        <v>11</v>
      </c>
      <c r="C1272" t="s">
        <v>46</v>
      </c>
      <c r="D1272">
        <v>2</v>
      </c>
      <c r="E1272" s="123">
        <v>3442</v>
      </c>
      <c r="F1272">
        <v>1</v>
      </c>
    </row>
    <row r="1273" spans="1:6" hidden="1" x14ac:dyDescent="0.25">
      <c r="A1273" t="s">
        <v>2001</v>
      </c>
      <c r="B1273" t="s">
        <v>47</v>
      </c>
      <c r="C1273" t="s">
        <v>306</v>
      </c>
      <c r="D1273">
        <v>3</v>
      </c>
      <c r="E1273" s="123">
        <v>42703.740000000013</v>
      </c>
      <c r="F1273">
        <v>3</v>
      </c>
    </row>
    <row r="1274" spans="1:6" x14ac:dyDescent="0.25">
      <c r="A1274" t="s">
        <v>2005</v>
      </c>
      <c r="B1274" t="s">
        <v>17</v>
      </c>
      <c r="C1274" t="s">
        <v>739</v>
      </c>
      <c r="D1274">
        <v>4</v>
      </c>
      <c r="E1274" s="123">
        <v>8601</v>
      </c>
      <c r="F1274">
        <v>1</v>
      </c>
    </row>
    <row r="1275" spans="1:6" hidden="1" x14ac:dyDescent="0.25">
      <c r="A1275" t="s">
        <v>2005</v>
      </c>
      <c r="B1275" t="s">
        <v>10</v>
      </c>
      <c r="C1275" t="s">
        <v>717</v>
      </c>
      <c r="D1275">
        <v>4</v>
      </c>
      <c r="E1275" s="123">
        <v>14289.98</v>
      </c>
      <c r="F1275">
        <v>1</v>
      </c>
    </row>
    <row r="1276" spans="1:6" hidden="1" x14ac:dyDescent="0.25">
      <c r="A1276" t="s">
        <v>2002</v>
      </c>
      <c r="B1276" t="s">
        <v>11</v>
      </c>
      <c r="C1276" t="s">
        <v>648</v>
      </c>
      <c r="D1276">
        <v>2</v>
      </c>
      <c r="E1276" s="123">
        <v>3710</v>
      </c>
      <c r="F1276">
        <v>1</v>
      </c>
    </row>
    <row r="1277" spans="1:6" hidden="1" x14ac:dyDescent="0.25">
      <c r="A1277" t="s">
        <v>2002</v>
      </c>
      <c r="B1277" t="s">
        <v>11</v>
      </c>
      <c r="C1277" t="s">
        <v>129</v>
      </c>
      <c r="D1277">
        <v>2</v>
      </c>
      <c r="E1277" s="123">
        <v>3713</v>
      </c>
      <c r="F1277">
        <v>1</v>
      </c>
    </row>
    <row r="1278" spans="1:6" hidden="1" x14ac:dyDescent="0.25">
      <c r="A1278" t="s">
        <v>2005</v>
      </c>
      <c r="B1278" t="s">
        <v>10</v>
      </c>
      <c r="C1278" t="s">
        <v>698</v>
      </c>
      <c r="D1278">
        <v>4</v>
      </c>
      <c r="E1278" s="123">
        <v>13441.04</v>
      </c>
      <c r="F1278">
        <v>2</v>
      </c>
    </row>
    <row r="1279" spans="1:6" hidden="1" x14ac:dyDescent="0.25">
      <c r="A1279" t="s">
        <v>2002</v>
      </c>
      <c r="B1279" t="s">
        <v>11</v>
      </c>
      <c r="C1279" t="s">
        <v>119</v>
      </c>
      <c r="D1279">
        <v>2</v>
      </c>
      <c r="E1279" s="123">
        <v>4331</v>
      </c>
      <c r="F1279">
        <v>1</v>
      </c>
    </row>
    <row r="1280" spans="1:6" hidden="1" x14ac:dyDescent="0.25">
      <c r="A1280" t="s">
        <v>2002</v>
      </c>
      <c r="B1280" t="s">
        <v>11</v>
      </c>
      <c r="C1280" t="s">
        <v>1498</v>
      </c>
      <c r="D1280">
        <v>2</v>
      </c>
      <c r="E1280" s="123">
        <v>5919.88</v>
      </c>
      <c r="F1280">
        <v>1</v>
      </c>
    </row>
    <row r="1281" spans="1:6" hidden="1" x14ac:dyDescent="0.25">
      <c r="A1281" t="s">
        <v>2002</v>
      </c>
      <c r="B1281" t="s">
        <v>11</v>
      </c>
      <c r="C1281" t="s">
        <v>356</v>
      </c>
      <c r="D1281">
        <v>2</v>
      </c>
      <c r="E1281" s="123">
        <v>7649</v>
      </c>
      <c r="F1281">
        <v>1</v>
      </c>
    </row>
    <row r="1282" spans="1:6" hidden="1" x14ac:dyDescent="0.25">
      <c r="A1282" t="s">
        <v>2002</v>
      </c>
      <c r="B1282" t="s">
        <v>11</v>
      </c>
      <c r="C1282" t="s">
        <v>1524</v>
      </c>
      <c r="D1282">
        <v>2</v>
      </c>
      <c r="E1282" s="123">
        <v>7826.2</v>
      </c>
      <c r="F1282">
        <v>1</v>
      </c>
    </row>
    <row r="1283" spans="1:6" hidden="1" x14ac:dyDescent="0.25">
      <c r="A1283" t="s">
        <v>2002</v>
      </c>
      <c r="B1283" t="s">
        <v>11</v>
      </c>
      <c r="C1283" t="s">
        <v>390</v>
      </c>
      <c r="D1283">
        <v>2</v>
      </c>
      <c r="E1283" s="123">
        <v>7855</v>
      </c>
      <c r="F1283">
        <v>1</v>
      </c>
    </row>
    <row r="1284" spans="1:6" hidden="1" x14ac:dyDescent="0.25">
      <c r="A1284" t="s">
        <v>2002</v>
      </c>
      <c r="B1284" t="s">
        <v>11</v>
      </c>
      <c r="C1284" t="s">
        <v>1724</v>
      </c>
      <c r="D1284">
        <v>2</v>
      </c>
      <c r="E1284" s="123">
        <v>11356</v>
      </c>
      <c r="F1284">
        <v>1</v>
      </c>
    </row>
    <row r="1285" spans="1:6" hidden="1" x14ac:dyDescent="0.25">
      <c r="A1285" t="s">
        <v>2005</v>
      </c>
      <c r="B1285" t="s">
        <v>10</v>
      </c>
      <c r="C1285" t="s">
        <v>161</v>
      </c>
      <c r="D1285">
        <v>4</v>
      </c>
      <c r="E1285" s="123">
        <v>13461.97</v>
      </c>
      <c r="F1285">
        <v>4</v>
      </c>
    </row>
    <row r="1286" spans="1:6" hidden="1" x14ac:dyDescent="0.25">
      <c r="A1286" t="s">
        <v>2002</v>
      </c>
      <c r="B1286" t="s">
        <v>11</v>
      </c>
      <c r="C1286" t="s">
        <v>1675</v>
      </c>
      <c r="D1286">
        <v>2</v>
      </c>
      <c r="E1286" s="123">
        <v>11484</v>
      </c>
      <c r="F1286">
        <v>1</v>
      </c>
    </row>
    <row r="1287" spans="1:6" hidden="1" x14ac:dyDescent="0.25">
      <c r="A1287" t="s">
        <v>2004</v>
      </c>
      <c r="B1287" t="s">
        <v>10</v>
      </c>
      <c r="C1287" t="s">
        <v>871</v>
      </c>
      <c r="D1287">
        <v>4</v>
      </c>
      <c r="E1287" s="123">
        <v>13792.2</v>
      </c>
      <c r="F1287">
        <v>1</v>
      </c>
    </row>
    <row r="1288" spans="1:6" hidden="1" x14ac:dyDescent="0.25">
      <c r="A1288" t="s">
        <v>2002</v>
      </c>
      <c r="B1288" t="s">
        <v>11</v>
      </c>
      <c r="C1288" t="s">
        <v>626</v>
      </c>
      <c r="D1288">
        <v>2</v>
      </c>
      <c r="E1288" s="123">
        <v>15594.99</v>
      </c>
      <c r="F1288">
        <v>1</v>
      </c>
    </row>
    <row r="1289" spans="1:6" hidden="1" x14ac:dyDescent="0.25">
      <c r="A1289" t="s">
        <v>2004</v>
      </c>
      <c r="B1289" t="s">
        <v>47</v>
      </c>
      <c r="C1289" t="s">
        <v>877</v>
      </c>
      <c r="D1289">
        <v>4</v>
      </c>
      <c r="E1289" s="123">
        <v>35550</v>
      </c>
      <c r="F1289">
        <v>1</v>
      </c>
    </row>
    <row r="1290" spans="1:6" hidden="1" x14ac:dyDescent="0.25">
      <c r="A1290" t="s">
        <v>2002</v>
      </c>
      <c r="B1290" t="s">
        <v>11</v>
      </c>
      <c r="C1290" t="s">
        <v>103</v>
      </c>
      <c r="D1290">
        <v>2</v>
      </c>
      <c r="E1290" s="123">
        <v>16600</v>
      </c>
      <c r="F1290">
        <v>1</v>
      </c>
    </row>
    <row r="1291" spans="1:6" hidden="1" x14ac:dyDescent="0.25">
      <c r="A1291" t="s">
        <v>2002</v>
      </c>
      <c r="B1291" t="s">
        <v>11</v>
      </c>
      <c r="C1291" t="s">
        <v>591</v>
      </c>
      <c r="D1291">
        <v>2</v>
      </c>
      <c r="E1291" s="123">
        <v>16933.54</v>
      </c>
      <c r="F1291">
        <v>1</v>
      </c>
    </row>
    <row r="1292" spans="1:6" hidden="1" x14ac:dyDescent="0.25">
      <c r="A1292" t="s">
        <v>2002</v>
      </c>
      <c r="B1292" t="s">
        <v>11</v>
      </c>
      <c r="C1292" t="s">
        <v>174</v>
      </c>
      <c r="D1292">
        <v>2</v>
      </c>
      <c r="E1292" s="123">
        <v>18921.990000000002</v>
      </c>
      <c r="F1292">
        <v>1</v>
      </c>
    </row>
    <row r="1293" spans="1:6" hidden="1" x14ac:dyDescent="0.25">
      <c r="A1293" t="s">
        <v>2002</v>
      </c>
      <c r="B1293" t="s">
        <v>11</v>
      </c>
      <c r="C1293" t="s">
        <v>1704</v>
      </c>
      <c r="D1293">
        <v>2</v>
      </c>
      <c r="E1293" s="123">
        <v>23222.43</v>
      </c>
      <c r="F1293">
        <v>1</v>
      </c>
    </row>
    <row r="1294" spans="1:6" hidden="1" x14ac:dyDescent="0.25">
      <c r="A1294" t="s">
        <v>2002</v>
      </c>
      <c r="B1294" t="s">
        <v>11</v>
      </c>
      <c r="C1294" t="s">
        <v>1751</v>
      </c>
      <c r="D1294">
        <v>2</v>
      </c>
      <c r="E1294" s="123">
        <v>26680.43</v>
      </c>
      <c r="F1294">
        <v>1</v>
      </c>
    </row>
    <row r="1295" spans="1:6" hidden="1" x14ac:dyDescent="0.25">
      <c r="A1295" t="s">
        <v>2002</v>
      </c>
      <c r="B1295" t="s">
        <v>11</v>
      </c>
      <c r="C1295" t="s">
        <v>1601</v>
      </c>
      <c r="D1295">
        <v>2</v>
      </c>
      <c r="E1295" s="123">
        <v>28711</v>
      </c>
      <c r="F1295">
        <v>1</v>
      </c>
    </row>
    <row r="1296" spans="1:6" hidden="1" x14ac:dyDescent="0.25">
      <c r="A1296" t="s">
        <v>2002</v>
      </c>
      <c r="B1296" t="s">
        <v>11</v>
      </c>
      <c r="C1296" t="s">
        <v>0</v>
      </c>
      <c r="D1296">
        <v>2</v>
      </c>
      <c r="E1296" s="123">
        <v>35356.97</v>
      </c>
      <c r="F1296">
        <v>1</v>
      </c>
    </row>
    <row r="1297" spans="1:6" hidden="1" x14ac:dyDescent="0.25">
      <c r="A1297" t="s">
        <v>2001</v>
      </c>
      <c r="B1297" t="s">
        <v>11</v>
      </c>
      <c r="C1297" t="s">
        <v>1985</v>
      </c>
      <c r="D1297">
        <v>2</v>
      </c>
      <c r="E1297" s="123">
        <v>1060</v>
      </c>
      <c r="F1297">
        <v>1</v>
      </c>
    </row>
    <row r="1298" spans="1:6" hidden="1" x14ac:dyDescent="0.25">
      <c r="A1298" t="s">
        <v>2001</v>
      </c>
      <c r="B1298" t="s">
        <v>11</v>
      </c>
      <c r="C1298" t="s">
        <v>82</v>
      </c>
      <c r="D1298">
        <v>2</v>
      </c>
      <c r="E1298" s="123">
        <v>2238</v>
      </c>
      <c r="F1298">
        <v>1</v>
      </c>
    </row>
    <row r="1299" spans="1:6" x14ac:dyDescent="0.25">
      <c r="A1299" t="s">
        <v>2004</v>
      </c>
      <c r="B1299" t="s">
        <v>17</v>
      </c>
      <c r="C1299" t="s">
        <v>297</v>
      </c>
      <c r="D1299">
        <v>4</v>
      </c>
      <c r="E1299" s="123">
        <v>8112.2</v>
      </c>
      <c r="F1299">
        <v>4</v>
      </c>
    </row>
    <row r="1300" spans="1:6" hidden="1" x14ac:dyDescent="0.25">
      <c r="A1300" t="s">
        <v>2001</v>
      </c>
      <c r="B1300" t="s">
        <v>11</v>
      </c>
      <c r="C1300" t="s">
        <v>37</v>
      </c>
      <c r="D1300">
        <v>2</v>
      </c>
      <c r="E1300" s="123">
        <v>2292</v>
      </c>
      <c r="F1300">
        <v>1</v>
      </c>
    </row>
    <row r="1301" spans="1:6" hidden="1" x14ac:dyDescent="0.25">
      <c r="A1301" t="s">
        <v>2001</v>
      </c>
      <c r="B1301" t="s">
        <v>11</v>
      </c>
      <c r="C1301" t="s">
        <v>218</v>
      </c>
      <c r="D1301">
        <v>2</v>
      </c>
      <c r="E1301" s="123">
        <v>2981</v>
      </c>
      <c r="F1301">
        <v>1</v>
      </c>
    </row>
    <row r="1302" spans="1:6" hidden="1" x14ac:dyDescent="0.25">
      <c r="A1302" t="s">
        <v>2003</v>
      </c>
      <c r="B1302" t="s">
        <v>10</v>
      </c>
      <c r="C1302" t="s">
        <v>814</v>
      </c>
      <c r="D1302">
        <v>4</v>
      </c>
      <c r="E1302" s="123">
        <v>3776</v>
      </c>
      <c r="F1302">
        <v>1</v>
      </c>
    </row>
    <row r="1303" spans="1:6" x14ac:dyDescent="0.25">
      <c r="A1303" t="s">
        <v>2003</v>
      </c>
      <c r="B1303" t="s">
        <v>17</v>
      </c>
      <c r="C1303" t="s">
        <v>1398</v>
      </c>
      <c r="D1303">
        <v>4</v>
      </c>
      <c r="E1303" s="123">
        <v>7006.51</v>
      </c>
      <c r="F1303">
        <v>1</v>
      </c>
    </row>
    <row r="1304" spans="1:6" hidden="1" x14ac:dyDescent="0.25">
      <c r="A1304" t="s">
        <v>2003</v>
      </c>
      <c r="B1304" t="s">
        <v>47</v>
      </c>
      <c r="C1304" t="s">
        <v>361</v>
      </c>
      <c r="D1304">
        <v>4</v>
      </c>
      <c r="E1304" s="123">
        <v>12799</v>
      </c>
      <c r="F1304">
        <v>1</v>
      </c>
    </row>
    <row r="1305" spans="1:6" hidden="1" x14ac:dyDescent="0.25">
      <c r="A1305" t="s">
        <v>2001</v>
      </c>
      <c r="B1305" t="s">
        <v>11</v>
      </c>
      <c r="C1305" t="s">
        <v>43</v>
      </c>
      <c r="D1305">
        <v>2</v>
      </c>
      <c r="E1305" s="123">
        <v>5243.6100000000006</v>
      </c>
      <c r="F1305">
        <v>1</v>
      </c>
    </row>
    <row r="1306" spans="1:6" hidden="1" x14ac:dyDescent="0.25">
      <c r="A1306" t="s">
        <v>2001</v>
      </c>
      <c r="B1306" t="s">
        <v>11</v>
      </c>
      <c r="C1306" t="s">
        <v>1795</v>
      </c>
      <c r="D1306">
        <v>2</v>
      </c>
      <c r="E1306" s="123">
        <v>5660.76</v>
      </c>
      <c r="F1306">
        <v>1</v>
      </c>
    </row>
    <row r="1307" spans="1:6" x14ac:dyDescent="0.25">
      <c r="A1307" t="s">
        <v>2003</v>
      </c>
      <c r="B1307" t="s">
        <v>17</v>
      </c>
      <c r="C1307" t="s">
        <v>538</v>
      </c>
      <c r="D1307">
        <v>4</v>
      </c>
      <c r="E1307" s="123">
        <v>28822.98</v>
      </c>
      <c r="F1307">
        <v>1</v>
      </c>
    </row>
    <row r="1308" spans="1:6" hidden="1" x14ac:dyDescent="0.25">
      <c r="A1308" t="s">
        <v>2001</v>
      </c>
      <c r="B1308" t="s">
        <v>11</v>
      </c>
      <c r="C1308" t="s">
        <v>1964</v>
      </c>
      <c r="D1308">
        <v>2</v>
      </c>
      <c r="E1308" s="123">
        <v>10299</v>
      </c>
      <c r="F1308">
        <v>1</v>
      </c>
    </row>
    <row r="1309" spans="1:6" hidden="1" x14ac:dyDescent="0.25">
      <c r="A1309" t="s">
        <v>2001</v>
      </c>
      <c r="B1309" t="s">
        <v>11</v>
      </c>
      <c r="C1309" t="s">
        <v>14</v>
      </c>
      <c r="D1309">
        <v>2</v>
      </c>
      <c r="E1309" s="123">
        <v>18527</v>
      </c>
      <c r="F1309">
        <v>1</v>
      </c>
    </row>
    <row r="1310" spans="1:6" hidden="1" x14ac:dyDescent="0.25">
      <c r="A1310" t="s">
        <v>2001</v>
      </c>
      <c r="B1310" t="s">
        <v>11</v>
      </c>
      <c r="C1310" t="s">
        <v>1885</v>
      </c>
      <c r="D1310">
        <v>2</v>
      </c>
      <c r="E1310" s="123">
        <v>87564</v>
      </c>
      <c r="F1310">
        <v>1</v>
      </c>
    </row>
    <row r="1311" spans="1:6" hidden="1" x14ac:dyDescent="0.25">
      <c r="A1311" t="s">
        <v>2005</v>
      </c>
      <c r="B1311" t="s">
        <v>11</v>
      </c>
      <c r="C1311" t="s">
        <v>4</v>
      </c>
      <c r="D1311">
        <v>3</v>
      </c>
      <c r="E1311" s="123">
        <v>16369</v>
      </c>
      <c r="F1311">
        <v>1</v>
      </c>
    </row>
    <row r="1312" spans="1:6" hidden="1" x14ac:dyDescent="0.25">
      <c r="A1312" t="s">
        <v>2004</v>
      </c>
      <c r="B1312" t="s">
        <v>11</v>
      </c>
      <c r="C1312" t="s">
        <v>866</v>
      </c>
      <c r="D1312">
        <v>3</v>
      </c>
      <c r="E1312" s="123">
        <v>3501.4830000000002</v>
      </c>
      <c r="F1312">
        <v>1</v>
      </c>
    </row>
    <row r="1313" spans="1:6" hidden="1" x14ac:dyDescent="0.25">
      <c r="A1313" t="s">
        <v>2003</v>
      </c>
      <c r="B1313" t="s">
        <v>10</v>
      </c>
      <c r="C1313" t="s">
        <v>806</v>
      </c>
      <c r="D1313">
        <v>4</v>
      </c>
      <c r="E1313" s="123">
        <v>17815.990000000002</v>
      </c>
      <c r="F1313">
        <v>3</v>
      </c>
    </row>
    <row r="1314" spans="1:6" hidden="1" x14ac:dyDescent="0.25">
      <c r="A1314" t="s">
        <v>2003</v>
      </c>
      <c r="B1314" t="s">
        <v>10</v>
      </c>
      <c r="C1314" t="s">
        <v>28</v>
      </c>
      <c r="D1314">
        <v>4</v>
      </c>
      <c r="E1314" s="123">
        <v>20964.72</v>
      </c>
      <c r="F1314">
        <v>3</v>
      </c>
    </row>
    <row r="1315" spans="1:6" hidden="1" x14ac:dyDescent="0.25">
      <c r="A1315" t="s">
        <v>2004</v>
      </c>
      <c r="B1315" t="s">
        <v>11</v>
      </c>
      <c r="C1315" t="s">
        <v>611</v>
      </c>
      <c r="D1315">
        <v>3</v>
      </c>
      <c r="E1315" s="123">
        <v>27353.81</v>
      </c>
      <c r="F1315">
        <v>1</v>
      </c>
    </row>
    <row r="1316" spans="1:6" hidden="1" x14ac:dyDescent="0.25">
      <c r="A1316" t="s">
        <v>2004</v>
      </c>
      <c r="B1316" t="s">
        <v>11</v>
      </c>
      <c r="C1316" t="s">
        <v>144</v>
      </c>
      <c r="D1316">
        <v>3</v>
      </c>
      <c r="E1316" s="123">
        <v>36195.14</v>
      </c>
      <c r="F1316">
        <v>1</v>
      </c>
    </row>
    <row r="1317" spans="1:6" hidden="1" x14ac:dyDescent="0.25">
      <c r="A1317" t="s">
        <v>2004</v>
      </c>
      <c r="B1317" t="s">
        <v>11</v>
      </c>
      <c r="C1317" t="s">
        <v>923</v>
      </c>
      <c r="D1317">
        <v>3</v>
      </c>
      <c r="E1317" s="123">
        <v>84444.73</v>
      </c>
      <c r="F1317">
        <v>1</v>
      </c>
    </row>
    <row r="1318" spans="1:6" hidden="1" x14ac:dyDescent="0.25">
      <c r="A1318" t="s">
        <v>2004</v>
      </c>
      <c r="B1318" t="s">
        <v>11</v>
      </c>
      <c r="C1318" t="s">
        <v>43</v>
      </c>
      <c r="D1318">
        <v>3</v>
      </c>
      <c r="E1318" s="123">
        <v>4588.84</v>
      </c>
      <c r="F1318">
        <v>2</v>
      </c>
    </row>
    <row r="1319" spans="1:6" hidden="1" x14ac:dyDescent="0.25">
      <c r="A1319" t="s">
        <v>2004</v>
      </c>
      <c r="B1319" t="s">
        <v>11</v>
      </c>
      <c r="C1319" t="s">
        <v>138</v>
      </c>
      <c r="D1319">
        <v>3</v>
      </c>
      <c r="E1319" s="123">
        <v>26709.99</v>
      </c>
      <c r="F1319">
        <v>2</v>
      </c>
    </row>
    <row r="1320" spans="1:6" x14ac:dyDescent="0.25">
      <c r="A1320" t="s">
        <v>2002</v>
      </c>
      <c r="B1320" t="s">
        <v>17</v>
      </c>
      <c r="C1320" t="s">
        <v>1708</v>
      </c>
      <c r="D1320">
        <v>4</v>
      </c>
      <c r="E1320" s="123">
        <v>8252.99</v>
      </c>
      <c r="F1320">
        <v>1</v>
      </c>
    </row>
    <row r="1321" spans="1:6" x14ac:dyDescent="0.25">
      <c r="A1321" t="s">
        <v>2002</v>
      </c>
      <c r="B1321" t="s">
        <v>17</v>
      </c>
      <c r="C1321" t="s">
        <v>538</v>
      </c>
      <c r="D1321">
        <v>4</v>
      </c>
      <c r="E1321" s="123">
        <v>10037</v>
      </c>
      <c r="F1321">
        <v>1</v>
      </c>
    </row>
    <row r="1322" spans="1:6" hidden="1" x14ac:dyDescent="0.25">
      <c r="A1322" t="s">
        <v>2004</v>
      </c>
      <c r="B1322" t="s">
        <v>11</v>
      </c>
      <c r="C1322" t="s">
        <v>130</v>
      </c>
      <c r="D1322">
        <v>3</v>
      </c>
      <c r="E1322" s="123">
        <v>52243.490000000013</v>
      </c>
      <c r="F1322">
        <v>2</v>
      </c>
    </row>
    <row r="1323" spans="1:6" hidden="1" x14ac:dyDescent="0.25">
      <c r="A1323" t="s">
        <v>2003</v>
      </c>
      <c r="B1323" t="s">
        <v>11</v>
      </c>
      <c r="C1323" t="s">
        <v>1424</v>
      </c>
      <c r="D1323">
        <v>3</v>
      </c>
      <c r="E1323" s="123">
        <v>2957</v>
      </c>
      <c r="F1323">
        <v>1</v>
      </c>
    </row>
    <row r="1324" spans="1:6" x14ac:dyDescent="0.25">
      <c r="A1324" t="s">
        <v>2002</v>
      </c>
      <c r="B1324" t="s">
        <v>17</v>
      </c>
      <c r="C1324" t="s">
        <v>1502</v>
      </c>
      <c r="D1324">
        <v>4</v>
      </c>
      <c r="E1324" s="123">
        <v>14256.99</v>
      </c>
      <c r="F1324">
        <v>1</v>
      </c>
    </row>
    <row r="1325" spans="1:6" hidden="1" x14ac:dyDescent="0.25">
      <c r="A1325" t="s">
        <v>2003</v>
      </c>
      <c r="B1325" t="s">
        <v>11</v>
      </c>
      <c r="C1325" t="s">
        <v>4</v>
      </c>
      <c r="D1325">
        <v>3</v>
      </c>
      <c r="E1325" s="123">
        <v>7149</v>
      </c>
      <c r="F1325">
        <v>1</v>
      </c>
    </row>
    <row r="1326" spans="1:6" hidden="1" x14ac:dyDescent="0.25">
      <c r="A1326" t="s">
        <v>2003</v>
      </c>
      <c r="B1326" t="s">
        <v>11</v>
      </c>
      <c r="C1326" t="s">
        <v>1168</v>
      </c>
      <c r="D1326">
        <v>3</v>
      </c>
      <c r="E1326" s="123">
        <v>17779.16</v>
      </c>
      <c r="F1326">
        <v>1</v>
      </c>
    </row>
    <row r="1327" spans="1:6" hidden="1" x14ac:dyDescent="0.25">
      <c r="A1327" t="s">
        <v>2003</v>
      </c>
      <c r="B1327" t="s">
        <v>11</v>
      </c>
      <c r="C1327" t="s">
        <v>425</v>
      </c>
      <c r="D1327">
        <v>3</v>
      </c>
      <c r="E1327" s="123">
        <v>11992.92</v>
      </c>
      <c r="F1327">
        <v>3</v>
      </c>
    </row>
    <row r="1328" spans="1:6" hidden="1" x14ac:dyDescent="0.25">
      <c r="A1328" t="s">
        <v>2003</v>
      </c>
      <c r="B1328" t="s">
        <v>11</v>
      </c>
      <c r="C1328" t="s">
        <v>138</v>
      </c>
      <c r="D1328">
        <v>3</v>
      </c>
      <c r="E1328" s="123">
        <v>22738.32</v>
      </c>
      <c r="F1328">
        <v>3</v>
      </c>
    </row>
    <row r="1329" spans="1:6" hidden="1" x14ac:dyDescent="0.25">
      <c r="A1329" t="s">
        <v>2003</v>
      </c>
      <c r="B1329" t="s">
        <v>11</v>
      </c>
      <c r="C1329" t="s">
        <v>458</v>
      </c>
      <c r="D1329">
        <v>3</v>
      </c>
      <c r="E1329" s="123">
        <v>37570.120000000003</v>
      </c>
      <c r="F1329">
        <v>3</v>
      </c>
    </row>
    <row r="1330" spans="1:6" x14ac:dyDescent="0.25">
      <c r="A1330" t="s">
        <v>2002</v>
      </c>
      <c r="B1330" t="s">
        <v>17</v>
      </c>
      <c r="C1330" t="s">
        <v>712</v>
      </c>
      <c r="D1330">
        <v>4</v>
      </c>
      <c r="E1330" s="123">
        <v>15824.22</v>
      </c>
      <c r="F1330">
        <v>2</v>
      </c>
    </row>
    <row r="1331" spans="1:6" hidden="1" x14ac:dyDescent="0.25">
      <c r="A1331" t="s">
        <v>2002</v>
      </c>
      <c r="B1331" t="s">
        <v>11</v>
      </c>
      <c r="C1331" t="s">
        <v>747</v>
      </c>
      <c r="D1331">
        <v>3</v>
      </c>
      <c r="E1331" s="123">
        <v>3268</v>
      </c>
      <c r="F1331">
        <v>1</v>
      </c>
    </row>
    <row r="1332" spans="1:6" hidden="1" x14ac:dyDescent="0.25">
      <c r="A1332" t="s">
        <v>2002</v>
      </c>
      <c r="B1332" t="s">
        <v>11</v>
      </c>
      <c r="C1332" t="s">
        <v>68</v>
      </c>
      <c r="D1332">
        <v>3</v>
      </c>
      <c r="E1332" s="123">
        <v>6879.59</v>
      </c>
      <c r="F1332">
        <v>1</v>
      </c>
    </row>
    <row r="1333" spans="1:6" hidden="1" x14ac:dyDescent="0.25">
      <c r="A1333" t="s">
        <v>2002</v>
      </c>
      <c r="B1333" t="s">
        <v>10</v>
      </c>
      <c r="C1333" t="s">
        <v>1653</v>
      </c>
      <c r="D1333">
        <v>4</v>
      </c>
      <c r="E1333" s="123">
        <v>23407.85</v>
      </c>
      <c r="F1333">
        <v>2</v>
      </c>
    </row>
    <row r="1334" spans="1:6" hidden="1" x14ac:dyDescent="0.25">
      <c r="A1334" t="s">
        <v>2002</v>
      </c>
      <c r="B1334" t="s">
        <v>11</v>
      </c>
      <c r="C1334" t="s">
        <v>1697</v>
      </c>
      <c r="D1334">
        <v>3</v>
      </c>
      <c r="E1334" s="123">
        <v>17945.73</v>
      </c>
      <c r="F1334">
        <v>1</v>
      </c>
    </row>
    <row r="1335" spans="1:6" hidden="1" x14ac:dyDescent="0.25">
      <c r="A1335" t="s">
        <v>2002</v>
      </c>
      <c r="B1335" t="s">
        <v>11</v>
      </c>
      <c r="C1335" t="s">
        <v>458</v>
      </c>
      <c r="D1335">
        <v>3</v>
      </c>
      <c r="E1335" s="123">
        <v>8183.99</v>
      </c>
      <c r="F1335">
        <v>2</v>
      </c>
    </row>
    <row r="1336" spans="1:6" hidden="1" x14ac:dyDescent="0.25">
      <c r="A1336" t="s">
        <v>2002</v>
      </c>
      <c r="B1336" t="s">
        <v>11</v>
      </c>
      <c r="C1336" t="s">
        <v>795</v>
      </c>
      <c r="D1336">
        <v>3</v>
      </c>
      <c r="E1336" s="123">
        <v>18178.91</v>
      </c>
      <c r="F1336">
        <v>2</v>
      </c>
    </row>
    <row r="1337" spans="1:6" x14ac:dyDescent="0.25">
      <c r="A1337" t="s">
        <v>2001</v>
      </c>
      <c r="B1337" t="s">
        <v>17</v>
      </c>
      <c r="C1337" t="s">
        <v>1898</v>
      </c>
      <c r="D1337">
        <v>4</v>
      </c>
      <c r="E1337" s="123">
        <v>3905</v>
      </c>
      <c r="F1337">
        <v>1</v>
      </c>
    </row>
    <row r="1338" spans="1:6" hidden="1" x14ac:dyDescent="0.25">
      <c r="A1338" t="s">
        <v>2001</v>
      </c>
      <c r="B1338" t="s">
        <v>11</v>
      </c>
      <c r="C1338" t="s">
        <v>1986</v>
      </c>
      <c r="D1338">
        <v>3</v>
      </c>
      <c r="E1338" s="123">
        <v>7800</v>
      </c>
      <c r="F1338">
        <v>1</v>
      </c>
    </row>
    <row r="1339" spans="1:6" hidden="1" x14ac:dyDescent="0.25">
      <c r="A1339" t="s">
        <v>2001</v>
      </c>
      <c r="B1339" t="s">
        <v>47</v>
      </c>
      <c r="C1339" t="s">
        <v>1776</v>
      </c>
      <c r="D1339">
        <v>4</v>
      </c>
      <c r="E1339" s="123">
        <v>12769.12</v>
      </c>
      <c r="F1339">
        <v>1</v>
      </c>
    </row>
    <row r="1340" spans="1:6" hidden="1" x14ac:dyDescent="0.25">
      <c r="A1340" t="s">
        <v>2001</v>
      </c>
      <c r="B1340" t="s">
        <v>47</v>
      </c>
      <c r="C1340" t="s">
        <v>806</v>
      </c>
      <c r="D1340">
        <v>4</v>
      </c>
      <c r="E1340" s="123">
        <v>149391.71</v>
      </c>
      <c r="F1340">
        <v>3</v>
      </c>
    </row>
    <row r="1341" spans="1:6" hidden="1" x14ac:dyDescent="0.25">
      <c r="A1341" t="s">
        <v>2001</v>
      </c>
      <c r="B1341" t="s">
        <v>11</v>
      </c>
      <c r="C1341" t="s">
        <v>0</v>
      </c>
      <c r="D1341">
        <v>3</v>
      </c>
      <c r="E1341" s="123">
        <v>20158.73</v>
      </c>
      <c r="F1341">
        <v>1</v>
      </c>
    </row>
    <row r="1342" spans="1:6" hidden="1" x14ac:dyDescent="0.25">
      <c r="A1342" t="s">
        <v>2005</v>
      </c>
      <c r="B1342" t="s">
        <v>47</v>
      </c>
      <c r="C1342" t="s">
        <v>456</v>
      </c>
      <c r="D1342">
        <v>5</v>
      </c>
      <c r="E1342" s="123">
        <v>46402.7</v>
      </c>
      <c r="F1342">
        <v>1</v>
      </c>
    </row>
    <row r="1343" spans="1:6" hidden="1" x14ac:dyDescent="0.25">
      <c r="A1343" t="s">
        <v>2001</v>
      </c>
      <c r="B1343" t="s">
        <v>11</v>
      </c>
      <c r="C1343" t="s">
        <v>138</v>
      </c>
      <c r="D1343">
        <v>3</v>
      </c>
      <c r="E1343" s="123">
        <v>38337.32</v>
      </c>
      <c r="F1343">
        <v>2</v>
      </c>
    </row>
    <row r="1344" spans="1:6" hidden="1" x14ac:dyDescent="0.25">
      <c r="A1344" t="s">
        <v>2005</v>
      </c>
      <c r="B1344" t="s">
        <v>11</v>
      </c>
      <c r="C1344" t="s">
        <v>611</v>
      </c>
      <c r="D1344">
        <v>4</v>
      </c>
      <c r="E1344" s="123">
        <v>28818.99</v>
      </c>
      <c r="F1344">
        <v>1</v>
      </c>
    </row>
    <row r="1345" spans="1:6" hidden="1" x14ac:dyDescent="0.25">
      <c r="A1345" t="s">
        <v>2005</v>
      </c>
      <c r="B1345" t="s">
        <v>11</v>
      </c>
      <c r="C1345" t="s">
        <v>1998</v>
      </c>
      <c r="D1345">
        <v>4</v>
      </c>
      <c r="E1345" s="123">
        <v>105375.58</v>
      </c>
      <c r="F1345">
        <v>1</v>
      </c>
    </row>
    <row r="1346" spans="1:6" hidden="1" x14ac:dyDescent="0.25">
      <c r="A1346" t="s">
        <v>2005</v>
      </c>
      <c r="B1346" t="s">
        <v>11</v>
      </c>
      <c r="C1346" t="s">
        <v>16</v>
      </c>
      <c r="D1346">
        <v>4</v>
      </c>
      <c r="E1346" s="123">
        <v>41272.239999999998</v>
      </c>
      <c r="F1346">
        <v>2</v>
      </c>
    </row>
    <row r="1347" spans="1:6" hidden="1" x14ac:dyDescent="0.25">
      <c r="A1347" t="s">
        <v>2005</v>
      </c>
      <c r="B1347" t="s">
        <v>11</v>
      </c>
      <c r="C1347" t="s">
        <v>425</v>
      </c>
      <c r="D1347">
        <v>4</v>
      </c>
      <c r="E1347" s="123">
        <v>11383.04</v>
      </c>
      <c r="F1347">
        <v>4</v>
      </c>
    </row>
    <row r="1348" spans="1:6" hidden="1" x14ac:dyDescent="0.25">
      <c r="A1348" t="s">
        <v>2004</v>
      </c>
      <c r="B1348" t="s">
        <v>11</v>
      </c>
      <c r="C1348" t="s">
        <v>453</v>
      </c>
      <c r="D1348">
        <v>4</v>
      </c>
      <c r="E1348" s="123">
        <v>27645.599999999999</v>
      </c>
      <c r="F1348">
        <v>1</v>
      </c>
    </row>
    <row r="1349" spans="1:6" hidden="1" x14ac:dyDescent="0.25">
      <c r="A1349" t="s">
        <v>2004</v>
      </c>
      <c r="B1349" t="s">
        <v>11</v>
      </c>
      <c r="C1349" t="s">
        <v>0</v>
      </c>
      <c r="D1349">
        <v>4</v>
      </c>
      <c r="E1349" s="123">
        <v>51003.74</v>
      </c>
      <c r="F1349">
        <v>1</v>
      </c>
    </row>
    <row r="1350" spans="1:6" x14ac:dyDescent="0.25">
      <c r="A1350" t="s">
        <v>2005</v>
      </c>
      <c r="B1350" t="s">
        <v>17</v>
      </c>
      <c r="C1350" t="s">
        <v>74</v>
      </c>
      <c r="D1350">
        <v>5</v>
      </c>
      <c r="E1350" s="123">
        <v>41942.92</v>
      </c>
      <c r="F1350">
        <v>5</v>
      </c>
    </row>
    <row r="1351" spans="1:6" hidden="1" x14ac:dyDescent="0.25">
      <c r="A1351" t="s">
        <v>2004</v>
      </c>
      <c r="B1351" t="s">
        <v>10</v>
      </c>
      <c r="C1351" t="s">
        <v>1107</v>
      </c>
      <c r="D1351">
        <v>5</v>
      </c>
      <c r="E1351" s="123">
        <v>15897</v>
      </c>
      <c r="F1351">
        <v>1</v>
      </c>
    </row>
    <row r="1352" spans="1:6" x14ac:dyDescent="0.25">
      <c r="A1352" t="s">
        <v>2004</v>
      </c>
      <c r="B1352" t="s">
        <v>17</v>
      </c>
      <c r="C1352" t="s">
        <v>806</v>
      </c>
      <c r="D1352">
        <v>5</v>
      </c>
      <c r="E1352" s="123">
        <v>31277.040000000001</v>
      </c>
      <c r="F1352">
        <v>3</v>
      </c>
    </row>
    <row r="1353" spans="1:6" hidden="1" x14ac:dyDescent="0.25">
      <c r="A1353" t="s">
        <v>2004</v>
      </c>
      <c r="B1353" t="s">
        <v>11</v>
      </c>
      <c r="C1353" t="s">
        <v>560</v>
      </c>
      <c r="D1353">
        <v>4</v>
      </c>
      <c r="E1353" s="123">
        <v>261904.48</v>
      </c>
      <c r="F1353">
        <v>1</v>
      </c>
    </row>
    <row r="1354" spans="1:6" hidden="1" x14ac:dyDescent="0.25">
      <c r="A1354" t="s">
        <v>2004</v>
      </c>
      <c r="B1354" t="s">
        <v>11</v>
      </c>
      <c r="C1354" t="s">
        <v>41</v>
      </c>
      <c r="D1354">
        <v>4</v>
      </c>
      <c r="E1354" s="123">
        <v>49945.919999999998</v>
      </c>
      <c r="F1354">
        <v>2</v>
      </c>
    </row>
    <row r="1355" spans="1:6" hidden="1" x14ac:dyDescent="0.25">
      <c r="A1355" t="s">
        <v>2004</v>
      </c>
      <c r="B1355" t="s">
        <v>11</v>
      </c>
      <c r="C1355" t="s">
        <v>84</v>
      </c>
      <c r="D1355">
        <v>4</v>
      </c>
      <c r="E1355" s="123">
        <v>6748.16</v>
      </c>
      <c r="F1355">
        <v>3</v>
      </c>
    </row>
    <row r="1356" spans="1:6" hidden="1" x14ac:dyDescent="0.25">
      <c r="A1356" t="s">
        <v>2003</v>
      </c>
      <c r="B1356" t="s">
        <v>11</v>
      </c>
      <c r="C1356" t="s">
        <v>218</v>
      </c>
      <c r="D1356">
        <v>4</v>
      </c>
      <c r="E1356" s="123">
        <v>16656.990000000002</v>
      </c>
      <c r="F1356">
        <v>1</v>
      </c>
    </row>
    <row r="1357" spans="1:6" hidden="1" x14ac:dyDescent="0.25">
      <c r="A1357" t="s">
        <v>2003</v>
      </c>
      <c r="B1357" t="s">
        <v>11</v>
      </c>
      <c r="C1357" t="s">
        <v>611</v>
      </c>
      <c r="D1357">
        <v>4</v>
      </c>
      <c r="E1357" s="123">
        <v>75530.77</v>
      </c>
      <c r="F1357">
        <v>1</v>
      </c>
    </row>
    <row r="1358" spans="1:6" x14ac:dyDescent="0.25">
      <c r="A1358" t="s">
        <v>2002</v>
      </c>
      <c r="B1358" t="s">
        <v>17</v>
      </c>
      <c r="C1358" t="s">
        <v>1690</v>
      </c>
      <c r="D1358">
        <v>5</v>
      </c>
      <c r="E1358" s="123">
        <v>6281</v>
      </c>
      <c r="F1358">
        <v>1</v>
      </c>
    </row>
    <row r="1359" spans="1:6" hidden="1" x14ac:dyDescent="0.25">
      <c r="A1359" t="s">
        <v>2003</v>
      </c>
      <c r="B1359" t="s">
        <v>11</v>
      </c>
      <c r="C1359" t="s">
        <v>637</v>
      </c>
      <c r="D1359">
        <v>4</v>
      </c>
      <c r="E1359" s="123">
        <v>8432.44</v>
      </c>
      <c r="F1359">
        <v>2</v>
      </c>
    </row>
    <row r="1360" spans="1:6" hidden="1" x14ac:dyDescent="0.25">
      <c r="A1360" t="s">
        <v>2003</v>
      </c>
      <c r="B1360" t="s">
        <v>11</v>
      </c>
      <c r="C1360" t="s">
        <v>58</v>
      </c>
      <c r="D1360">
        <v>4</v>
      </c>
      <c r="E1360" s="123">
        <v>49436.13</v>
      </c>
      <c r="F1360">
        <v>2</v>
      </c>
    </row>
    <row r="1361" spans="1:6" hidden="1" x14ac:dyDescent="0.25">
      <c r="A1361" t="s">
        <v>2003</v>
      </c>
      <c r="B1361" t="s">
        <v>11</v>
      </c>
      <c r="C1361" t="s">
        <v>84</v>
      </c>
      <c r="D1361">
        <v>4</v>
      </c>
      <c r="E1361" s="123">
        <v>5390</v>
      </c>
      <c r="F1361">
        <v>3</v>
      </c>
    </row>
    <row r="1362" spans="1:6" hidden="1" x14ac:dyDescent="0.25">
      <c r="A1362" t="s">
        <v>2003</v>
      </c>
      <c r="B1362" t="s">
        <v>11</v>
      </c>
      <c r="C1362" t="s">
        <v>614</v>
      </c>
      <c r="D1362">
        <v>4</v>
      </c>
      <c r="E1362" s="123">
        <v>5489.84</v>
      </c>
      <c r="F1362">
        <v>3</v>
      </c>
    </row>
    <row r="1363" spans="1:6" hidden="1" x14ac:dyDescent="0.25">
      <c r="A1363" t="s">
        <v>2002</v>
      </c>
      <c r="B1363" t="s">
        <v>11</v>
      </c>
      <c r="C1363" t="s">
        <v>825</v>
      </c>
      <c r="D1363">
        <v>4</v>
      </c>
      <c r="E1363" s="123">
        <v>2018</v>
      </c>
      <c r="F1363">
        <v>1</v>
      </c>
    </row>
    <row r="1364" spans="1:6" hidden="1" x14ac:dyDescent="0.25">
      <c r="A1364" t="s">
        <v>2002</v>
      </c>
      <c r="B1364" t="s">
        <v>11</v>
      </c>
      <c r="C1364" t="s">
        <v>1684</v>
      </c>
      <c r="D1364">
        <v>4</v>
      </c>
      <c r="E1364" s="123">
        <v>5411</v>
      </c>
      <c r="F1364">
        <v>1</v>
      </c>
    </row>
    <row r="1365" spans="1:6" hidden="1" x14ac:dyDescent="0.25">
      <c r="A1365" t="s">
        <v>2002</v>
      </c>
      <c r="B1365" t="s">
        <v>10</v>
      </c>
      <c r="C1365" t="s">
        <v>28</v>
      </c>
      <c r="D1365">
        <v>5</v>
      </c>
      <c r="E1365" s="123">
        <v>14736</v>
      </c>
      <c r="F1365">
        <v>3</v>
      </c>
    </row>
    <row r="1366" spans="1:6" hidden="1" x14ac:dyDescent="0.25">
      <c r="A1366" t="s">
        <v>2002</v>
      </c>
      <c r="B1366" t="s">
        <v>11</v>
      </c>
      <c r="C1366" t="s">
        <v>276</v>
      </c>
      <c r="D1366">
        <v>4</v>
      </c>
      <c r="E1366" s="123">
        <v>11110.99</v>
      </c>
      <c r="F1366">
        <v>1</v>
      </c>
    </row>
    <row r="1367" spans="1:6" hidden="1" x14ac:dyDescent="0.25">
      <c r="A1367" t="s">
        <v>2002</v>
      </c>
      <c r="B1367" t="s">
        <v>11</v>
      </c>
      <c r="C1367" t="s">
        <v>250</v>
      </c>
      <c r="D1367">
        <v>4</v>
      </c>
      <c r="E1367" s="123">
        <v>12404.32</v>
      </c>
      <c r="F1367">
        <v>1</v>
      </c>
    </row>
    <row r="1368" spans="1:6" hidden="1" x14ac:dyDescent="0.25">
      <c r="A1368" t="s">
        <v>2005</v>
      </c>
      <c r="B1368" t="s">
        <v>10</v>
      </c>
      <c r="C1368" t="s">
        <v>480</v>
      </c>
      <c r="D1368">
        <v>6</v>
      </c>
      <c r="E1368" s="123">
        <v>24961.26</v>
      </c>
      <c r="F1368">
        <v>4</v>
      </c>
    </row>
    <row r="1369" spans="1:6" hidden="1" x14ac:dyDescent="0.25">
      <c r="A1369" t="s">
        <v>2002</v>
      </c>
      <c r="B1369" t="s">
        <v>11</v>
      </c>
      <c r="C1369" t="s">
        <v>1476</v>
      </c>
      <c r="D1369">
        <v>4</v>
      </c>
      <c r="E1369" s="123">
        <v>36000.879999999997</v>
      </c>
      <c r="F1369">
        <v>1</v>
      </c>
    </row>
    <row r="1370" spans="1:6" hidden="1" x14ac:dyDescent="0.25">
      <c r="A1370" t="s">
        <v>2002</v>
      </c>
      <c r="B1370" t="s">
        <v>11</v>
      </c>
      <c r="C1370" t="s">
        <v>41</v>
      </c>
      <c r="D1370">
        <v>4</v>
      </c>
      <c r="E1370" s="123">
        <v>48779.649999999987</v>
      </c>
      <c r="F1370">
        <v>3</v>
      </c>
    </row>
    <row r="1371" spans="1:6" hidden="1" x14ac:dyDescent="0.25">
      <c r="A1371" t="s">
        <v>2005</v>
      </c>
      <c r="B1371" t="s">
        <v>11</v>
      </c>
      <c r="C1371" t="s">
        <v>250</v>
      </c>
      <c r="D1371">
        <v>5</v>
      </c>
      <c r="E1371" s="123">
        <v>10559</v>
      </c>
      <c r="F1371">
        <v>1</v>
      </c>
    </row>
    <row r="1372" spans="1:6" hidden="1" x14ac:dyDescent="0.25">
      <c r="A1372" t="s">
        <v>2003</v>
      </c>
      <c r="B1372" t="s">
        <v>11</v>
      </c>
      <c r="C1372" t="s">
        <v>0</v>
      </c>
      <c r="D1372">
        <v>5</v>
      </c>
      <c r="E1372" s="123">
        <v>61171.01</v>
      </c>
      <c r="F1372">
        <v>1</v>
      </c>
    </row>
    <row r="1373" spans="1:6" hidden="1" x14ac:dyDescent="0.25">
      <c r="A1373" t="s">
        <v>2003</v>
      </c>
      <c r="B1373" t="s">
        <v>10</v>
      </c>
      <c r="C1373" t="s">
        <v>60</v>
      </c>
      <c r="D1373">
        <v>6</v>
      </c>
      <c r="E1373" s="123">
        <v>33367.99</v>
      </c>
      <c r="F1373">
        <v>4</v>
      </c>
    </row>
    <row r="1374" spans="1:6" hidden="1" x14ac:dyDescent="0.25">
      <c r="A1374" t="s">
        <v>2002</v>
      </c>
      <c r="B1374" t="s">
        <v>11</v>
      </c>
      <c r="C1374" t="s">
        <v>218</v>
      </c>
      <c r="D1374">
        <v>5</v>
      </c>
      <c r="E1374" s="123">
        <v>14940.01</v>
      </c>
      <c r="F1374">
        <v>2</v>
      </c>
    </row>
    <row r="1375" spans="1:6" hidden="1" x14ac:dyDescent="0.25">
      <c r="A1375" t="s">
        <v>2002</v>
      </c>
      <c r="B1375" t="s">
        <v>47</v>
      </c>
      <c r="C1375" t="s">
        <v>1717</v>
      </c>
      <c r="D1375">
        <v>6</v>
      </c>
      <c r="E1375" s="123">
        <v>13278</v>
      </c>
      <c r="F1375">
        <v>1</v>
      </c>
    </row>
    <row r="1376" spans="1:6" hidden="1" x14ac:dyDescent="0.25">
      <c r="A1376" t="s">
        <v>2002</v>
      </c>
      <c r="B1376" t="s">
        <v>10</v>
      </c>
      <c r="C1376" t="s">
        <v>1493</v>
      </c>
      <c r="D1376">
        <v>6</v>
      </c>
      <c r="E1376" s="123">
        <v>13972.99</v>
      </c>
      <c r="F1376">
        <v>1</v>
      </c>
    </row>
    <row r="1377" spans="1:6" hidden="1" x14ac:dyDescent="0.25">
      <c r="A1377" t="s">
        <v>2002</v>
      </c>
      <c r="B1377" t="s">
        <v>10</v>
      </c>
      <c r="C1377" t="s">
        <v>1592</v>
      </c>
      <c r="D1377">
        <v>6</v>
      </c>
      <c r="E1377" s="123">
        <v>7317.19</v>
      </c>
      <c r="F1377">
        <v>2</v>
      </c>
    </row>
    <row r="1378" spans="1:6" hidden="1" x14ac:dyDescent="0.25">
      <c r="A1378" t="s">
        <v>2002</v>
      </c>
      <c r="B1378" t="s">
        <v>11</v>
      </c>
      <c r="C1378" t="s">
        <v>138</v>
      </c>
      <c r="D1378">
        <v>5</v>
      </c>
      <c r="E1378" s="123">
        <v>16909.16</v>
      </c>
      <c r="F1378">
        <v>3</v>
      </c>
    </row>
    <row r="1379" spans="1:6" hidden="1" x14ac:dyDescent="0.25">
      <c r="A1379" t="s">
        <v>2002</v>
      </c>
      <c r="B1379" t="s">
        <v>11</v>
      </c>
      <c r="C1379" t="s">
        <v>16</v>
      </c>
      <c r="D1379">
        <v>6</v>
      </c>
      <c r="E1379" s="123">
        <v>11654.97</v>
      </c>
      <c r="F1379">
        <v>2</v>
      </c>
    </row>
    <row r="1380" spans="1:6" hidden="1" x14ac:dyDescent="0.25">
      <c r="A1380" t="s">
        <v>2002</v>
      </c>
      <c r="B1380" t="s">
        <v>10</v>
      </c>
      <c r="C1380" t="s">
        <v>60</v>
      </c>
      <c r="D1380">
        <v>6</v>
      </c>
      <c r="E1380" s="123">
        <v>19032.189999999999</v>
      </c>
      <c r="F1380">
        <v>5</v>
      </c>
    </row>
    <row r="1381" spans="1:6" x14ac:dyDescent="0.25">
      <c r="A1381" t="s">
        <v>2001</v>
      </c>
      <c r="B1381" t="s">
        <v>17</v>
      </c>
      <c r="C1381" t="s">
        <v>74</v>
      </c>
      <c r="D1381">
        <v>6</v>
      </c>
      <c r="E1381" s="123">
        <v>33587.120000000003</v>
      </c>
      <c r="F1381">
        <v>6</v>
      </c>
    </row>
    <row r="1382" spans="1:6" hidden="1" x14ac:dyDescent="0.25">
      <c r="A1382" t="s">
        <v>2005</v>
      </c>
      <c r="B1382" t="s">
        <v>11</v>
      </c>
      <c r="C1382" t="s">
        <v>560</v>
      </c>
      <c r="D1382">
        <v>7</v>
      </c>
      <c r="E1382" s="123">
        <v>376118.67</v>
      </c>
      <c r="F1382">
        <v>2</v>
      </c>
    </row>
    <row r="1383" spans="1:6" hidden="1" x14ac:dyDescent="0.25">
      <c r="A1383" t="s">
        <v>2004</v>
      </c>
      <c r="B1383" t="s">
        <v>11</v>
      </c>
      <c r="C1383" t="s">
        <v>425</v>
      </c>
      <c r="D1383">
        <v>7</v>
      </c>
      <c r="E1383" s="123">
        <v>15946.25</v>
      </c>
      <c r="F1383">
        <v>6</v>
      </c>
    </row>
    <row r="1384" spans="1:6" hidden="1" x14ac:dyDescent="0.25">
      <c r="A1384" t="s">
        <v>2003</v>
      </c>
      <c r="B1384" t="s">
        <v>11</v>
      </c>
      <c r="C1384" t="s">
        <v>250</v>
      </c>
      <c r="D1384">
        <v>7</v>
      </c>
      <c r="E1384" s="123">
        <v>27340.06</v>
      </c>
      <c r="F1384">
        <v>1</v>
      </c>
    </row>
    <row r="1385" spans="1:6" hidden="1" x14ac:dyDescent="0.25">
      <c r="A1385" t="s">
        <v>2003</v>
      </c>
      <c r="B1385" t="s">
        <v>11</v>
      </c>
      <c r="C1385" t="s">
        <v>41</v>
      </c>
      <c r="D1385">
        <v>7</v>
      </c>
      <c r="E1385" s="123">
        <v>159230.53</v>
      </c>
      <c r="F1385">
        <v>2</v>
      </c>
    </row>
    <row r="1386" spans="1:6" hidden="1" x14ac:dyDescent="0.25">
      <c r="A1386" t="s">
        <v>2005</v>
      </c>
      <c r="B1386" t="s">
        <v>11</v>
      </c>
      <c r="C1386" t="s">
        <v>138</v>
      </c>
      <c r="D1386">
        <v>8</v>
      </c>
      <c r="E1386" s="123">
        <v>56465.86</v>
      </c>
      <c r="F1386">
        <v>6</v>
      </c>
    </row>
    <row r="1387" spans="1:6" x14ac:dyDescent="0.25">
      <c r="A1387" t="s">
        <v>2002</v>
      </c>
      <c r="B1387" t="s">
        <v>17</v>
      </c>
      <c r="C1387" t="s">
        <v>1710</v>
      </c>
      <c r="D1387">
        <v>7</v>
      </c>
      <c r="E1387" s="123">
        <v>6291</v>
      </c>
      <c r="F1387">
        <v>1</v>
      </c>
    </row>
    <row r="1388" spans="1:6" hidden="1" x14ac:dyDescent="0.25">
      <c r="A1388" t="s">
        <v>2005</v>
      </c>
      <c r="B1388" t="s">
        <v>11</v>
      </c>
      <c r="C1388" t="s">
        <v>0</v>
      </c>
      <c r="D1388">
        <v>9</v>
      </c>
      <c r="E1388" s="123">
        <v>90002.39</v>
      </c>
      <c r="F1388">
        <v>2</v>
      </c>
    </row>
    <row r="1389" spans="1:6" hidden="1" x14ac:dyDescent="0.25">
      <c r="A1389" t="s">
        <v>2005</v>
      </c>
      <c r="B1389" t="s">
        <v>11</v>
      </c>
      <c r="C1389" t="s">
        <v>41</v>
      </c>
      <c r="D1389">
        <v>9</v>
      </c>
      <c r="E1389" s="123">
        <v>86800.61</v>
      </c>
      <c r="F1389">
        <v>3</v>
      </c>
    </row>
    <row r="1390" spans="1:6" hidden="1" x14ac:dyDescent="0.25">
      <c r="A1390" t="s">
        <v>2002</v>
      </c>
      <c r="B1390" t="s">
        <v>11</v>
      </c>
      <c r="C1390" t="s">
        <v>84</v>
      </c>
      <c r="D1390">
        <v>9</v>
      </c>
      <c r="E1390" s="123">
        <v>12178.6</v>
      </c>
      <c r="F1390">
        <v>6</v>
      </c>
    </row>
    <row r="1391" spans="1:6" hidden="1" x14ac:dyDescent="0.25">
      <c r="A1391" t="s">
        <v>2002</v>
      </c>
      <c r="B1391" t="s">
        <v>11</v>
      </c>
      <c r="C1391" t="s">
        <v>425</v>
      </c>
      <c r="D1391">
        <v>9</v>
      </c>
      <c r="E1391" s="123">
        <v>13298.44</v>
      </c>
      <c r="F1391">
        <v>6</v>
      </c>
    </row>
    <row r="1392" spans="1:6" hidden="1" x14ac:dyDescent="0.25">
      <c r="A1392" t="s">
        <v>2001</v>
      </c>
      <c r="B1392" t="s">
        <v>264</v>
      </c>
      <c r="C1392" t="s">
        <v>1966</v>
      </c>
      <c r="D1392">
        <v>1</v>
      </c>
      <c r="E1392" s="123">
        <v>3260</v>
      </c>
      <c r="F1392">
        <v>1</v>
      </c>
    </row>
    <row r="1393" spans="1:6" hidden="1" x14ac:dyDescent="0.25">
      <c r="A1393" t="s">
        <v>2001</v>
      </c>
      <c r="B1393" t="s">
        <v>264</v>
      </c>
      <c r="C1393" t="s">
        <v>1973</v>
      </c>
      <c r="D1393">
        <v>1</v>
      </c>
      <c r="E1393" s="123">
        <v>7275</v>
      </c>
      <c r="F1393">
        <v>1</v>
      </c>
    </row>
    <row r="1394" spans="1:6" hidden="1" x14ac:dyDescent="0.25">
      <c r="A1394" t="s">
        <v>2004</v>
      </c>
      <c r="B1394" t="s">
        <v>47</v>
      </c>
      <c r="C1394" t="s">
        <v>906</v>
      </c>
      <c r="D1394">
        <v>9</v>
      </c>
      <c r="E1394" s="123">
        <v>11493.71</v>
      </c>
      <c r="F1394">
        <v>1</v>
      </c>
    </row>
    <row r="1395" spans="1:6" hidden="1" x14ac:dyDescent="0.25">
      <c r="A1395" t="s">
        <v>2003</v>
      </c>
      <c r="B1395" t="s">
        <v>942</v>
      </c>
      <c r="C1395" t="s">
        <v>923</v>
      </c>
      <c r="D1395">
        <v>1</v>
      </c>
      <c r="E1395" s="123">
        <v>0</v>
      </c>
      <c r="F1395">
        <v>1</v>
      </c>
    </row>
    <row r="1396" spans="1:6" hidden="1" x14ac:dyDescent="0.25">
      <c r="A1396" t="s">
        <v>2002</v>
      </c>
      <c r="B1396" t="s">
        <v>942</v>
      </c>
      <c r="C1396" t="s">
        <v>1998</v>
      </c>
      <c r="D1396">
        <v>2</v>
      </c>
      <c r="E1396" s="123">
        <v>87177.85</v>
      </c>
      <c r="F1396">
        <v>1</v>
      </c>
    </row>
    <row r="1397" spans="1:6" hidden="1" x14ac:dyDescent="0.25">
      <c r="A1397" t="s">
        <v>2002</v>
      </c>
      <c r="B1397" t="s">
        <v>942</v>
      </c>
      <c r="C1397" t="s">
        <v>923</v>
      </c>
      <c r="D1397">
        <v>2</v>
      </c>
      <c r="E1397" s="123">
        <v>186330.74</v>
      </c>
      <c r="F1397">
        <v>1</v>
      </c>
    </row>
    <row r="1398" spans="1:6" x14ac:dyDescent="0.25">
      <c r="A1398" t="s">
        <v>2003</v>
      </c>
      <c r="B1398" t="s">
        <v>17</v>
      </c>
      <c r="C1398" t="s">
        <v>1419</v>
      </c>
      <c r="D1398">
        <v>10</v>
      </c>
      <c r="E1398" s="123">
        <v>19341.59</v>
      </c>
      <c r="F1398">
        <v>2</v>
      </c>
    </row>
    <row r="1399" spans="1:6" hidden="1" x14ac:dyDescent="0.25">
      <c r="A1399" t="s">
        <v>2004</v>
      </c>
      <c r="B1399" t="s">
        <v>983</v>
      </c>
      <c r="C1399" t="s">
        <v>923</v>
      </c>
      <c r="D1399">
        <v>2</v>
      </c>
      <c r="E1399" s="123">
        <v>22758.98</v>
      </c>
      <c r="F1399">
        <v>1</v>
      </c>
    </row>
    <row r="1400" spans="1:6" hidden="1" x14ac:dyDescent="0.25">
      <c r="A1400" t="s">
        <v>2006</v>
      </c>
      <c r="B1400" t="s">
        <v>316</v>
      </c>
      <c r="C1400" t="s">
        <v>107</v>
      </c>
      <c r="D1400">
        <v>1</v>
      </c>
      <c r="E1400" s="123">
        <v>562.28</v>
      </c>
      <c r="F1400">
        <v>1</v>
      </c>
    </row>
    <row r="1401" spans="1:6" hidden="1" x14ac:dyDescent="0.25">
      <c r="A1401" t="s">
        <v>2006</v>
      </c>
      <c r="B1401" t="s">
        <v>316</v>
      </c>
      <c r="C1401" t="s">
        <v>285</v>
      </c>
      <c r="D1401">
        <v>1</v>
      </c>
      <c r="E1401" s="123">
        <v>920</v>
      </c>
      <c r="F1401">
        <v>1</v>
      </c>
    </row>
    <row r="1402" spans="1:6" hidden="1" x14ac:dyDescent="0.25">
      <c r="A1402" t="s">
        <v>2006</v>
      </c>
      <c r="B1402" t="s">
        <v>316</v>
      </c>
      <c r="C1402" t="s">
        <v>287</v>
      </c>
      <c r="D1402">
        <v>1</v>
      </c>
      <c r="E1402" s="123">
        <v>3497</v>
      </c>
      <c r="F1402">
        <v>1</v>
      </c>
    </row>
    <row r="1403" spans="1:6" hidden="1" x14ac:dyDescent="0.25">
      <c r="A1403" t="s">
        <v>2006</v>
      </c>
      <c r="B1403" t="s">
        <v>316</v>
      </c>
      <c r="C1403" t="s">
        <v>82</v>
      </c>
      <c r="D1403">
        <v>1</v>
      </c>
      <c r="E1403" s="123">
        <v>4750</v>
      </c>
      <c r="F1403">
        <v>1</v>
      </c>
    </row>
    <row r="1404" spans="1:6" hidden="1" x14ac:dyDescent="0.25">
      <c r="A1404" t="s">
        <v>2006</v>
      </c>
      <c r="B1404" t="s">
        <v>316</v>
      </c>
      <c r="C1404" t="s">
        <v>43</v>
      </c>
      <c r="D1404">
        <v>1</v>
      </c>
      <c r="E1404" s="123">
        <v>7278.87</v>
      </c>
      <c r="F1404">
        <v>1</v>
      </c>
    </row>
    <row r="1405" spans="1:6" hidden="1" x14ac:dyDescent="0.25"/>
    <row r="1407" spans="1:6" x14ac:dyDescent="0.25">
      <c r="A1407" s="118" t="s">
        <v>1999</v>
      </c>
      <c r="E1407" s="124">
        <v>17804213.453000002</v>
      </c>
    </row>
  </sheetData>
  <mergeCells count="1">
    <mergeCell ref="A1:F3"/>
  </mergeCells>
  <phoneticPr fontId="2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DICIEMBRE2025</vt:lpstr>
      <vt:lpstr>Base2026</vt:lpstr>
      <vt:lpstr>Hoja8</vt:lpstr>
      <vt:lpstr>REPORTE</vt:lpstr>
      <vt:lpstr>Enero2026</vt:lpstr>
      <vt:lpstr>Buscador</vt:lpstr>
      <vt:lpstr>DATOS POR 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800 G</dc:creator>
  <cp:lastModifiedBy>HP 800 G</cp:lastModifiedBy>
  <dcterms:created xsi:type="dcterms:W3CDTF">2025-12-09T23:01:21Z</dcterms:created>
  <dcterms:modified xsi:type="dcterms:W3CDTF">2026-07-03T18:23:27Z</dcterms:modified>
</cp:coreProperties>
</file>